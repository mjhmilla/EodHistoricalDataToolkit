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15.xml.rels" ContentType="application/vnd.openxmlformats-package.relationships+xml"/>
  <Override PartName="/xl/worksheets/_rels/sheet5.xml.rels" ContentType="application/vnd.openxmlformats-package.relationships+xml"/>
  <Override PartName="/xl/worksheets/_rels/sheet14.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_rels/sheet6.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vmlDrawing1.vml" ContentType="application/vnd.openxmlformats-officedocument.vmlDrawing"/>
  <Override PartName="/xl/pivotTables/_rels/pivotTable1.xml.rels" ContentType="application/vnd.openxmlformats-package.relationship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Cache/_rels/pivotCacheDefinition1.xml.rels" ContentType="application/vnd.openxmlformats-package.relationship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true"/>
  <workbookProtection/>
  <bookViews>
    <workbookView showHorizontalScroll="true" showVerticalScroll="true" showSheetTabs="true" xWindow="0" yWindow="0" windowWidth="16384" windowHeight="8192" tabRatio="500" firstSheet="0" activeTab="16"/>
  </bookViews>
  <sheets>
    <sheet name="Explanation and FAQ" sheetId="1" state="visible" r:id="rId2"/>
    <sheet name="Summary of Most Recent Update" sheetId="2" state="visible" r:id="rId3"/>
    <sheet name="Country Lookup" sheetId="3" state="visible" r:id="rId4"/>
    <sheet name="ERPs by country" sheetId="4" state="visible" r:id="rId5"/>
    <sheet name="Relative Equity Volatility" sheetId="5" state="visible" r:id="rId6"/>
    <sheet name="Regional Simple Averages" sheetId="6" state="visible" r:id="rId7"/>
    <sheet name="Regional Weighted Averages" sheetId="7" state="visible" r:id="rId8"/>
    <sheet name="Regional breakdown" sheetId="8" state="visible" r:id="rId9"/>
    <sheet name="Sovereign Ratings (Moody's,S&amp;P)" sheetId="9" state="visible" r:id="rId10"/>
    <sheet name="Regional lookup table" sheetId="10" state="visible" r:id="rId11"/>
    <sheet name="Default Spreads for Ratings" sheetId="11" state="visible" r:id="rId12"/>
    <sheet name="10-year CDS Spreads" sheetId="12" state="visible" r:id="rId13"/>
    <sheet name="Equity vs Govt Bond vol Risky" sheetId="13" state="visible" r:id="rId14"/>
    <sheet name="Country GDP" sheetId="14" state="visible" r:id="rId15"/>
    <sheet name="Ratings worksheet" sheetId="15" state="visible" r:id="rId16"/>
    <sheet name="Country Tax Rates" sheetId="16" state="visible" r:id="rId17"/>
    <sheet name="PRS Worksheet" sheetId="17" state="visible" r:id="rId18"/>
    <sheet name="Data Update Sequence" sheetId="18" state="visible" r:id="rId19"/>
  </sheets>
  <definedNames>
    <definedName function="false" hidden="false" localSheetId="6" name="_xlnm.Print_Area" vbProcedure="false">'Regional Weighted Averages'!$A$170:$G$194</definedName>
    <definedName function="false" hidden="false" name="HTML_CodePage" vbProcedure="false">1252</definedName>
    <definedName function="false" hidden="false" name="HTML_Control" vbProcedure="false">{"'Sheet1'!$A$1:$H$145"}</definedName>
    <definedName function="false" hidden="false" name="HTML_Description" vbProcedure="false">""</definedName>
    <definedName function="false" hidden="false" name="HTML_Email" vbProcedure="false">""</definedName>
    <definedName function="false" hidden="false" name="HTML_Header" vbProcedure="false">"Country Risk Premiums"</definedName>
    <definedName function="false" hidden="false" name="HTML_LastUpdate" vbProcedure="false">"2/19/99"</definedName>
    <definedName function="false" hidden="false" name="HTML_LineAfter" vbProcedure="false">TRUE()</definedName>
    <definedName function="false" hidden="false" name="HTML_LineBefore" vbProcedure="false">TRUE()</definedName>
    <definedName function="false" hidden="false" name="HTML_Name" vbProcedure="false">"Aswath Damodaran"</definedName>
    <definedName function="false" hidden="false" name="HTML_OBDlg2" vbProcedure="false">TRUE()</definedName>
    <definedName function="false" hidden="false" name="HTML_OBDlg4" vbProcedure="false">TRUE()</definedName>
    <definedName function="false" hidden="false" name="HTML_OS" vbProcedure="false">1</definedName>
    <definedName function="false" hidden="false" name="HTML_PathFileMac" vbProcedure="false">"Macintosh HD:HomePageStuff:New_Home_Page:datafile:ctryprem.html"</definedName>
    <definedName function="false" hidden="false" name="HTML_Title" vbProcedure="false">"Country Risk Premiums"</definedName>
  </definedNames>
  <calcPr iterateCount="100" refMode="A1" iterate="false" iterateDelta="0.0001"/>
  <pivotCaches>
    <pivotCache cacheId="1" r:id="rId21"/>
  </pivotCaches>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E6" authorId="0">
      <text>
        <r>
          <rPr>
            <sz val="9"/>
            <rFont val="Geneva"/>
            <family val="2"/>
            <charset val="1"/>
          </rPr>
          <t xml:space="preserve">Aswath Damodaran:
</t>
        </r>
        <r>
          <rPr>
            <sz val="10"/>
            <color rgb="FF000000"/>
            <rFont val="Calibri"/>
            <family val="2"/>
            <charset val="1"/>
          </rPr>
          <t xml:space="preserve">See worksheet on relative equity market volatility.</t>
        </r>
      </text>
    </comment>
  </commentList>
</comments>
</file>

<file path=xl/sharedStrings.xml><?xml version="1.0" encoding="utf-8"?>
<sst xmlns="http://schemas.openxmlformats.org/spreadsheetml/2006/main" count="4310" uniqueCount="661">
  <si>
    <t xml:space="preserve">Country Risk Premiums</t>
  </si>
  <si>
    <t xml:space="preserve">To estimate the equity risk premium for a country, I start with a mature market premium and add an additional country risk premium, based upon the risk of the country in question.</t>
  </si>
  <si>
    <t xml:space="preserve">Use the look up table in the next worksheet, to look up the statistics for an individual country or region.</t>
  </si>
  <si>
    <t xml:space="preserve">Step 1: Estimating mature market risk premium</t>
  </si>
  <si>
    <t xml:space="preserve">To estimate the mature market risk premium, I start with the implied equity risk premium for the S&amp;P 500. To see the latest estimate for this number, go to my website and you can download the excel spreadsheet containing the implied premium</t>
  </si>
  <si>
    <t xml:space="preserve">Link to site:</t>
  </si>
  <si>
    <t xml:space="preserve">http://www.damodaran.com</t>
  </si>
  <si>
    <t xml:space="preserve">Historical monthly ERP:</t>
  </si>
  <si>
    <t xml:space="preserve">https://pages.stern.nyu.edu/~adamodar/pc/implprem/ERPbymonth.xls</t>
  </si>
  <si>
    <t xml:space="preserve">Until the January 2025 update, I used the S&amp;P's equity risk premium as the mature market premium, drawing on the Moody's Aaa rating for the United States.</t>
  </si>
  <si>
    <t xml:space="preserve">On May 16, 2025, Moody's downgraded the US from Aaa to Aa1. To get the mature market premium, I now subtract the US's country risk premium (based on its rating and the relative equity market volatility) from the S&amp;P's eRP</t>
  </si>
  <si>
    <t xml:space="preserve">Mature market premium = ERP for the S&amp;P 500 minus (Default spread for US sovereign rating × Relative Equity Volatility)</t>
  </si>
  <si>
    <t xml:space="preserve">In January 2026, for  example, when the implied ERP for the S&amp;P 500 was 4.59% (over the adjusted dollar riskfree rate), the US had a rating of Aa1 and the default spread for that rating was 0.23% and the relative equity market volatility was 1.52</t>
  </si>
  <si>
    <t xml:space="preserve">Mature market premium = 4.61% - (0.23% × 1.52) = 4.23%</t>
  </si>
  <si>
    <t xml:space="preserve">Step 2: Estimate the default spread for the country in question. I offer two choices, one based upon the local currency sovereign rating for the country from Moody's and the other is the CDS spread for the country (if one exists)</t>
  </si>
  <si>
    <t xml:space="preserve">Moody's ratings:</t>
  </si>
  <si>
    <t xml:space="preserve">http://www.moodys.com</t>
  </si>
  <si>
    <t xml:space="preserve">(You will have to register, but it is free. Look under sovereign ratings)</t>
  </si>
  <si>
    <t xml:space="preserve">Ratings to spreads:</t>
  </si>
  <si>
    <t xml:space="preserve">Based upon my estimates of typical spreads for each ratings class. I compute these by averaging CDS spreads and sovereign US$ bond spreads by ratings class, at the start of every year.</t>
  </si>
  <si>
    <t xml:space="preserve">CDS spreads:</t>
  </si>
  <si>
    <t xml:space="preserve">Bloomberg</t>
  </si>
  <si>
    <t xml:space="preserve">If you cannot find a country on this list, it is because that country does not have a sovereign rating or a sovereign CDS spread. Try the PRS worksheet in this spreadsheet for an alternate estimate.</t>
  </si>
  <si>
    <t xml:space="preserve">Step 3: Convert the default spread into a country risk premium</t>
  </si>
  <si>
    <t xml:space="preserve">With sovereign ratings default spreads, you have two choices:</t>
  </si>
  <si>
    <r>
      <rPr>
        <i val="true"/>
        <sz val="12"/>
        <rFont val="Calibri"/>
        <family val="2"/>
        <charset val="1"/>
      </rPr>
      <t xml:space="preserve">Choice 1: </t>
    </r>
    <r>
      <rPr>
        <sz val="12"/>
        <rFont val="Calibri"/>
        <family val="2"/>
        <charset val="1"/>
      </rPr>
      <t xml:space="preserve">Use the default spread as the measure of the additional country risk premium. To make this choice, go into the ERP worksheet and set cell E5 to 1.00.</t>
    </r>
  </si>
  <si>
    <r>
      <rPr>
        <i val="true"/>
        <sz val="12"/>
        <rFont val="Calibri"/>
        <family val="2"/>
        <charset val="1"/>
      </rPr>
      <t xml:space="preserve">Choice 2: </t>
    </r>
    <r>
      <rPr>
        <sz val="12"/>
        <rFont val="Calibri"/>
        <family val="2"/>
        <charset val="1"/>
      </rPr>
      <t xml:space="preserve">Scale the default spread up to reflect the higher risk of equity in the market, relative to the default spread. I used the ratio of the S&amp;P Emerging Market Equity Index std deviation to the iShares Emerging Market Bond Index standard deviation</t>
    </r>
  </si>
  <si>
    <t xml:space="preserve">With CDS spreads, I compute the base number in two steps</t>
  </si>
  <si>
    <r>
      <rPr>
        <u val="single"/>
        <sz val="12"/>
        <rFont val="Calibri"/>
        <family val="2"/>
        <charset val="1"/>
      </rPr>
      <t xml:space="preserve">Substep 1:</t>
    </r>
    <r>
      <rPr>
        <sz val="12"/>
        <rFont val="Calibri"/>
        <family val="2"/>
        <charset val="1"/>
      </rPr>
      <t xml:space="preserve"> Since the base equity premium is for a mature market (assumed to be default free), I net out the CDS spread for Switzerland (the lowest sovereign CDS) from each country's CDS to get a net spread.</t>
    </r>
  </si>
  <si>
    <r>
      <rPr>
        <u val="single"/>
        <sz val="12"/>
        <rFont val="Calibri"/>
        <family val="2"/>
        <charset val="1"/>
      </rPr>
      <t xml:space="preserve">Substep 2</t>
    </r>
    <r>
      <rPr>
        <sz val="12"/>
        <rFont val="Calibri"/>
        <family val="2"/>
        <charset val="1"/>
      </rPr>
      <t xml:space="preserve">: I apply the scaling factor that you chose for the default spreads to this number to get a country risk premium. The default scaling is set at the my most recent year's estimate, but you can change it to 1, if you would</t>
    </r>
  </si>
  <si>
    <t xml:space="preserve">prefer not to scale the default spread.</t>
  </si>
  <si>
    <t xml:space="preserve">Step 4: Compute a total equity risk premium</t>
  </si>
  <si>
    <t xml:space="preserve">Add the mature market premium from step 1 to the country risk premium from step 3 to get a total equity risk premium.</t>
  </si>
  <si>
    <t xml:space="preserve">Step 5: Compute regional averages and regional weighted averages</t>
  </si>
  <si>
    <t xml:space="preserve">For the regional averages, I use a simple average of the total and country risk premiums by region</t>
  </si>
  <si>
    <t xml:space="preserve">For the weighted averages, I use the World Bank GDP estimates from the most recent year. </t>
  </si>
  <si>
    <t xml:space="preserve">https://data.worldbank.org/indicator/NY.GDP.MKTP.CD</t>
  </si>
  <si>
    <t xml:space="preserve">If you are interested in a fuller explanation of these concepts, try these references:</t>
  </si>
  <si>
    <t xml:space="preserve">My paper on equity risk premiums:</t>
  </si>
  <si>
    <t xml:space="preserve">My paper on country risk premiums:</t>
  </si>
  <si>
    <t xml:space="preserve">https://papers.ssrn.com/sol3/papers.cfm?abstract_id=4398884</t>
  </si>
  <si>
    <t xml:space="preserve">Watch my lectures on country risk premiums:</t>
  </si>
  <si>
    <t xml:space="preserve">https://papers.ssrn.com/sol3/papers.cfm?abstract_id=4509578</t>
  </si>
  <si>
    <t xml:space="preserve">https://www.youtube.com/watch?v=aIRPvY2SQ94</t>
  </si>
  <si>
    <t xml:space="preserve">https://www.youtube.com/watch?v=D3IGn6tH03c</t>
  </si>
  <si>
    <t xml:space="preserve">Update Notes</t>
  </si>
  <si>
    <t xml:space="preserve">Mature Marlet Premium</t>
  </si>
  <si>
    <r>
      <rPr>
        <sz val="12"/>
        <rFont val="Arial"/>
        <family val="2"/>
        <charset val="1"/>
      </rPr>
      <t xml:space="preserve">The starting point for the mature market premiums is the implied equity risk premium for the S&amp;P 500. You can review the calcualtion in this spreadsheet. (</t>
    </r>
    <r>
      <rPr>
        <b val="true"/>
        <sz val="12"/>
        <rFont val="Arial"/>
        <family val="2"/>
        <charset val="1"/>
      </rPr>
      <t xml:space="preserve">https://pages.stern.nyu.edu/~adamodar/pc/implprem/ERPJan26.xlsx</t>
    </r>
    <r>
      <rPr>
        <sz val="12"/>
        <rFont val="Arial"/>
        <family val="2"/>
        <charset val="1"/>
      </rPr>
      <t xml:space="preserve">). I net out a riskfree rate in US dollars, which is the treasury bond rate adjusted for the default spread for the US, to get an equity risk premium for the US.  I then back out the US default spread to get a mature market premium. </t>
    </r>
  </si>
  <si>
    <t xml:space="preserve">US ERP</t>
  </si>
  <si>
    <t xml:space="preserve">ERP for US = Implled Expected Return on US stocks - (US 10-yr T.Bond - Default spread for US)</t>
  </si>
  <si>
    <t xml:space="preserve">Mature market ERP</t>
  </si>
  <si>
    <t xml:space="preserve">Mature market ERP = ERP for US - Default spread for US</t>
  </si>
  <si>
    <t xml:space="preserve">Sovereign Ratings</t>
  </si>
  <si>
    <r>
      <rPr>
        <sz val="12"/>
        <rFont val="Geneva"/>
        <family val="2"/>
        <charset val="1"/>
      </rPr>
      <t xml:space="preserve">The ratings (Moody's and S&amp;P)  have been updated to reflect the most recent ratings. (See </t>
    </r>
    <r>
      <rPr>
        <b val="true"/>
        <sz val="12"/>
        <rFont val="Geneva"/>
        <family val="2"/>
        <charset val="1"/>
      </rPr>
      <t xml:space="preserve">Ratings Worksheet</t>
    </r>
    <r>
      <rPr>
        <sz val="12"/>
        <rFont val="Geneva"/>
        <family val="2"/>
        <charset val="1"/>
      </rPr>
      <t xml:space="preserve">)</t>
    </r>
  </si>
  <si>
    <t xml:space="preserve">Default Spreads</t>
  </si>
  <si>
    <r>
      <rPr>
        <sz val="12"/>
        <rFont val="Geneva"/>
        <family val="2"/>
        <charset val="1"/>
      </rPr>
      <t xml:space="preserve"> The change in default spreads is computed by looking at percentage changes in sovereign CDS spreads over the period. (See </t>
    </r>
    <r>
      <rPr>
        <b val="true"/>
        <sz val="12"/>
        <rFont val="Geneva"/>
        <family val="2"/>
        <charset val="1"/>
      </rPr>
      <t xml:space="preserve">Default Spreads for Ratings</t>
    </r>
    <r>
      <rPr>
        <sz val="12"/>
        <rFont val="Geneva"/>
        <family val="2"/>
        <charset val="1"/>
      </rPr>
      <t xml:space="preserve"> worksheet)</t>
    </r>
  </si>
  <si>
    <t xml:space="preserve">Relative Equity Market Volatility</t>
  </si>
  <si>
    <t xml:space="preserve">The biggest change in this update is in this measure. For the last few years, I have used the coefficient of variation in emerging market bond yields and the standard deviation of returns in emerging market equities. In this iteration, I have replaced the former with the standard defiation  in emerging market sovereign bond ETF returns, thus creating more consistency in the calcuatlions. While this change does not create a substantive shift in the numbers in this iteration, I think it is a more solid basis for computing this value in future ones.</t>
  </si>
  <si>
    <t xml:space="preserve">Bottom Line</t>
  </si>
  <si>
    <t xml:space="preserve">The combination of a lower base mature market premium and lower sovereign default spreads has led to lower equity risk premiums across the board, a climb down from historically high numbers at the start of the year.</t>
  </si>
  <si>
    <t xml:space="preserve">To look up the equity risk premium for a country, use this worksheet</t>
  </si>
  <si>
    <t xml:space="preserve">Country</t>
  </si>
  <si>
    <t xml:space="preserve">Turkey</t>
  </si>
  <si>
    <t xml:space="preserve">If you cannot find a country on this list, it is because that country does not have a sovereign rating</t>
  </si>
  <si>
    <t xml:space="preserve">or a sovereign CDS spread. Try the PRS worksheet in this spreadsheet for an alternate estimate.</t>
  </si>
  <si>
    <t xml:space="preserve">Moody's sovereign rating</t>
  </si>
  <si>
    <t xml:space="preserve">Local currency</t>
  </si>
  <si>
    <t xml:space="preserve">S&amp;P sovereign rating</t>
  </si>
  <si>
    <t xml:space="preserve">CDS spread</t>
  </si>
  <si>
    <t xml:space="preserve">Excess CDS spread (over Swiss CDS)</t>
  </si>
  <si>
    <t xml:space="preserve">Country Default Spread (based on rating)</t>
  </si>
  <si>
    <t xml:space="preserve">Country Risk Premium (Rating)</t>
  </si>
  <si>
    <t xml:space="preserve">Equity Risk Premium (Rating)</t>
  </si>
  <si>
    <t xml:space="preserve">Country Risk Premium (CDS)</t>
  </si>
  <si>
    <t xml:space="preserve">Equity Risk Premium (CDS)</t>
  </si>
  <si>
    <t xml:space="preserve">To look up the equity risk premium for a region, use this worksheet</t>
  </si>
  <si>
    <t xml:space="preserve">Region</t>
  </si>
  <si>
    <t xml:space="preserve">Asia</t>
  </si>
  <si>
    <t xml:space="preserve">Country Risk Premium (simple average))</t>
  </si>
  <si>
    <t xml:space="preserve">Total Equity Risk Premium (simple average)</t>
  </si>
  <si>
    <t xml:space="preserve">Country Risk Premium (GDP weighted)</t>
  </si>
  <si>
    <t xml:space="preserve">Total Equity Risk Premium (GDP weighted)</t>
  </si>
  <si>
    <t xml:space="preserve">To construct your own regional ERP, use the data on GDP and ERP for countries in the Regional Weighted Averages Worksheet</t>
  </si>
  <si>
    <t xml:space="preserve">For countries not on the list above, try this frontier market list</t>
  </si>
  <si>
    <t xml:space="preserve">Zimbabwe</t>
  </si>
  <si>
    <t xml:space="preserve">PRS Score</t>
  </si>
  <si>
    <t xml:space="preserve">ERP based on PRS Score</t>
  </si>
  <si>
    <t xml:space="preserve">Country and Equity Risk Premiums</t>
  </si>
  <si>
    <t xml:space="preserve">Date of update:</t>
  </si>
  <si>
    <t xml:space="preserve">(Updated Feb 16 for sovereign ratings</t>
  </si>
  <si>
    <t xml:space="preserve">Enter the current risk premium for a mature equity market</t>
  </si>
  <si>
    <t xml:space="preserve">Implied ERP for S&amp;P 500 with adjusted dollar riskfree rate (for US Aa1 rating</t>
  </si>
  <si>
    <t xml:space="preserve">Enter the current risk premium for the US =</t>
  </si>
  <si>
    <t xml:space="preserve">US equity risk premium computed using implied ERP approach</t>
  </si>
  <si>
    <t xml:space="preserve">Do you want to adjust the country default spread for the additional volatility of the equity market to get to a country premium?</t>
  </si>
  <si>
    <t xml:space="preserve">Yes</t>
  </si>
  <si>
    <t xml:space="preserve">If yes, enter the multiplier to use on the default spread (See worksheet for volatility numbers for selected emerging markets)</t>
  </si>
  <si>
    <t xml:space="preserve">See "Relative Equity Volatilty" worksheet</t>
  </si>
  <si>
    <t xml:space="preserve">Africa</t>
  </si>
  <si>
    <t xml:space="preserve">Moody's rating</t>
  </si>
  <si>
    <t xml:space="preserve">Rating-based Default Spread</t>
  </si>
  <si>
    <t xml:space="preserve">Total Equity Risk Premium</t>
  </si>
  <si>
    <t xml:space="preserve">Country Risk Premium</t>
  </si>
  <si>
    <t xml:space="preserve">Sovereign CDS, net of Swiss CDS</t>
  </si>
  <si>
    <t xml:space="preserve">Total Equity Risk Premium2</t>
  </si>
  <si>
    <t xml:space="preserve">Country Risk Premium3</t>
  </si>
  <si>
    <t xml:space="preserve">Has to be sorted in ascending order</t>
  </si>
  <si>
    <t xml:space="preserve">Rating</t>
  </si>
  <si>
    <t xml:space="preserve">Default spread in basis points</t>
  </si>
  <si>
    <t xml:space="preserve">A1</t>
  </si>
  <si>
    <t xml:space="preserve">A2</t>
  </si>
  <si>
    <t xml:space="preserve">A3</t>
  </si>
  <si>
    <t xml:space="preserve">Aa1</t>
  </si>
  <si>
    <t xml:space="preserve">Aa2</t>
  </si>
  <si>
    <t xml:space="preserve">Aa3</t>
  </si>
  <si>
    <t xml:space="preserve">Aaa</t>
  </si>
  <si>
    <t xml:space="preserve">B1</t>
  </si>
  <si>
    <t xml:space="preserve">B2</t>
  </si>
  <si>
    <t xml:space="preserve">B3</t>
  </si>
  <si>
    <t xml:space="preserve">Ba1</t>
  </si>
  <si>
    <t xml:space="preserve">Ba2</t>
  </si>
  <si>
    <t xml:space="preserve">Ba3</t>
  </si>
  <si>
    <t xml:space="preserve">Baa1</t>
  </si>
  <si>
    <t xml:space="preserve">Baa2</t>
  </si>
  <si>
    <t xml:space="preserve">Baa3</t>
  </si>
  <si>
    <t xml:space="preserve">C</t>
  </si>
  <si>
    <t xml:space="preserve">Ca</t>
  </si>
  <si>
    <t xml:space="preserve">NR</t>
  </si>
  <si>
    <t xml:space="preserve">Frontier Markets (no sovereign ratings)</t>
  </si>
  <si>
    <t xml:space="preserve">PRS Composite Risk Score</t>
  </si>
  <si>
    <t xml:space="preserve">ERP</t>
  </si>
  <si>
    <t xml:space="preserve">CRP</t>
  </si>
  <si>
    <t xml:space="preserve">Default Spread</t>
  </si>
  <si>
    <t xml:space="preserve">Caa1</t>
  </si>
  <si>
    <t xml:space="preserve">Caa2</t>
  </si>
  <si>
    <t xml:space="preserve">Caa3</t>
  </si>
  <si>
    <t xml:space="preserve">NA</t>
  </si>
  <si>
    <t xml:space="preserve">Year</t>
  </si>
  <si>
    <t xml:space="preserve">Std Dev (BMI)</t>
  </si>
  <si>
    <t xml:space="preserve">Std Dev (JPM Sov Bond)</t>
  </si>
  <si>
    <t xml:space="preserve">REL VOL</t>
  </si>
  <si>
    <r>
      <rPr>
        <b val="true"/>
        <sz val="10"/>
        <rFont val="Arial"/>
        <family val="2"/>
        <charset val="1"/>
      </rPr>
      <t xml:space="preserve">Estimation note</t>
    </r>
    <r>
      <rPr>
        <sz val="10"/>
        <rFont val="Arial"/>
        <family val="2"/>
        <charset val="1"/>
      </rPr>
      <t xml:space="preserve">: Those of you who have followed my attempts to estimate the relative equity market volatility know that I have struggled with getting a proxy for returns on emerging market sovereign bonds, and have used the coefficient of varation in yields to make that estimate. I have finally replaced that estimate with a return on an emerging market government bond ETF from iShares. The standard deviations are now computed consistently for emerigng equities and emerigng government bonds. (Using the old yield coefficient of variation approach would have yielded a ratio of 1.49 in this computation.)</t>
    </r>
  </si>
  <si>
    <t xml:space="preserve">Average Relative Volatility</t>
  </si>
  <si>
    <t xml:space="preserve">Index:</t>
  </si>
  <si>
    <t xml:space="preserve">iShares JP Morgan USD Emerging Markets Bond ETF</t>
  </si>
  <si>
    <t xml:space="preserve">S&amp;P Emerging BMI Index</t>
  </si>
  <si>
    <t xml:space="preserve">Source:</t>
  </si>
  <si>
    <t xml:space="preserve">Yahoo!</t>
  </si>
  <si>
    <t xml:space="preserve">S&amp;P </t>
  </si>
  <si>
    <t xml:space="preserve">https://finance.yahoo.com/quote/EMB/</t>
  </si>
  <si>
    <t xml:space="preserve">https://www.spglobal.com/spdji/en/indices/equity/sp-emerging-bmi/#overview</t>
  </si>
  <si>
    <t xml:space="preserve">Period</t>
  </si>
  <si>
    <t xml:space="preserve">Five years</t>
  </si>
  <si>
    <t xml:space="preserve">(Dec 31, 2020 - Dec 31, 2025)</t>
  </si>
  <si>
    <t xml:space="preserve">Interval</t>
  </si>
  <si>
    <t xml:space="preserve">Daily</t>
  </si>
  <si>
    <t xml:space="preserve">Date</t>
  </si>
  <si>
    <t xml:space="preserve">Close </t>
  </si>
  <si>
    <t xml:space="preserve">Return</t>
  </si>
  <si>
    <t xml:space="preserve">Effective date </t>
  </si>
  <si>
    <t xml:space="preserve">S&amp;P Emerging BMI (USD)</t>
  </si>
  <si>
    <t xml:space="preserve">Data</t>
  </si>
  <si>
    <t xml:space="preserve">Average of Adj. Default Spread</t>
  </si>
  <si>
    <t xml:space="preserve">Average of Country Risk Premium</t>
  </si>
  <si>
    <t xml:space="preserve">Average of Equity Risk Premium</t>
  </si>
  <si>
    <t xml:space="preserve">Average of Corporate Tax Rate</t>
  </si>
  <si>
    <t xml:space="preserve">Australia &amp; New Zealand</t>
  </si>
  <si>
    <t xml:space="preserve">Caribbean</t>
  </si>
  <si>
    <t xml:space="preserve">Central and South America</t>
  </si>
  <si>
    <t xml:space="preserve">Eastern Europe &amp; Russia</t>
  </si>
  <si>
    <t xml:space="preserve">Middle East</t>
  </si>
  <si>
    <t xml:space="preserve">North America</t>
  </si>
  <si>
    <t xml:space="preserve">Western Europe</t>
  </si>
  <si>
    <t xml:space="preserve">Total Result</t>
  </si>
  <si>
    <t xml:space="preserve">GDP (in millions) in 2024</t>
  </si>
  <si>
    <t xml:space="preserve">Adj. Default Spread</t>
  </si>
  <si>
    <t xml:space="preserve">Equity Risk Premium</t>
  </si>
  <si>
    <t xml:space="preserve">Corporate Tax Rate</t>
  </si>
  <si>
    <t xml:space="preserve">GDP Weight</t>
  </si>
  <si>
    <t xml:space="preserve">Weight*Default Spread</t>
  </si>
  <si>
    <t xml:space="preserve">Weight*ERP</t>
  </si>
  <si>
    <t xml:space="preserve">Weight*CRP</t>
  </si>
  <si>
    <t xml:space="preserve">Weight * Tax Rate</t>
  </si>
  <si>
    <t xml:space="preserve">Angola</t>
  </si>
  <si>
    <t xml:space="preserve">Benin</t>
  </si>
  <si>
    <t xml:space="preserve">Botswana</t>
  </si>
  <si>
    <t xml:space="preserve">Burkina Faso</t>
  </si>
  <si>
    <t xml:space="preserve">Cameroon</t>
  </si>
  <si>
    <t xml:space="preserve">Cape Verde</t>
  </si>
  <si>
    <t xml:space="preserve">Congo (Democratic Republic of)</t>
  </si>
  <si>
    <t xml:space="preserve">Congo (Republic of)</t>
  </si>
  <si>
    <t xml:space="preserve">Côte d'Ivoire</t>
  </si>
  <si>
    <t xml:space="preserve">Egypt</t>
  </si>
  <si>
    <t xml:space="preserve">Ethiopia</t>
  </si>
  <si>
    <t xml:space="preserve">Gabon</t>
  </si>
  <si>
    <t xml:space="preserve">Ghana</t>
  </si>
  <si>
    <t xml:space="preserve">Kenya</t>
  </si>
  <si>
    <t xml:space="preserve">Mali</t>
  </si>
  <si>
    <t xml:space="preserve">Mauritius</t>
  </si>
  <si>
    <t xml:space="preserve">Morocco</t>
  </si>
  <si>
    <t xml:space="preserve">Mozambique</t>
  </si>
  <si>
    <t xml:space="preserve">Namibia</t>
  </si>
  <si>
    <t xml:space="preserve">Niger</t>
  </si>
  <si>
    <t xml:space="preserve">Nigeria</t>
  </si>
  <si>
    <t xml:space="preserve">Rwanda</t>
  </si>
  <si>
    <t xml:space="preserve">Senegal</t>
  </si>
  <si>
    <t xml:space="preserve">South Africa</t>
  </si>
  <si>
    <t xml:space="preserve">Swaziland</t>
  </si>
  <si>
    <t xml:space="preserve">Tanzania</t>
  </si>
  <si>
    <t xml:space="preserve">Togo</t>
  </si>
  <si>
    <t xml:space="preserve">Tunisia</t>
  </si>
  <si>
    <t xml:space="preserve">Uganda</t>
  </si>
  <si>
    <t xml:space="preserve">Zambia</t>
  </si>
  <si>
    <t xml:space="preserve">Bangladesh</t>
  </si>
  <si>
    <t xml:space="preserve">Cambodia</t>
  </si>
  <si>
    <t xml:space="preserve">China</t>
  </si>
  <si>
    <t xml:space="preserve">Fiji</t>
  </si>
  <si>
    <t xml:space="preserve">Hong Kong</t>
  </si>
  <si>
    <t xml:space="preserve">India</t>
  </si>
  <si>
    <t xml:space="preserve">Indonesia</t>
  </si>
  <si>
    <t xml:space="preserve">Japan</t>
  </si>
  <si>
    <t xml:space="preserve">Korea</t>
  </si>
  <si>
    <t xml:space="preserve">Laos</t>
  </si>
  <si>
    <t xml:space="preserve">Macao</t>
  </si>
  <si>
    <t xml:space="preserve">Malaysia</t>
  </si>
  <si>
    <t xml:space="preserve">Maldives</t>
  </si>
  <si>
    <t xml:space="preserve">Mongolia</t>
  </si>
  <si>
    <t xml:space="preserve">Nepal</t>
  </si>
  <si>
    <t xml:space="preserve">Pakistan</t>
  </si>
  <si>
    <t xml:space="preserve">Papua New Guinea</t>
  </si>
  <si>
    <t xml:space="preserve">Philippines</t>
  </si>
  <si>
    <t xml:space="preserve">Singapore</t>
  </si>
  <si>
    <t xml:space="preserve">Solomon Islands</t>
  </si>
  <si>
    <t xml:space="preserve">Sri Lanka</t>
  </si>
  <si>
    <t xml:space="preserve">Taiwan</t>
  </si>
  <si>
    <t xml:space="preserve">Thailand</t>
  </si>
  <si>
    <t xml:space="preserve">Vietnam</t>
  </si>
  <si>
    <t xml:space="preserve">Australia</t>
  </si>
  <si>
    <t xml:space="preserve">Cook Islands</t>
  </si>
  <si>
    <t xml:space="preserve">New Zealand</t>
  </si>
  <si>
    <t xml:space="preserve">Aruba</t>
  </si>
  <si>
    <t xml:space="preserve">Bahamas</t>
  </si>
  <si>
    <t xml:space="preserve">Barbados</t>
  </si>
  <si>
    <t xml:space="preserve">Bermuda</t>
  </si>
  <si>
    <t xml:space="preserve">Cayman Islands</t>
  </si>
  <si>
    <t xml:space="preserve">Cuba</t>
  </si>
  <si>
    <t xml:space="preserve">Curacao</t>
  </si>
  <si>
    <t xml:space="preserve">Dominican Republic</t>
  </si>
  <si>
    <t xml:space="preserve">Jamaica</t>
  </si>
  <si>
    <t xml:space="preserve">Montserrat</t>
  </si>
  <si>
    <t xml:space="preserve">St. Maarten</t>
  </si>
  <si>
    <t xml:space="preserve">St. Vincent &amp; the Grenadines</t>
  </si>
  <si>
    <t xml:space="preserve">Trinidad and Tobago</t>
  </si>
  <si>
    <t xml:space="preserve">Turks and Caicos Islands</t>
  </si>
  <si>
    <t xml:space="preserve">Argentina</t>
  </si>
  <si>
    <t xml:space="preserve">Belize</t>
  </si>
  <si>
    <t xml:space="preserve">Bolivia</t>
  </si>
  <si>
    <t xml:space="preserve">Brazil</t>
  </si>
  <si>
    <t xml:space="preserve">Chile</t>
  </si>
  <si>
    <t xml:space="preserve">Colombia</t>
  </si>
  <si>
    <t xml:space="preserve">Costa Rica</t>
  </si>
  <si>
    <t xml:space="preserve">Ecuador</t>
  </si>
  <si>
    <t xml:space="preserve">El Salvador</t>
  </si>
  <si>
    <t xml:space="preserve">Guatemala</t>
  </si>
  <si>
    <t xml:space="preserve">Honduras</t>
  </si>
  <si>
    <t xml:space="preserve">Mexico</t>
  </si>
  <si>
    <t xml:space="preserve">Nicaragua</t>
  </si>
  <si>
    <t xml:space="preserve">Panama</t>
  </si>
  <si>
    <t xml:space="preserve">Paraguay</t>
  </si>
  <si>
    <t xml:space="preserve">Peru</t>
  </si>
  <si>
    <t xml:space="preserve">Suriname</t>
  </si>
  <si>
    <t xml:space="preserve">Uruguay</t>
  </si>
  <si>
    <t xml:space="preserve">Venezuela</t>
  </si>
  <si>
    <t xml:space="preserve">Albania</t>
  </si>
  <si>
    <t xml:space="preserve">Armenia</t>
  </si>
  <si>
    <t xml:space="preserve">Azerbaijan</t>
  </si>
  <si>
    <t xml:space="preserve">Belarus</t>
  </si>
  <si>
    <t xml:space="preserve">Bosnia and Herzegovina</t>
  </si>
  <si>
    <t xml:space="preserve">Bulgaria</t>
  </si>
  <si>
    <t xml:space="preserve">Croatia</t>
  </si>
  <si>
    <t xml:space="preserve">Czech Republic</t>
  </si>
  <si>
    <t xml:space="preserve">Estonia</t>
  </si>
  <si>
    <t xml:space="preserve">Georgia</t>
  </si>
  <si>
    <t xml:space="preserve">Hungary</t>
  </si>
  <si>
    <t xml:space="preserve">Kazakhstan</t>
  </si>
  <si>
    <t xml:space="preserve">Kyrgyzstan</t>
  </si>
  <si>
    <t xml:space="preserve">Latvia</t>
  </si>
  <si>
    <t xml:space="preserve">Lithuania</t>
  </si>
  <si>
    <t xml:space="preserve">Macedonia</t>
  </si>
  <si>
    <t xml:space="preserve">Moldova</t>
  </si>
  <si>
    <t xml:space="preserve">Montenegro</t>
  </si>
  <si>
    <t xml:space="preserve">Poland</t>
  </si>
  <si>
    <t xml:space="preserve">Romania</t>
  </si>
  <si>
    <t xml:space="preserve">Serbia</t>
  </si>
  <si>
    <t xml:space="preserve">Slovakia</t>
  </si>
  <si>
    <t xml:space="preserve">Slovenia</t>
  </si>
  <si>
    <t xml:space="preserve">Tajikistan</t>
  </si>
  <si>
    <t xml:space="preserve">Ukraine</t>
  </si>
  <si>
    <t xml:space="preserve">Uzbekistan</t>
  </si>
  <si>
    <t xml:space="preserve">Eastern Europe</t>
  </si>
  <si>
    <t xml:space="preserve">Abu Dhabi</t>
  </si>
  <si>
    <t xml:space="preserve">Bahrain</t>
  </si>
  <si>
    <t xml:space="preserve">Iraq</t>
  </si>
  <si>
    <t xml:space="preserve">Israel</t>
  </si>
  <si>
    <t xml:space="preserve">Jordan</t>
  </si>
  <si>
    <t xml:space="preserve">Kuwait</t>
  </si>
  <si>
    <t xml:space="preserve">Lebanon</t>
  </si>
  <si>
    <t xml:space="preserve">Oman</t>
  </si>
  <si>
    <t xml:space="preserve">Qatar</t>
  </si>
  <si>
    <t xml:space="preserve">Ras Al Khaimah (Emirate of)</t>
  </si>
  <si>
    <t xml:space="preserve">Saudi Arabia</t>
  </si>
  <si>
    <t xml:space="preserve">Sharjah</t>
  </si>
  <si>
    <t xml:space="preserve">United Arab Emirates</t>
  </si>
  <si>
    <t xml:space="preserve">Canada</t>
  </si>
  <si>
    <t xml:space="preserve">United States</t>
  </si>
  <si>
    <t xml:space="preserve">Andorra (Principality of)</t>
  </si>
  <si>
    <t xml:space="preserve">Austria</t>
  </si>
  <si>
    <t xml:space="preserve">Belgium</t>
  </si>
  <si>
    <t xml:space="preserve">Cyprus</t>
  </si>
  <si>
    <t xml:space="preserve">Denmark</t>
  </si>
  <si>
    <t xml:space="preserve">Finland</t>
  </si>
  <si>
    <t xml:space="preserve">France</t>
  </si>
  <si>
    <t xml:space="preserve">Germany</t>
  </si>
  <si>
    <t xml:space="preserve">Greece</t>
  </si>
  <si>
    <t xml:space="preserve">Guernsey (States of)</t>
  </si>
  <si>
    <t xml:space="preserve">Iceland</t>
  </si>
  <si>
    <t xml:space="preserve">Ireland</t>
  </si>
  <si>
    <t xml:space="preserve">Isle of Man</t>
  </si>
  <si>
    <t xml:space="preserve">Italy</t>
  </si>
  <si>
    <t xml:space="preserve">Jersey (States of)</t>
  </si>
  <si>
    <t xml:space="preserve">Liechtenstein</t>
  </si>
  <si>
    <t xml:space="preserve">Luxembourg</t>
  </si>
  <si>
    <t xml:space="preserve">Malta</t>
  </si>
  <si>
    <t xml:space="preserve">Netherlands</t>
  </si>
  <si>
    <t xml:space="preserve">Norway</t>
  </si>
  <si>
    <t xml:space="preserve">Portugal</t>
  </si>
  <si>
    <t xml:space="preserve">Spain</t>
  </si>
  <si>
    <t xml:space="preserve">Sweden</t>
  </si>
  <si>
    <t xml:space="preserve">Switzerland</t>
  </si>
  <si>
    <t xml:space="preserve">United Kingdom</t>
  </si>
  <si>
    <t xml:space="preserve">Weighted Average: ERP</t>
  </si>
  <si>
    <t xml:space="preserve">Weighted Average: CRP</t>
  </si>
  <si>
    <t xml:space="preserve">Weighted Average: Default Spreads</t>
  </si>
  <si>
    <t xml:space="preserve">Tax Rate</t>
  </si>
  <si>
    <t xml:space="preserve">Total GDP</t>
  </si>
  <si>
    <t xml:space="preserve">Weight</t>
  </si>
  <si>
    <t xml:space="preserve">Weight *ERP</t>
  </si>
  <si>
    <t xml:space="preserve">Weight* Tax Rate</t>
  </si>
  <si>
    <t xml:space="preserve">Global</t>
  </si>
  <si>
    <t xml:space="preserve">For updating industry average spreadsheets</t>
  </si>
  <si>
    <t xml:space="preserve">Tax rate</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</si>
  <si>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</si>
  <si>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</si>
  <si>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</si>
  <si>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</si>
  <si>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</si>
  <si>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</si>
  <si>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</si>
  <si>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For other regional groupings</t>
  </si>
  <si>
    <t xml:space="preserve">EMEA</t>
  </si>
  <si>
    <t xml:space="preserve">Sovereign CDS</t>
  </si>
  <si>
    <t xml:space="preserve">S&amp;P Rating</t>
  </si>
  <si>
    <t xml:space="preserve">Fitch rating</t>
  </si>
  <si>
    <t xml:space="preserve">Moody's Rating (unadj)</t>
  </si>
  <si>
    <t xml:space="preserve">GOVERNMENT BOND RATINGS </t>
  </si>
  <si>
    <t xml:space="preserve">In local currency</t>
  </si>
  <si>
    <t xml:space="preserve">S&amp;P: These are the S&amp;P sovereign local currency ratings</t>
  </si>
  <si>
    <t xml:space="preserve">Moody's: These are the Moody's local currency rating</t>
  </si>
  <si>
    <t xml:space="preserve">In red: These are countries where S&amp;P has a rating and Moody's does not. The following lookup table is used to estimate the</t>
  </si>
  <si>
    <t xml:space="preserve">Moody's equivalent rating for these countries.</t>
  </si>
  <si>
    <t xml:space="preserve">S&amp;P/Fitch</t>
  </si>
  <si>
    <t xml:space="preserve">Moody's</t>
  </si>
  <si>
    <t xml:space="preserve">A</t>
  </si>
  <si>
    <t xml:space="preserve">A-</t>
  </si>
  <si>
    <t xml:space="preserve">A+</t>
  </si>
  <si>
    <t xml:space="preserve">AA</t>
  </si>
  <si>
    <t xml:space="preserve">AA-</t>
  </si>
  <si>
    <t xml:space="preserve">AA+</t>
  </si>
  <si>
    <t xml:space="preserve">AAA</t>
  </si>
  <si>
    <t xml:space="preserve">B</t>
  </si>
  <si>
    <t xml:space="preserve">B-</t>
  </si>
  <si>
    <t xml:space="preserve">B+</t>
  </si>
  <si>
    <t xml:space="preserve">BB</t>
  </si>
  <si>
    <t xml:space="preserve">BB-</t>
  </si>
  <si>
    <t xml:space="preserve">BB+</t>
  </si>
  <si>
    <t xml:space="preserve">BBB</t>
  </si>
  <si>
    <t xml:space="preserve">BBB-</t>
  </si>
  <si>
    <t xml:space="preserve">BBB+</t>
  </si>
  <si>
    <t xml:space="preserve">C2</t>
  </si>
  <si>
    <t xml:space="preserve">C-</t>
  </si>
  <si>
    <t xml:space="preserve">C3</t>
  </si>
  <si>
    <t xml:space="preserve">C+</t>
  </si>
  <si>
    <t xml:space="preserve">C1</t>
  </si>
  <si>
    <t xml:space="preserve">CC</t>
  </si>
  <si>
    <t xml:space="preserve">Ca2</t>
  </si>
  <si>
    <t xml:space="preserve">CC-</t>
  </si>
  <si>
    <t xml:space="preserve">Ca3</t>
  </si>
  <si>
    <t xml:space="preserve">CC+</t>
  </si>
  <si>
    <t xml:space="preserve">Ca1</t>
  </si>
  <si>
    <t xml:space="preserve">CCC</t>
  </si>
  <si>
    <t xml:space="preserve">CCC-</t>
  </si>
  <si>
    <t xml:space="preserve">CCC+</t>
  </si>
  <si>
    <t xml:space="preserve">Democratic Republic of Congo</t>
  </si>
  <si>
    <t xml:space="preserve">Republic of the Congo</t>
  </si>
  <si>
    <t xml:space="preserve">Russia</t>
  </si>
  <si>
    <t xml:space="preserve">Turkmenistan</t>
  </si>
  <si>
    <t xml:space="preserve"> Default Spread (7/1/25)</t>
  </si>
  <si>
    <t xml:space="preserve">Updated Default Spread (12/31/25)</t>
  </si>
  <si>
    <t xml:space="preserve">CDS % Change</t>
  </si>
  <si>
    <t xml:space="preserve">Algeria</t>
  </si>
  <si>
    <t xml:space="preserve">* Adjusted to reflect US addition to Aa1 countries</t>
  </si>
  <si>
    <t xml:space="preserve">Dubai</t>
  </si>
  <si>
    <t xml:space="preserve">MR</t>
  </si>
  <si>
    <t xml:space="preserve">Average</t>
  </si>
  <si>
    <t xml:space="preserve">Median</t>
  </si>
  <si>
    <t xml:space="preserve">CDS Spread (12/31/25)</t>
  </si>
  <si>
    <t xml:space="preserve">CDS Spread adj for Switzerland</t>
  </si>
  <si>
    <t xml:space="preserve">CDS Spread net of Switzerland</t>
  </si>
  <si>
    <t xml:space="preserve">Date:</t>
  </si>
  <si>
    <t xml:space="preserve">Just Risky markets</t>
  </si>
  <si>
    <r>
      <rPr>
        <i val="true"/>
        <sz val="12"/>
        <color rgb="FF000000"/>
        <rFont val="Symbol"/>
        <family val="0"/>
        <charset val="2"/>
      </rPr>
      <t xml:space="preserve">s</t>
    </r>
    <r>
      <rPr>
        <i val="true"/>
        <vertAlign val="subscript"/>
        <sz val="12"/>
        <color rgb="FF000000"/>
        <rFont val="Times New Roman"/>
        <family val="1"/>
        <charset val="1"/>
      </rPr>
      <t xml:space="preserve">Equity</t>
    </r>
  </si>
  <si>
    <r>
      <rPr>
        <i val="true"/>
        <sz val="12"/>
        <color rgb="FF000000"/>
        <rFont val="Symbol"/>
        <family val="0"/>
        <charset val="2"/>
      </rPr>
      <t xml:space="preserve">s</t>
    </r>
    <r>
      <rPr>
        <i val="true"/>
        <vertAlign val="subscript"/>
        <sz val="12"/>
        <color rgb="FF000000"/>
        <rFont val="Times New Roman"/>
        <family val="1"/>
        <charset val="1"/>
      </rPr>
      <t xml:space="preserve">Bond</t>
    </r>
  </si>
  <si>
    <r>
      <rPr>
        <i val="true"/>
        <sz val="12"/>
        <color rgb="FF000000"/>
        <rFont val="Symbol"/>
        <family val="0"/>
        <charset val="2"/>
      </rPr>
      <t xml:space="preserve">s</t>
    </r>
    <r>
      <rPr>
        <i val="true"/>
        <vertAlign val="subscript"/>
        <sz val="12"/>
        <color rgb="FF000000"/>
        <rFont val="Times New Roman"/>
        <family val="1"/>
        <charset val="1"/>
      </rPr>
      <t xml:space="preserve">Equity/ </t>
    </r>
    <r>
      <rPr>
        <i val="true"/>
        <sz val="12"/>
        <color rgb="FF000000"/>
        <rFont val="Symbol"/>
        <family val="0"/>
        <charset val="2"/>
      </rPr>
      <t xml:space="preserve">s</t>
    </r>
    <r>
      <rPr>
        <i val="true"/>
        <vertAlign val="subscript"/>
        <sz val="12"/>
        <color rgb="FF000000"/>
        <rFont val="Times New Roman"/>
        <family val="1"/>
        <charset val="1"/>
      </rPr>
      <t xml:space="preserve">Bond</t>
    </r>
  </si>
  <si>
    <r>
      <rPr>
        <i val="true"/>
        <sz val="12"/>
        <color rgb="FF000000"/>
        <rFont val="Symbol"/>
        <family val="0"/>
        <charset val="2"/>
      </rPr>
      <t xml:space="preserve">s </t>
    </r>
    <r>
      <rPr>
        <i val="true"/>
        <sz val="12"/>
        <color rgb="FF000000"/>
        <rFont val="Times New Roman"/>
        <family val="1"/>
        <charset val="1"/>
      </rPr>
      <t xml:space="preserve">(CDS)</t>
    </r>
  </si>
  <si>
    <t xml:space="preserve">CDS </t>
  </si>
  <si>
    <t xml:space="preserve">CV(CDS)</t>
  </si>
  <si>
    <r>
      <rPr>
        <i val="true"/>
        <sz val="12"/>
        <color rgb="FF000000"/>
        <rFont val="Symbol"/>
        <family val="0"/>
        <charset val="2"/>
      </rPr>
      <t xml:space="preserve">s</t>
    </r>
    <r>
      <rPr>
        <i val="true"/>
        <vertAlign val="subscript"/>
        <sz val="12"/>
        <color rgb="FF000000"/>
        <rFont val="Times New Roman"/>
        <family val="1"/>
        <charset val="1"/>
      </rPr>
      <t xml:space="preserve">Equity/ </t>
    </r>
    <r>
      <rPr>
        <i val="true"/>
        <sz val="12"/>
        <color rgb="FF000000"/>
        <rFont val="Symbol"/>
        <family val="0"/>
        <charset val="2"/>
      </rPr>
      <t xml:space="preserve">s</t>
    </r>
    <r>
      <rPr>
        <i val="true"/>
        <vertAlign val="subscript"/>
        <sz val="12"/>
        <color rgb="FF000000"/>
        <rFont val="Times New Roman"/>
        <family val="1"/>
        <charset val="1"/>
      </rPr>
      <t xml:space="preserve">CDS</t>
    </r>
  </si>
  <si>
    <t xml:space="preserve">High</t>
  </si>
  <si>
    <t xml:space="preserve">Low</t>
  </si>
  <si>
    <t xml:space="preserve">Country Name</t>
  </si>
  <si>
    <t xml:space="preserve">GDP in 2024</t>
  </si>
  <si>
    <t xml:space="preserve">GDP (in millions) in 2022</t>
  </si>
  <si>
    <t xml:space="preserve">GDP (in millions) in 2023</t>
  </si>
  <si>
    <t xml:space="preserve">Afghanistan</t>
  </si>
  <si>
    <t xml:space="preserve">World Bank</t>
  </si>
  <si>
    <t xml:space="preserve">Africa Eastern and Southern</t>
  </si>
  <si>
    <t xml:space="preserve">Africa Western and Central</t>
  </si>
  <si>
    <t xml:space="preserve">American Samoa</t>
  </si>
  <si>
    <t xml:space="preserve">Andorra</t>
  </si>
  <si>
    <t xml:space="preserve">Antigua and Barbuda</t>
  </si>
  <si>
    <t xml:space="preserve">Arab World</t>
  </si>
  <si>
    <t xml:space="preserve">Bahamas, The</t>
  </si>
  <si>
    <t xml:space="preserve">Bhutan</t>
  </si>
  <si>
    <t xml:space="preserve">British Virgin Islands</t>
  </si>
  <si>
    <t xml:space="preserve">Brunei Darussalam</t>
  </si>
  <si>
    <t xml:space="preserve">Burundi</t>
  </si>
  <si>
    <t xml:space="preserve">Cabo Verde</t>
  </si>
  <si>
    <t xml:space="preserve">Caribbean small states</t>
  </si>
  <si>
    <t xml:space="preserve">Central African Republic</t>
  </si>
  <si>
    <t xml:space="preserve">Central Europe and the Baltics</t>
  </si>
  <si>
    <t xml:space="preserve">Chad</t>
  </si>
  <si>
    <t xml:space="preserve">Channel Islands</t>
  </si>
  <si>
    <t xml:space="preserve">Comoros</t>
  </si>
  <si>
    <t xml:space="preserve">Congo, Dem. Rep.</t>
  </si>
  <si>
    <t xml:space="preserve">Congo, Rep.</t>
  </si>
  <si>
    <t xml:space="preserve">Cote d'Ivoire</t>
  </si>
  <si>
    <t xml:space="preserve">Czechia</t>
  </si>
  <si>
    <t xml:space="preserve">Djibouti</t>
  </si>
  <si>
    <t xml:space="preserve">Dominica</t>
  </si>
  <si>
    <t xml:space="preserve">Early-demographic dividend</t>
  </si>
  <si>
    <t xml:space="preserve">East Asia &amp; Pacific</t>
  </si>
  <si>
    <t xml:space="preserve">East Asia &amp; Pacific (excluding high income)</t>
  </si>
  <si>
    <t xml:space="preserve">East Asia &amp; Pacific (IDA &amp; IBRD countries)</t>
  </si>
  <si>
    <t xml:space="preserve">Egypt, Arab Rep.</t>
  </si>
  <si>
    <t xml:space="preserve">Equatorial Guinea</t>
  </si>
  <si>
    <t xml:space="preserve">Eritrea</t>
  </si>
  <si>
    <t xml:space="preserve">Eswatini</t>
  </si>
  <si>
    <t xml:space="preserve">Euro area</t>
  </si>
  <si>
    <t xml:space="preserve">Europe &amp; Central Asia</t>
  </si>
  <si>
    <t xml:space="preserve">Europe &amp; Central Asia (excluding high income)</t>
  </si>
  <si>
    <t xml:space="preserve">Europe &amp; Central Asia (IDA &amp; IBRD countries)</t>
  </si>
  <si>
    <t xml:space="preserve">European Union</t>
  </si>
  <si>
    <t xml:space="preserve">Faroe Islands</t>
  </si>
  <si>
    <t xml:space="preserve">Fragile and conflict affected situations</t>
  </si>
  <si>
    <t xml:space="preserve">French Polynesia</t>
  </si>
  <si>
    <t xml:space="preserve">Gambia, The</t>
  </si>
  <si>
    <t xml:space="preserve">Gibraltar</t>
  </si>
  <si>
    <t xml:space="preserve">Greenland</t>
  </si>
  <si>
    <t xml:space="preserve">Grenada</t>
  </si>
  <si>
    <t xml:space="preserve">Guam</t>
  </si>
  <si>
    <t xml:space="preserve">Guinea</t>
  </si>
  <si>
    <t xml:space="preserve">Guinea-Bissau</t>
  </si>
  <si>
    <t xml:space="preserve">Guyana</t>
  </si>
  <si>
    <t xml:space="preserve">Haiti</t>
  </si>
  <si>
    <t xml:space="preserve">Heavily indebted poor countries (HIPC)</t>
  </si>
  <si>
    <t xml:space="preserve">High income</t>
  </si>
  <si>
    <t xml:space="preserve">Hong Kong SAR, China</t>
  </si>
  <si>
    <t xml:space="preserve">IBRD only</t>
  </si>
  <si>
    <t xml:space="preserve">IDA &amp; IBRD total</t>
  </si>
  <si>
    <t xml:space="preserve">IDA blend</t>
  </si>
  <si>
    <t xml:space="preserve">IDA only</t>
  </si>
  <si>
    <t xml:space="preserve">IDA total</t>
  </si>
  <si>
    <t xml:space="preserve">Iran, Islamic Rep.</t>
  </si>
  <si>
    <t xml:space="preserve">Kiribati</t>
  </si>
  <si>
    <t xml:space="preserve">Korea, Dem. People's Rep.</t>
  </si>
  <si>
    <t xml:space="preserve">Korea, Rep.</t>
  </si>
  <si>
    <t xml:space="preserve">Kosovo</t>
  </si>
  <si>
    <t xml:space="preserve">Kyrgyz Republic</t>
  </si>
  <si>
    <t xml:space="preserve">Lao PDR</t>
  </si>
  <si>
    <t xml:space="preserve">Late-demographic dividend</t>
  </si>
  <si>
    <t xml:space="preserve">Latin America &amp; Caribbean (excluding high income)</t>
  </si>
  <si>
    <t xml:space="preserve">Latin America &amp; the Caribbean (IDA &amp; IBRD countries)</t>
  </si>
  <si>
    <t xml:space="preserve">Least developed countries: UN classification</t>
  </si>
  <si>
    <t xml:space="preserve">Lesotho</t>
  </si>
  <si>
    <t xml:space="preserve">Liberia</t>
  </si>
  <si>
    <t xml:space="preserve">Libya</t>
  </si>
  <si>
    <t xml:space="preserve">Low &amp; middle income</t>
  </si>
  <si>
    <t xml:space="preserve">Low income</t>
  </si>
  <si>
    <t xml:space="preserve">Lower middle income</t>
  </si>
  <si>
    <t xml:space="preserve">Macao SAR, China</t>
  </si>
  <si>
    <t xml:space="preserve">Madagascar</t>
  </si>
  <si>
    <t xml:space="preserve">Malawi</t>
  </si>
  <si>
    <t xml:space="preserve">United States of America</t>
  </si>
  <si>
    <t xml:space="preserve">Marshall Islands</t>
  </si>
  <si>
    <t xml:space="preserve">Mauritania</t>
  </si>
  <si>
    <t xml:space="preserve">Micronesia, Fed. Sts.</t>
  </si>
  <si>
    <t xml:space="preserve">Middle East, North Africa, Afghanistan &amp; Pakistan</t>
  </si>
  <si>
    <t xml:space="preserve">Middle East, North Africa, Afghanistan &amp; Pakistan (excluding high income)</t>
  </si>
  <si>
    <t xml:space="preserve">Brunei</t>
  </si>
  <si>
    <t xml:space="preserve">Middle East, North Africa, Afghanistan &amp; Pakistan (IDA &amp; IBRD)</t>
  </si>
  <si>
    <t xml:space="preserve">Gambia</t>
  </si>
  <si>
    <t xml:space="preserve">Middle income</t>
  </si>
  <si>
    <t xml:space="preserve">Monaco</t>
  </si>
  <si>
    <t xml:space="preserve">Iran</t>
  </si>
  <si>
    <t xml:space="preserve">Korea, D.P.R.</t>
  </si>
  <si>
    <t xml:space="preserve">Myanmar</t>
  </si>
  <si>
    <t xml:space="preserve">Nauru</t>
  </si>
  <si>
    <t xml:space="preserve">Sierra Leone</t>
  </si>
  <si>
    <t xml:space="preserve">New Caledonia</t>
  </si>
  <si>
    <t xml:space="preserve">Somalia</t>
  </si>
  <si>
    <t xml:space="preserve">Sudan</t>
  </si>
  <si>
    <t xml:space="preserve">Syria</t>
  </si>
  <si>
    <t xml:space="preserve">Yemen, Republic</t>
  </si>
  <si>
    <t xml:space="preserve">North Macedonia</t>
  </si>
  <si>
    <t xml:space="preserve">Northern Mariana Islands</t>
  </si>
  <si>
    <t xml:space="preserve">Not classified</t>
  </si>
  <si>
    <t xml:space="preserve">OECD members</t>
  </si>
  <si>
    <t xml:space="preserve">Other small states</t>
  </si>
  <si>
    <t xml:space="preserve">Pacific island small states</t>
  </si>
  <si>
    <t xml:space="preserve">Palau</t>
  </si>
  <si>
    <t xml:space="preserve">Post-demographic dividend</t>
  </si>
  <si>
    <t xml:space="preserve">Pre-demographic dividend</t>
  </si>
  <si>
    <t xml:space="preserve">Puerto Rico (US)</t>
  </si>
  <si>
    <t xml:space="preserve">Russian Federation</t>
  </si>
  <si>
    <t xml:space="preserve">Samoa</t>
  </si>
  <si>
    <t xml:space="preserve">San Marino</t>
  </si>
  <si>
    <t xml:space="preserve">Sao Tome and Principe</t>
  </si>
  <si>
    <t xml:space="preserve">Seychelles</t>
  </si>
  <si>
    <t xml:space="preserve">Sint Maarten (Dutch part)</t>
  </si>
  <si>
    <t xml:space="preserve">Slovak Republic</t>
  </si>
  <si>
    <t xml:space="preserve">Small states</t>
  </si>
  <si>
    <t xml:space="preserve">Somalia, Fed. Rep.</t>
  </si>
  <si>
    <t xml:space="preserve">South Asia</t>
  </si>
  <si>
    <t xml:space="preserve">South Asia (IDA &amp; IBRD)</t>
  </si>
  <si>
    <t xml:space="preserve">South Sudan</t>
  </si>
  <si>
    <t xml:space="preserve">St. Kitts and Nevis</t>
  </si>
  <si>
    <t xml:space="preserve">St. Lucia</t>
  </si>
  <si>
    <t xml:space="preserve">St. Martin (French part)</t>
  </si>
  <si>
    <t xml:space="preserve">St. Vincent and the Grenadines</t>
  </si>
  <si>
    <t xml:space="preserve">Sub-Saharan Africa</t>
  </si>
  <si>
    <t xml:space="preserve">Sub-Saharan Africa (excluding high income)</t>
  </si>
  <si>
    <t xml:space="preserve">Sub-Saharan Africa (IDA &amp; IBRD countries)</t>
  </si>
  <si>
    <t xml:space="preserve">Syrian Arab Republic</t>
  </si>
  <si>
    <t xml:space="preserve">Timor-Leste</t>
  </si>
  <si>
    <t xml:space="preserve">Tonga</t>
  </si>
  <si>
    <t xml:space="preserve">Turkiye</t>
  </si>
  <si>
    <t xml:space="preserve">Tuvalu</t>
  </si>
  <si>
    <t xml:space="preserve">Vanuatu</t>
  </si>
  <si>
    <t xml:space="preserve">Venezuela, RB</t>
  </si>
  <si>
    <t xml:space="preserve">Viet Nam</t>
  </si>
  <si>
    <t xml:space="preserve">Virgin Islands (U.S.)</t>
  </si>
  <si>
    <t xml:space="preserve">West Bank and Gaza</t>
  </si>
  <si>
    <t xml:space="preserve">World</t>
  </si>
  <si>
    <t xml:space="preserve">Yemen, Rep.</t>
  </si>
  <si>
    <t xml:space="preserve">Moody's Rating</t>
  </si>
  <si>
    <t xml:space="preserve">S&amp;P</t>
  </si>
  <si>
    <t xml:space="preserve">FITCH</t>
  </si>
  <si>
    <t xml:space="preserve">FC</t>
  </si>
  <si>
    <t xml:space="preserve">LC</t>
  </si>
  <si>
    <t xml:space="preserve">Fitch</t>
  </si>
  <si>
    <t xml:space="preserve">Bahamas-Offshore Banks</t>
  </si>
  <si>
    <t xml:space="preserve">-</t>
  </si>
  <si>
    <t xml:space="preserve">Bahrain-Offshore Banks [1]</t>
  </si>
  <si>
    <t xml:space="preserve">N/A</t>
  </si>
  <si>
    <t xml:space="preserve">Cayman Islands-Offshore Banks</t>
  </si>
  <si>
    <t xml:space="preserve">Congo</t>
  </si>
  <si>
    <t xml:space="preserve">WR</t>
  </si>
  <si>
    <t xml:space="preserve">Democratic Republic of the Congo</t>
  </si>
  <si>
    <t xml:space="preserve">SD</t>
  </si>
  <si>
    <t xml:space="preserve">RD</t>
  </si>
  <si>
    <t xml:space="preserve">eSwatini</t>
  </si>
  <si>
    <t xml:space="preserve">Guernsey (Channel Islands)</t>
  </si>
  <si>
    <t xml:space="preserve">Ivory Coast</t>
  </si>
  <si>
    <t xml:space="preserve">Jersey (Channel Islands)</t>
  </si>
  <si>
    <t xml:space="preserve">Macau</t>
  </si>
  <si>
    <t xml:space="preserve">Panama-Offshore Banks</t>
  </si>
  <si>
    <t xml:space="preserve">Puerto Rico</t>
  </si>
  <si>
    <t xml:space="preserve">Saint Vincent and the Grenadines</t>
  </si>
  <si>
    <t xml:space="preserve">South Korea</t>
  </si>
  <si>
    <t xml:space="preserve">Sint Maarten</t>
  </si>
  <si>
    <t xml:space="preserve">St Vincent and the Grenadines</t>
  </si>
  <si>
    <t xml:space="preserve">Taiwan, China</t>
  </si>
  <si>
    <t xml:space="preserve">Venezuela [2]</t>
  </si>
  <si>
    <t xml:space="preserve">Unired States</t>
  </si>
  <si>
    <t xml:space="preserve">Looked up for 2025</t>
  </si>
  <si>
    <t xml:space="preserve">Average Tax Rate</t>
  </si>
  <si>
    <t xml:space="preserve">2025 tax rate %</t>
  </si>
  <si>
    <t xml:space="preserve">Europe average</t>
  </si>
  <si>
    <t xml:space="preserve">Africa average</t>
  </si>
  <si>
    <t xml:space="preserve">Aland Islands</t>
  </si>
  <si>
    <t xml:space="preserve">Latin America average</t>
  </si>
  <si>
    <t xml:space="preserve">North America average</t>
  </si>
  <si>
    <t xml:space="preserve">Oceania average</t>
  </si>
  <si>
    <t xml:space="preserve">Anguilla</t>
  </si>
  <si>
    <t xml:space="preserve">OECD average</t>
  </si>
  <si>
    <t xml:space="preserve">Bonaire, Saint Eustatius and Saba</t>
  </si>
  <si>
    <t xml:space="preserve">Bonaire, Sint Eustatius and Saba</t>
  </si>
  <si>
    <t xml:space="preserve">Congo (Democratic Republic of the)</t>
  </si>
  <si>
    <t xml:space="preserve">China, Hong Kong Special Administrative Region</t>
  </si>
  <si>
    <t xml:space="preserve">China, Macao Special Administrative Region</t>
  </si>
  <si>
    <t xml:space="preserve">Guernsey</t>
  </si>
  <si>
    <t xml:space="preserve">Hong Kong SAR</t>
  </si>
  <si>
    <t xml:space="preserve">Falkland Islands (Malvinas)</t>
  </si>
  <si>
    <t xml:space="preserve">Federated States of Micronesia</t>
  </si>
  <si>
    <t xml:space="preserve">Jersey</t>
  </si>
  <si>
    <t xml:space="preserve">Korea, Republic of</t>
  </si>
  <si>
    <t xml:space="preserve">Palestinian Territory</t>
  </si>
  <si>
    <t xml:space="preserve">Saint Kitts and Nevis</t>
  </si>
  <si>
    <t xml:space="preserve">Saint Lucia</t>
  </si>
  <si>
    <t xml:space="preserve">St Maarten</t>
  </si>
  <si>
    <t xml:space="preserve">Niue</t>
  </si>
  <si>
    <t xml:space="preserve">Palestine</t>
  </si>
  <si>
    <t xml:space="preserve">Saint Barthelemy</t>
  </si>
  <si>
    <t xml:space="preserve">Saint Helena</t>
  </si>
  <si>
    <t xml:space="preserve">Yemen</t>
  </si>
  <si>
    <t xml:space="preserve">Saint Martin (French Part)</t>
  </si>
  <si>
    <t xml:space="preserve">Tokelau</t>
  </si>
  <si>
    <t xml:space="preserve">United States Virgin Islands</t>
  </si>
  <si>
    <t xml:space="preserve">Wallis and Futuna Islands</t>
  </si>
  <si>
    <t xml:space="preserve">Final ERP</t>
  </si>
  <si>
    <t xml:space="preserve">PRS in June 2025</t>
  </si>
  <si>
    <t xml:space="preserve">More than</t>
  </si>
  <si>
    <t xml:space="preserve">Less than</t>
  </si>
  <si>
    <t xml:space="preserve">Below Ca</t>
  </si>
  <si>
    <t xml:space="preserve">Ca </t>
  </si>
  <si>
    <t xml:space="preserve">Updated Default Spread (1/1/25)</t>
  </si>
  <si>
    <t xml:space="preserve">China, Peoples' Rep.</t>
  </si>
  <si>
    <t xml:space="preserve">Congo, Dem. Republic</t>
  </si>
  <si>
    <t xml:space="preserve">Congo, Republic</t>
  </si>
  <si>
    <t xml:space="preserve">Korea, Republic</t>
  </si>
  <si>
    <t xml:space="preserve">Serbia </t>
  </si>
  <si>
    <t xml:space="preserve">Row Labels</t>
  </si>
  <si>
    <t xml:space="preserve">Updating Sequence</t>
  </si>
  <si>
    <t xml:space="preserve">1. Relative Risk Worksheet</t>
  </si>
  <si>
    <t xml:space="preserve">2. Sovereign Ratings</t>
  </si>
  <si>
    <t xml:space="preserve">3. CDS Worksheet</t>
  </si>
  <si>
    <t xml:space="preserve">4. Default Spreads</t>
  </si>
  <si>
    <t xml:space="preserve">5. PRS Worksheet</t>
  </si>
  <si>
    <t xml:space="preserve">6. Country GDP</t>
  </si>
  <si>
    <t xml:space="preserve">7. Country tax rates</t>
  </si>
  <si>
    <t xml:space="preserve">8. Regional Weighted averages</t>
  </si>
</sst>
</file>

<file path=xl/styles.xml><?xml version="1.0" encoding="utf-8"?>
<styleSheet xmlns="http://schemas.openxmlformats.org/spreadsheetml/2006/main">
  <numFmts count="18">
    <numFmt numFmtId="164" formatCode="General"/>
    <numFmt numFmtId="165" formatCode="_(* #,##0.00_);_(* \(#,##0.00\);_(* \-??_);_(@_)"/>
    <numFmt numFmtId="166" formatCode="General"/>
    <numFmt numFmtId="167" formatCode="0%"/>
    <numFmt numFmtId="168" formatCode="0.00%"/>
    <numFmt numFmtId="169" formatCode="0.00"/>
    <numFmt numFmtId="170" formatCode="[$-409]d\-mmm\-yy;@"/>
    <numFmt numFmtId="171" formatCode="0"/>
    <numFmt numFmtId="172" formatCode="0.0"/>
    <numFmt numFmtId="173" formatCode="0.000%"/>
    <numFmt numFmtId="174" formatCode="#,##0"/>
    <numFmt numFmtId="175" formatCode="d\-mmm\-yy"/>
    <numFmt numFmtId="176" formatCode="m/d/yyyy"/>
    <numFmt numFmtId="177" formatCode="[$-409]mmmm\ d&quot;, &quot;yyyy;@"/>
    <numFmt numFmtId="178" formatCode="mmm\-yy"/>
    <numFmt numFmtId="179" formatCode="\$#,##0"/>
    <numFmt numFmtId="180" formatCode="@"/>
    <numFmt numFmtId="181" formatCode="0.000"/>
  </numFmts>
  <fonts count="70">
    <font>
      <sz val="9"/>
      <name val="Geneva"/>
      <family val="2"/>
      <charset val="1"/>
    </font>
    <font>
      <sz val="10"/>
      <name val="Arial"/>
      <family val="0"/>
    </font>
    <font>
      <sz val="10"/>
      <name val="Arial"/>
      <family val="0"/>
    </font>
    <font>
      <sz val="10"/>
      <name val="Arial"/>
      <family val="0"/>
    </font>
    <font>
      <b val="true"/>
      <sz val="11"/>
      <color rgb="FFFFFFFF"/>
      <name val="Calibri"/>
      <family val="2"/>
      <charset val="1"/>
    </font>
    <font>
      <sz val="10"/>
      <name val="Arial"/>
      <family val="2"/>
      <charset val="1"/>
    </font>
    <font>
      <b val="true"/>
      <sz val="9"/>
      <name val="Geneva"/>
      <family val="2"/>
      <charset val="1"/>
    </font>
    <font>
      <b val="true"/>
      <sz val="12"/>
      <name val="Calibri"/>
      <family val="2"/>
      <charset val="1"/>
    </font>
    <font>
      <sz val="12"/>
      <name val="Calibri"/>
      <family val="2"/>
      <charset val="1"/>
    </font>
    <font>
      <b val="true"/>
      <i val="true"/>
      <sz val="12"/>
      <name val="Calibri"/>
      <family val="2"/>
      <charset val="1"/>
    </font>
    <font>
      <i val="true"/>
      <sz val="12"/>
      <name val="Calibri"/>
      <family val="2"/>
      <charset val="1"/>
    </font>
    <font>
      <u val="single"/>
      <sz val="12"/>
      <color rgb="FF0000D4"/>
      <name val="Calibri"/>
      <family val="2"/>
      <charset val="1"/>
    </font>
    <font>
      <u val="single"/>
      <sz val="9"/>
      <color rgb="FF0000D4"/>
      <name val="Geneva"/>
      <family val="2"/>
      <charset val="1"/>
    </font>
    <font>
      <i val="true"/>
      <sz val="12"/>
      <name val="Geneva"/>
      <family val="2"/>
      <charset val="1"/>
    </font>
    <font>
      <i val="true"/>
      <sz val="9"/>
      <name val="Geneva"/>
      <family val="2"/>
      <charset val="1"/>
    </font>
    <font>
      <u val="single"/>
      <sz val="12"/>
      <name val="Calibri"/>
      <family val="2"/>
      <charset val="1"/>
    </font>
    <font>
      <sz val="12"/>
      <name val="Arial"/>
      <family val="2"/>
      <charset val="1"/>
    </font>
    <font>
      <sz val="12"/>
      <name val="Geneva"/>
      <family val="2"/>
      <charset val="1"/>
    </font>
    <font>
      <i val="true"/>
      <sz val="12"/>
      <name val="Arial"/>
      <family val="2"/>
      <charset val="1"/>
    </font>
    <font>
      <b val="true"/>
      <sz val="12"/>
      <name val="Arial"/>
      <family val="2"/>
      <charset val="1"/>
    </font>
    <font>
      <b val="true"/>
      <sz val="12"/>
      <name val="Geneva"/>
      <family val="2"/>
      <charset val="1"/>
    </font>
    <font>
      <b val="true"/>
      <sz val="14"/>
      <name val="Calibri"/>
      <family val="2"/>
      <charset val="1"/>
    </font>
    <font>
      <b val="true"/>
      <sz val="14"/>
      <name val="Geneva"/>
      <family val="2"/>
      <charset val="1"/>
    </font>
    <font>
      <b val="true"/>
      <sz val="12"/>
      <name val="Times New Roman"/>
      <family val="1"/>
      <charset val="1"/>
    </font>
    <font>
      <sz val="12"/>
      <name val="Times New Roman"/>
      <family val="1"/>
      <charset val="1"/>
    </font>
    <font>
      <b val="true"/>
      <i val="true"/>
      <sz val="12"/>
      <name val="Times New Roman"/>
      <family val="1"/>
      <charset val="1"/>
    </font>
    <font>
      <b val="true"/>
      <i val="true"/>
      <sz val="9"/>
      <name val="Geneva"/>
      <family val="2"/>
      <charset val="1"/>
    </font>
    <font>
      <i val="true"/>
      <sz val="12"/>
      <name val="Times New Roman"/>
      <family val="1"/>
      <charset val="1"/>
    </font>
    <font>
      <sz val="12"/>
      <color rgb="FF000000"/>
      <name val="Calibri"/>
      <family val="2"/>
      <charset val="1"/>
    </font>
    <font>
      <sz val="10"/>
      <color rgb="FF000000"/>
      <name val="Calibri"/>
      <family val="2"/>
      <charset val="1"/>
    </font>
    <font>
      <b val="true"/>
      <sz val="10"/>
      <name val="Arial"/>
      <family val="2"/>
      <charset val="1"/>
    </font>
    <font>
      <sz val="10"/>
      <color rgb="FF00263A"/>
      <name val="Arial"/>
      <family val="2"/>
      <charset val="1"/>
    </font>
    <font>
      <b val="true"/>
      <sz val="14"/>
      <color rgb="FF232A31"/>
      <name val="Arial"/>
      <family val="2"/>
      <charset val="1"/>
    </font>
    <font>
      <sz val="10"/>
      <color rgb="FF232A31"/>
      <name val="Helvetica Neue"/>
      <family val="2"/>
      <charset val="1"/>
    </font>
    <font>
      <sz val="10"/>
      <name val="Geogrotesque Rg"/>
      <family val="0"/>
      <charset val="1"/>
    </font>
    <font>
      <sz val="14"/>
      <color rgb="FF232A31"/>
      <name val="Arial"/>
      <family val="2"/>
      <charset val="1"/>
    </font>
    <font>
      <sz val="10"/>
      <color rgb="FF000000"/>
      <name val="Arial"/>
      <family val="2"/>
      <charset val="1"/>
    </font>
    <font>
      <sz val="10"/>
      <name val="Geneva"/>
      <family val="2"/>
      <charset val="1"/>
    </font>
    <font>
      <b val="true"/>
      <sz val="10"/>
      <name val="Geneva"/>
      <family val="2"/>
      <charset val="1"/>
    </font>
    <font>
      <b val="true"/>
      <sz val="8"/>
      <name val="Times New Roman"/>
      <family val="1"/>
      <charset val="1"/>
    </font>
    <font>
      <u val="single"/>
      <sz val="8"/>
      <name val="Times New Roman"/>
      <family val="1"/>
      <charset val="1"/>
    </font>
    <font>
      <sz val="9"/>
      <color rgb="FFFF0000"/>
      <name val="Geneva"/>
      <family val="2"/>
      <charset val="1"/>
    </font>
    <font>
      <i val="true"/>
      <sz val="12"/>
      <color rgb="FF000000"/>
      <name val="Calibri"/>
      <family val="2"/>
      <charset val="1"/>
    </font>
    <font>
      <sz val="9"/>
      <color rgb="FF000000"/>
      <name val="Geneva"/>
      <family val="2"/>
      <charset val="1"/>
    </font>
    <font>
      <b val="true"/>
      <sz val="12"/>
      <color rgb="FF000000"/>
      <name val="Calibri"/>
      <family val="2"/>
      <charset val="1"/>
    </font>
    <font>
      <sz val="10"/>
      <color rgb="FFFF0000"/>
      <name val="Geneva"/>
      <family val="2"/>
      <charset val="1"/>
    </font>
    <font>
      <sz val="14"/>
      <name val="Geneva"/>
      <family val="2"/>
      <charset val="1"/>
    </font>
    <font>
      <i val="true"/>
      <sz val="12"/>
      <color rgb="FF000000"/>
      <name val="Times New Roman"/>
      <family val="1"/>
      <charset val="1"/>
    </font>
    <font>
      <i val="true"/>
      <sz val="12"/>
      <color rgb="FF000000"/>
      <name val="Symbol"/>
      <family val="0"/>
      <charset val="2"/>
    </font>
    <font>
      <i val="true"/>
      <vertAlign val="subscript"/>
      <sz val="12"/>
      <color rgb="FF000000"/>
      <name val="Times New Roman"/>
      <family val="1"/>
      <charset val="1"/>
    </font>
    <font>
      <sz val="12"/>
      <color rgb="FF000000"/>
      <name val="Times New Roman"/>
      <family val="1"/>
      <charset val="1"/>
    </font>
    <font>
      <b val="true"/>
      <sz val="12"/>
      <color rgb="FF000000"/>
      <name val="Times New Roman"/>
      <family val="1"/>
      <charset val="1"/>
    </font>
    <font>
      <b val="true"/>
      <sz val="16"/>
      <color rgb="FF212529"/>
      <name val="Helvetica Neue"/>
      <family val="2"/>
      <charset val="1"/>
    </font>
    <font>
      <b val="true"/>
      <sz val="13"/>
      <color rgb="FF000000"/>
      <name val="Arial"/>
      <family val="2"/>
      <charset val="1"/>
    </font>
    <font>
      <sz val="16"/>
      <color rgb="FF212529"/>
      <name val="Helvetica Neue"/>
      <family val="2"/>
      <charset val="1"/>
    </font>
    <font>
      <sz val="13"/>
      <color rgb="FF000000"/>
      <name val="Arial"/>
      <family val="2"/>
      <charset val="1"/>
    </font>
    <font>
      <sz val="16"/>
      <color rgb="FF006400"/>
      <name val="Helvetica Neue"/>
      <family val="2"/>
      <charset val="1"/>
    </font>
    <font>
      <sz val="10"/>
      <color rgb="FFFF0000"/>
      <name val="Arial"/>
      <family val="2"/>
      <charset val="1"/>
    </font>
    <font>
      <sz val="16"/>
      <color rgb="FF8B0000"/>
      <name val="Helvetica Neue"/>
      <family val="2"/>
      <charset val="1"/>
    </font>
    <font>
      <sz val="12"/>
      <color rgb="FFFF0000"/>
      <name val="Calibri"/>
      <family val="2"/>
      <charset val="1"/>
    </font>
    <font>
      <sz val="12"/>
      <color rgb="FF00B050"/>
      <name val="Calibri"/>
      <family val="2"/>
      <charset val="1"/>
    </font>
    <font>
      <sz val="15"/>
      <color rgb="FF212529"/>
      <name val="Helvetica Neue"/>
      <family val="2"/>
      <charset val="1"/>
    </font>
    <font>
      <sz val="15"/>
      <color rgb="FF006400"/>
      <name val="Helvetica Neue"/>
      <family val="2"/>
      <charset val="1"/>
    </font>
    <font>
      <sz val="15"/>
      <color rgb="FF8B0000"/>
      <name val="Helvetica Neue"/>
      <family val="2"/>
      <charset val="1"/>
    </font>
    <font>
      <sz val="11"/>
      <color rgb="FF000000"/>
      <name val="Arial"/>
      <family val="2"/>
      <charset val="1"/>
    </font>
    <font>
      <sz val="10.8"/>
      <color rgb="FF000000"/>
      <name val="Arial"/>
      <family val="2"/>
      <charset val="1"/>
    </font>
    <font>
      <b val="true"/>
      <sz val="11"/>
      <name val="Calibri"/>
      <family val="2"/>
      <charset val="1"/>
    </font>
    <font>
      <sz val="11"/>
      <name val="Calibri"/>
      <family val="2"/>
      <charset val="1"/>
    </font>
    <font>
      <b val="true"/>
      <sz val="10"/>
      <name val="Times New Roman"/>
      <family val="1"/>
      <charset val="1"/>
    </font>
    <font>
      <sz val="10"/>
      <name val="Times New Roman"/>
      <family val="1"/>
      <charset val="1"/>
    </font>
  </fonts>
  <fills count="12">
    <fill>
      <patternFill patternType="none"/>
    </fill>
    <fill>
      <patternFill patternType="gray125"/>
    </fill>
    <fill>
      <patternFill patternType="solid">
        <fgColor rgb="FF4F81BD"/>
        <bgColor rgb="FF808080"/>
      </patternFill>
    </fill>
    <fill>
      <patternFill patternType="solid">
        <fgColor rgb="FFEEECE1"/>
        <bgColor rgb="FFEBF1DE"/>
      </patternFill>
    </fill>
    <fill>
      <patternFill patternType="solid">
        <fgColor rgb="FFFFFF00"/>
        <bgColor rgb="FFFCF305"/>
      </patternFill>
    </fill>
    <fill>
      <patternFill patternType="solid">
        <fgColor rgb="FFCCFFCC"/>
        <bgColor rgb="FFEBF1DE"/>
      </patternFill>
    </fill>
    <fill>
      <patternFill patternType="solid">
        <fgColor rgb="FFFCF305"/>
        <bgColor rgb="FFFFFF00"/>
      </patternFill>
    </fill>
    <fill>
      <patternFill patternType="solid">
        <fgColor rgb="FFFFFFFF"/>
        <bgColor rgb="FFEBF1DE"/>
      </patternFill>
    </fill>
    <fill>
      <patternFill patternType="solid">
        <fgColor rgb="FFBFBFBF"/>
        <bgColor rgb="FFC3D69B"/>
      </patternFill>
    </fill>
    <fill>
      <patternFill patternType="solid">
        <fgColor rgb="FFD9D9D9"/>
        <bgColor rgb="FFD7E4BD"/>
      </patternFill>
    </fill>
    <fill>
      <patternFill patternType="solid">
        <fgColor rgb="FF77933C"/>
        <bgColor rgb="FF808080"/>
      </patternFill>
    </fill>
    <fill>
      <patternFill patternType="solid">
        <fgColor rgb="FFC3D69B"/>
        <bgColor rgb="FFD7E4BD"/>
      </patternFill>
    </fill>
  </fills>
  <borders count="33">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medium"/>
      <right style="medium"/>
      <top style="medium"/>
      <bottom style="mediu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right/>
      <top/>
      <bottom style="thin"/>
      <diagonal/>
    </border>
    <border diagonalUp="false" diagonalDown="false">
      <left/>
      <right style="medium"/>
      <top/>
      <bottom style="thin"/>
      <diagonal/>
    </border>
    <border diagonalUp="false" diagonalDown="false">
      <left style="medium"/>
      <right style="thin"/>
      <top style="thin"/>
      <bottom/>
      <diagonal/>
    </border>
    <border diagonalUp="false" diagonalDown="false">
      <left/>
      <right/>
      <top style="thin"/>
      <bottom/>
      <diagonal/>
    </border>
    <border diagonalUp="false" diagonalDown="false">
      <left/>
      <right style="medium"/>
      <top style="thin"/>
      <bottom/>
      <diagonal/>
    </border>
    <border diagonalUp="false" diagonalDown="false">
      <left style="medium"/>
      <right style="thin"/>
      <top/>
      <bottom/>
      <diagonal/>
    </border>
    <border diagonalUp="false" diagonalDown="false">
      <left style="thin"/>
      <right/>
      <top/>
      <bottom/>
      <diagonal/>
    </border>
    <border diagonalUp="false" diagonalDown="false">
      <left/>
      <right style="medium"/>
      <top/>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thin"/>
      <right style="thin"/>
      <top/>
      <bottom/>
      <diagonal/>
    </border>
    <border diagonalUp="false" diagonalDown="false">
      <left/>
      <right style="thin"/>
      <top/>
      <bottom/>
      <diagonal/>
    </border>
    <border diagonalUp="false" diagonalDown="false">
      <left/>
      <right/>
      <top style="thin"/>
      <bottom style="thin"/>
      <diagonal/>
    </border>
    <border diagonalUp="false" diagonalDown="false">
      <left/>
      <right/>
      <top style="thin">
        <color rgb="FF77933C"/>
      </top>
      <bottom style="thin">
        <color rgb="FFEBF1DE"/>
      </bottom>
      <diagonal/>
    </border>
    <border diagonalUp="false" diagonalDown="false">
      <left/>
      <right/>
      <top style="thin">
        <color rgb="FF77933C"/>
      </top>
      <bottom style="thin">
        <color rgb="FFD7E4BD"/>
      </bottom>
      <diagonal/>
    </border>
    <border diagonalUp="false" diagonalDown="false">
      <left/>
      <right/>
      <top style="thin">
        <color rgb="FFEBF1DE"/>
      </top>
      <bottom style="thin">
        <color rgb="FFEBF1DE"/>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4" fillId="2"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6" fillId="0" borderId="0" applyFont="true" applyBorder="false" applyAlignment="true" applyProtection="false">
      <alignment horizontal="left"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273">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2" fillId="0" borderId="0" xfId="20" applyFont="true" applyBorder="true" applyAlignment="true" applyProtection="true">
      <alignment horizontal="general" vertical="bottom" textRotation="0" wrapText="false" indent="0" shrinkToFit="false"/>
      <protection locked="true" hidden="false"/>
    </xf>
    <xf numFmtId="164" fontId="12" fillId="0" borderId="0" xfId="20" applyFont="true" applyBorder="true" applyAlignment="true" applyProtection="true">
      <alignment horizontal="left" vertical="bottom" textRotation="0" wrapText="tru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general" vertical="center" textRotation="0" wrapText="false" indent="0" shrinkToFit="false"/>
      <protection locked="true" hidden="false"/>
    </xf>
    <xf numFmtId="164" fontId="16" fillId="3" borderId="1"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8" fontId="8" fillId="5" borderId="1" xfId="19"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8" fontId="8" fillId="5" borderId="0" xfId="19"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8" fontId="0" fillId="5" borderId="1" xfId="19"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9" fontId="0" fillId="5" borderId="1" xfId="19" applyFont="true" applyBorder="true" applyAlignment="true" applyProtection="true">
      <alignment horizontal="center" vertical="bottom" textRotation="0" wrapText="false" indent="0" shrinkToFit="false"/>
      <protection locked="true" hidden="false"/>
    </xf>
    <xf numFmtId="168" fontId="0" fillId="5" borderId="1" xfId="19"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70" fontId="24" fillId="4" borderId="1" xfId="0" applyFont="true" applyBorder="true" applyAlignment="true" applyProtection="false">
      <alignment horizontal="center" vertical="bottom" textRotation="0" wrapText="false" indent="0" shrinkToFit="false"/>
      <protection locked="true" hidden="false"/>
    </xf>
    <xf numFmtId="168" fontId="0" fillId="6" borderId="1" xfId="0" applyFont="fals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0" xfId="0" applyFont="false" applyBorder="false" applyAlignment="true" applyProtection="false">
      <alignment horizontal="center" vertical="bottom" textRotation="0" wrapText="false" indent="0" shrinkToFit="false"/>
      <protection locked="true" hidden="false"/>
    </xf>
    <xf numFmtId="169" fontId="0" fillId="6" borderId="1" xfId="0" applyFont="false" applyBorder="true" applyAlignment="true" applyProtection="false">
      <alignment horizontal="center" vertical="bottom" textRotation="0" wrapText="false" indent="0" shrinkToFit="false"/>
      <protection locked="true" hidden="false"/>
    </xf>
    <xf numFmtId="164" fontId="14" fillId="7" borderId="0" xfId="0" applyFont="true" applyBorder="false" applyAlignment="true" applyProtection="false">
      <alignment horizontal="left" vertical="bottom" textRotation="0" wrapText="false" indent="0" shrinkToFit="false"/>
      <protection locked="true" hidden="false"/>
    </xf>
    <xf numFmtId="164" fontId="25" fillId="0" borderId="2" xfId="0" applyFont="true" applyBorder="true" applyAlignment="true" applyProtection="false">
      <alignment horizontal="left" vertical="bottom" textRotation="0" wrapText="false" indent="0" shrinkToFit="false"/>
      <protection locked="true" hidden="false"/>
    </xf>
    <xf numFmtId="164" fontId="0" fillId="0" borderId="3" xfId="0" applyFont="true" applyBorder="true" applyAlignment="true" applyProtection="false">
      <alignment horizontal="left" vertical="bottom" textRotation="0" wrapText="false" indent="0" shrinkToFit="false"/>
      <protection locked="true" hidden="false"/>
    </xf>
    <xf numFmtId="164" fontId="24" fillId="0" borderId="3" xfId="0" applyFont="true" applyBorder="true" applyAlignment="true" applyProtection="false">
      <alignment horizontal="center" vertical="bottom" textRotation="0" wrapText="false" indent="0" shrinkToFit="false"/>
      <protection locked="true" hidden="false"/>
    </xf>
    <xf numFmtId="164" fontId="25" fillId="0" borderId="3" xfId="0" applyFont="true" applyBorder="true" applyAlignment="true" applyProtection="false">
      <alignment horizontal="center" vertical="bottom" textRotation="0" wrapText="false" indent="0" shrinkToFit="false"/>
      <protection locked="true" hidden="false"/>
    </xf>
    <xf numFmtId="164" fontId="25" fillId="0" borderId="3" xfId="0" applyFont="true" applyBorder="true" applyAlignment="true" applyProtection="false">
      <alignment horizontal="center" vertical="bottom" textRotation="0" wrapText="true" indent="0" shrinkToFit="false"/>
      <protection locked="true" hidden="false"/>
    </xf>
    <xf numFmtId="164" fontId="25" fillId="0" borderId="4"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6" fontId="24" fillId="0" borderId="5" xfId="0" applyFont="true" applyBorder="true" applyAlignment="true" applyProtection="false">
      <alignment horizontal="left" vertical="bottom" textRotation="0" wrapText="false" indent="0" shrinkToFit="false"/>
      <protection locked="true" hidden="false"/>
    </xf>
    <xf numFmtId="166" fontId="0" fillId="0" borderId="1" xfId="0" applyFont="false" applyBorder="true" applyAlignment="true" applyProtection="false">
      <alignment horizontal="left" vertical="bottom" textRotation="0" wrapText="false" indent="0" shrinkToFit="false"/>
      <protection locked="true" hidden="false"/>
    </xf>
    <xf numFmtId="166"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8" fontId="24" fillId="8" borderId="1" xfId="0" applyFont="true" applyBorder="true" applyAlignment="true" applyProtection="false">
      <alignment horizontal="center" vertical="bottom" textRotation="0" wrapText="false" indent="0" shrinkToFit="false"/>
      <protection locked="true" hidden="false"/>
    </xf>
    <xf numFmtId="168" fontId="24" fillId="0" borderId="6"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8" fontId="24" fillId="0" borderId="7"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8" fontId="27" fillId="0" borderId="0" xfId="0" applyFont="true" applyBorder="false" applyAlignment="true" applyProtection="false">
      <alignment horizontal="center"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8" fontId="28" fillId="0" borderId="1" xfId="19" applyFont="true" applyBorder="true" applyAlignment="true" applyProtection="true">
      <alignment horizontal="center" vertical="bottom" textRotation="0" wrapText="false" indent="0" shrinkToFit="false"/>
      <protection locked="true" hidden="false"/>
    </xf>
    <xf numFmtId="168" fontId="8" fillId="0" borderId="1" xfId="19"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72" fontId="8" fillId="0" borderId="3" xfId="0" applyFont="true" applyBorder="true" applyAlignment="true" applyProtection="false">
      <alignment horizontal="left" vertical="bottom" textRotation="0" wrapText="false" indent="0" shrinkToFit="false"/>
      <protection locked="true" hidden="false"/>
    </xf>
    <xf numFmtId="168" fontId="24" fillId="0" borderId="3"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64" fontId="30" fillId="3" borderId="9" xfId="0" applyFont="true" applyBorder="true" applyAlignment="true" applyProtection="false">
      <alignment horizontal="left" vertical="top" textRotation="0" wrapText="tru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9" fontId="0" fillId="0" borderId="1" xfId="0" applyFont="false" applyBorder="true" applyAlignment="true" applyProtection="fals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3" fontId="12" fillId="0" borderId="0" xfId="19" applyFont="true" applyBorder="true" applyAlignment="true" applyProtection="tru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3" borderId="1" xfId="0" applyFont="false" applyBorder="true" applyAlignment="true" applyProtection="false">
      <alignment horizontal="center" vertical="bottom" textRotation="0" wrapText="false" indent="0" shrinkToFit="false"/>
      <protection locked="true" hidden="false"/>
    </xf>
    <xf numFmtId="169" fontId="0" fillId="3" borderId="1" xfId="0" applyFont="false" applyBorder="true" applyAlignment="true" applyProtection="false">
      <alignment horizontal="center"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75" fontId="35"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9" fontId="28" fillId="0" borderId="1" xfId="19" applyFont="true" applyBorder="true" applyAlignment="true" applyProtection="true">
      <alignment horizontal="general" vertical="bottom" textRotation="0" wrapText="true" indent="0" shrinkToFit="false"/>
      <protection locked="true" hidden="false"/>
    </xf>
    <xf numFmtId="176" fontId="34" fillId="0" borderId="0" xfId="0" applyFont="true" applyBorder="false" applyAlignment="true" applyProtection="false">
      <alignment horizontal="general" vertical="bottom" textRotation="0" wrapText="true" indent="0" shrinkToFit="false"/>
      <protection locked="true" hidden="false"/>
    </xf>
    <xf numFmtId="164" fontId="34" fillId="0" borderId="0" xfId="0" applyFont="true" applyBorder="false" applyAlignment="true" applyProtection="false">
      <alignment horizontal="general" vertical="bottom" textRotation="0" wrapText="true" indent="0" shrinkToFit="false"/>
      <protection locked="true" hidden="false"/>
    </xf>
    <xf numFmtId="168" fontId="28" fillId="0" borderId="0" xfId="19" applyFont="true" applyBorder="true" applyAlignment="true" applyProtection="true">
      <alignment horizontal="general" vertical="bottom" textRotation="0" wrapText="true" indent="0" shrinkToFit="false"/>
      <protection locked="true" hidden="false"/>
    </xf>
    <xf numFmtId="168" fontId="28" fillId="0" borderId="1" xfId="19" applyFont="true" applyBorder="true" applyAlignment="true" applyProtection="true">
      <alignment horizontal="general" vertical="bottom" textRotation="0" wrapText="true" indent="0" shrinkToFit="false"/>
      <protection locked="true" hidden="false"/>
    </xf>
    <xf numFmtId="168" fontId="28" fillId="0" borderId="9" xfId="19"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8" fontId="0" fillId="0" borderId="0" xfId="19" applyFont="true" applyBorder="true" applyAlignment="true" applyProtection="true">
      <alignment horizontal="center"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69" fontId="34" fillId="0" borderId="0" xfId="0" applyFont="true" applyBorder="false" applyAlignment="true" applyProtection="false">
      <alignment horizontal="general" vertical="bottom" textRotation="0" wrapText="true" indent="0" shrinkToFit="false"/>
      <protection locked="true" hidden="false"/>
    </xf>
    <xf numFmtId="168" fontId="34" fillId="0" borderId="0" xfId="19" applyFont="true" applyBorder="true" applyAlignment="true" applyProtection="true">
      <alignment horizontal="general" vertical="bottom" textRotation="0" wrapText="true" indent="0" shrinkToFit="false"/>
      <protection locked="true" hidden="false"/>
    </xf>
    <xf numFmtId="164" fontId="0" fillId="0" borderId="10" xfId="26" applyFont="false" applyBorder="true" applyAlignment="false" applyProtection="false">
      <alignment horizontal="general" vertical="bottom" textRotation="0" wrapText="false" indent="0" shrinkToFit="false"/>
      <protection locked="true" hidden="false"/>
    </xf>
    <xf numFmtId="164" fontId="0" fillId="0" borderId="11" xfId="28" applyFont="true" applyBorder="true" applyAlignment="false" applyProtection="false">
      <alignment horizontal="general" vertical="bottom" textRotation="0" wrapText="false" indent="0" shrinkToFit="false"/>
      <protection locked="true" hidden="false"/>
    </xf>
    <xf numFmtId="164" fontId="0" fillId="0" borderId="12" xfId="26" applyFont="false" applyBorder="true" applyAlignment="false" applyProtection="false">
      <alignment horizontal="general" vertical="bottom" textRotation="0" wrapText="false" indent="0" shrinkToFit="false"/>
      <protection locked="true" hidden="false"/>
    </xf>
    <xf numFmtId="164" fontId="0" fillId="0" borderId="13" xfId="26" applyFont="false" applyBorder="true" applyAlignment="false" applyProtection="false">
      <alignment horizontal="general" vertical="bottom" textRotation="0" wrapText="false" indent="0" shrinkToFit="false"/>
      <protection locked="true" hidden="false"/>
    </xf>
    <xf numFmtId="164" fontId="0" fillId="0" borderId="14" xfId="28" applyFont="true" applyBorder="true" applyAlignment="false" applyProtection="false">
      <alignment horizontal="general" vertical="bottom" textRotation="0" wrapText="false" indent="0" shrinkToFit="false"/>
      <protection locked="true" hidden="false"/>
    </xf>
    <xf numFmtId="164" fontId="0" fillId="0" borderId="4" xfId="29" applyFont="true" applyBorder="true" applyAlignment="false" applyProtection="false">
      <alignment horizontal="left" vertical="bottom" textRotation="0" wrapText="false" indent="0" shrinkToFit="false"/>
      <protection locked="true" hidden="false"/>
    </xf>
    <xf numFmtId="164" fontId="0" fillId="0" borderId="15" xfId="29" applyFont="true" applyBorder="true" applyAlignment="false" applyProtection="false">
      <alignment horizontal="left" vertical="bottom" textRotation="0" wrapText="false" indent="0" shrinkToFit="false"/>
      <protection locked="true" hidden="false"/>
    </xf>
    <xf numFmtId="164" fontId="0" fillId="0" borderId="16" xfId="29" applyFont="true" applyBorder="true" applyAlignment="false" applyProtection="false">
      <alignment horizontal="left" vertical="bottom" textRotation="0" wrapText="false" indent="0" shrinkToFit="false"/>
      <protection locked="true" hidden="false"/>
    </xf>
    <xf numFmtId="164" fontId="0" fillId="0" borderId="17" xfId="29" applyFont="true" applyBorder="true" applyAlignment="false" applyProtection="false">
      <alignment horizontal="left" vertical="bottom" textRotation="0" wrapText="false" indent="0" shrinkToFit="false"/>
      <protection locked="true" hidden="false"/>
    </xf>
    <xf numFmtId="168" fontId="0" fillId="0" borderId="8" xfId="27" applyFont="false" applyBorder="true" applyAlignment="false" applyProtection="false">
      <alignment horizontal="general" vertical="bottom" textRotation="0" wrapText="false" indent="0" shrinkToFit="false"/>
      <protection locked="true" hidden="false"/>
    </xf>
    <xf numFmtId="168" fontId="0" fillId="0" borderId="18" xfId="27" applyFont="false" applyBorder="true" applyAlignment="false" applyProtection="false">
      <alignment horizontal="general" vertical="bottom" textRotation="0" wrapText="false" indent="0" shrinkToFit="false"/>
      <protection locked="true" hidden="false"/>
    </xf>
    <xf numFmtId="168" fontId="0" fillId="0" borderId="19" xfId="27" applyFont="false" applyBorder="true" applyAlignment="false" applyProtection="false">
      <alignment horizontal="general" vertical="bottom" textRotation="0" wrapText="false" indent="0" shrinkToFit="false"/>
      <protection locked="true" hidden="false"/>
    </xf>
    <xf numFmtId="164" fontId="0" fillId="0" borderId="20" xfId="29" applyFont="true" applyBorder="true" applyAlignment="false" applyProtection="false">
      <alignment horizontal="left" vertical="bottom" textRotation="0" wrapText="false" indent="0" shrinkToFit="false"/>
      <protection locked="true" hidden="false"/>
    </xf>
    <xf numFmtId="168" fontId="0" fillId="0" borderId="21" xfId="27" applyFont="false" applyBorder="true" applyAlignment="false" applyProtection="false">
      <alignment horizontal="general" vertical="bottom" textRotation="0" wrapText="false" indent="0" shrinkToFit="false"/>
      <protection locked="true" hidden="false"/>
    </xf>
    <xf numFmtId="168" fontId="0" fillId="0" borderId="0" xfId="27" applyFont="false" applyBorder="false" applyAlignment="false" applyProtection="false">
      <alignment horizontal="general" vertical="bottom" textRotation="0" wrapText="false" indent="0" shrinkToFit="false"/>
      <protection locked="true" hidden="false"/>
    </xf>
    <xf numFmtId="168" fontId="0" fillId="0" borderId="22" xfId="27" applyFont="false" applyBorder="true" applyAlignment="false" applyProtection="false">
      <alignment horizontal="general" vertical="bottom" textRotation="0" wrapText="false" indent="0" shrinkToFit="false"/>
      <protection locked="true" hidden="false"/>
    </xf>
    <xf numFmtId="168" fontId="0" fillId="0" borderId="4" xfId="27" applyFont="false" applyBorder="true" applyAlignment="false" applyProtection="false">
      <alignment horizontal="general" vertical="bottom" textRotation="0" wrapText="false" indent="0" shrinkToFit="false"/>
      <protection locked="true" hidden="false"/>
    </xf>
    <xf numFmtId="168" fontId="0" fillId="0" borderId="15" xfId="27" applyFont="false" applyBorder="true" applyAlignment="false" applyProtection="false">
      <alignment horizontal="general" vertical="bottom" textRotation="0" wrapText="false" indent="0" shrinkToFit="false"/>
      <protection locked="true" hidden="false"/>
    </xf>
    <xf numFmtId="168" fontId="0" fillId="0" borderId="16" xfId="27" applyFont="false" applyBorder="true" applyAlignment="false" applyProtection="false">
      <alignment horizontal="general" vertical="bottom" textRotation="0" wrapText="false" indent="0" shrinkToFit="false"/>
      <protection locked="true" hidden="false"/>
    </xf>
    <xf numFmtId="164" fontId="6" fillId="0" borderId="23" xfId="30" applyFont="true" applyBorder="true" applyAlignment="false" applyProtection="false">
      <alignment horizontal="left" vertical="bottom" textRotation="0" wrapText="false" indent="0" shrinkToFit="false"/>
      <protection locked="true" hidden="false"/>
    </xf>
    <xf numFmtId="168" fontId="6" fillId="0" borderId="24" xfId="31" applyFont="false" applyBorder="true" applyAlignment="false" applyProtection="false">
      <alignment horizontal="general" vertical="bottom" textRotation="0" wrapText="false" indent="0" shrinkToFit="false"/>
      <protection locked="true" hidden="false"/>
    </xf>
    <xf numFmtId="168" fontId="6" fillId="0" borderId="25" xfId="31" applyFont="false" applyBorder="true" applyAlignment="false" applyProtection="false">
      <alignment horizontal="general" vertical="bottom" textRotation="0" wrapText="false" indent="0" shrinkToFit="false"/>
      <protection locked="true" hidden="false"/>
    </xf>
    <xf numFmtId="168" fontId="6" fillId="0" borderId="26" xfId="31" applyFont="fals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false" applyProtection="false">
      <alignment horizontal="general" vertical="bottom" textRotation="0" wrapText="false" indent="0" shrinkToFit="false"/>
      <protection locked="true" hidden="false"/>
    </xf>
    <xf numFmtId="169" fontId="24" fillId="0" borderId="1" xfId="0" applyFont="true" applyBorder="true" applyAlignment="true" applyProtection="false">
      <alignment horizontal="center" vertical="bottom" textRotation="0" wrapText="false" indent="0" shrinkToFit="false"/>
      <protection locked="true" hidden="false"/>
    </xf>
    <xf numFmtId="164" fontId="27" fillId="0" borderId="6"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8" fontId="8" fillId="0" borderId="0" xfId="19"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8" fontId="7" fillId="0" borderId="1" xfId="19" applyFont="true" applyBorder="true" applyAlignment="true" applyProtection="true">
      <alignment horizontal="center"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7" fillId="0" borderId="6"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0" fillId="9" borderId="1" xfId="0" applyFont="tru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8" fontId="0" fillId="9" borderId="1" xfId="19" applyFont="true" applyBorder="true" applyAlignment="true" applyProtection="tru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8" fontId="36" fillId="0" borderId="1" xfId="19" applyFont="true" applyBorder="true" applyAlignment="true" applyProtection="true">
      <alignment horizontal="center" vertical="bottom" textRotation="0" wrapText="false" indent="0" shrinkToFit="false"/>
      <protection locked="true" hidden="false"/>
    </xf>
    <xf numFmtId="168" fontId="28" fillId="9" borderId="1" xfId="19" applyFont="true" applyBorder="true" applyAlignment="true" applyProtection="true">
      <alignment horizontal="center"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7" borderId="6" xfId="0" applyFont="true" applyBorder="true" applyAlignment="true" applyProtection="false">
      <alignment horizontal="center" vertical="center" textRotation="0" wrapText="tru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6" fontId="8" fillId="0" borderId="6" xfId="0" applyFont="true" applyBorder="true" applyAlignment="true" applyProtection="false">
      <alignment horizontal="center" vertical="bottom" textRotation="0" wrapText="false" indent="0" shrinkToFit="false"/>
      <protection locked="true" hidden="false"/>
    </xf>
    <xf numFmtId="166" fontId="37" fillId="0" borderId="1" xfId="0" applyFont="true" applyBorder="true" applyAlignment="true" applyProtection="false">
      <alignment horizontal="center" vertical="bottom" textRotation="0" wrapText="false" indent="0" shrinkToFit="false"/>
      <protection locked="true" hidden="false"/>
    </xf>
    <xf numFmtId="164" fontId="39" fillId="8" borderId="0" xfId="25" applyFont="true" applyBorder="true" applyAlignment="true" applyProtection="false">
      <alignment horizontal="center" vertical="bottom" textRotation="0" wrapText="false" indent="0" shrinkToFit="false"/>
      <protection locked="true" hidden="false"/>
    </xf>
    <xf numFmtId="177" fontId="40" fillId="8" borderId="0" xfId="25" applyFont="true" applyBorder="true" applyAlignment="true" applyProtection="false">
      <alignment horizontal="left" vertical="bottom" textRotation="0" wrapText="tru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0" borderId="1"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8" fillId="0" borderId="27"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64" fontId="8" fillId="0" borderId="18" xfId="0" applyFont="true" applyBorder="true" applyAlignment="false" applyProtection="false">
      <alignment horizontal="general" vertical="bottom" textRotation="0" wrapText="false" indent="0" shrinkToFit="false"/>
      <protection locked="true" hidden="false"/>
    </xf>
    <xf numFmtId="164" fontId="8" fillId="0" borderId="1" xfId="25" applyFont="true" applyBorder="true" applyAlignment="false" applyProtection="false">
      <alignment horizontal="general" vertical="bottom" textRotation="0" wrapText="false" indent="0" shrinkToFit="false"/>
      <protection locked="true" hidden="false"/>
    </xf>
    <xf numFmtId="164" fontId="8" fillId="0" borderId="1" xfId="25" applyFont="true" applyBorder="true" applyAlignment="true" applyProtection="false">
      <alignment horizontal="left" vertical="bottom" textRotation="0" wrapText="false" indent="0" shrinkToFit="false"/>
      <protection locked="true" hidden="false"/>
    </xf>
    <xf numFmtId="164" fontId="24" fillId="0" borderId="28" xfId="0" applyFont="true" applyBorder="true" applyAlignment="false" applyProtection="false">
      <alignment horizontal="general" vertical="bottom" textRotation="0" wrapText="false" indent="0" shrinkToFit="false"/>
      <protection locked="true" hidden="false"/>
    </xf>
    <xf numFmtId="164" fontId="24" fillId="0" borderId="1" xfId="25"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3" borderId="1" xfId="0" applyFont="true" applyBorder="true" applyAlignment="true" applyProtection="false">
      <alignment horizontal="center" vertical="bottom" textRotation="0" wrapText="true" indent="0" shrinkToFit="false"/>
      <protection locked="true" hidden="false"/>
    </xf>
    <xf numFmtId="176" fontId="7" fillId="0" borderId="1" xfId="19" applyFont="true" applyBorder="true" applyAlignment="true" applyProtection="true">
      <alignment horizontal="center" vertical="center" textRotation="0" wrapText="tru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3" borderId="1" xfId="0" applyFont="false" applyBorder="true" applyAlignment="true" applyProtection="false">
      <alignment horizontal="center" vertical="bottom" textRotation="0" wrapText="false" indent="0" shrinkToFit="false"/>
      <protection locked="true" hidden="false"/>
    </xf>
    <xf numFmtId="168" fontId="43" fillId="0" borderId="0" xfId="19" applyFont="true" applyBorder="true" applyAlignment="true" applyProtection="true">
      <alignment horizontal="center"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0" fillId="3" borderId="3" xfId="0" applyFont="true" applyBorder="true" applyAlignment="true" applyProtection="false">
      <alignment horizontal="center" vertical="bottom" textRotation="0" wrapText="false" indent="0" shrinkToFit="false"/>
      <protection locked="true" hidden="false"/>
    </xf>
    <xf numFmtId="168" fontId="41" fillId="0" borderId="0" xfId="19" applyFont="true" applyBorder="true" applyAlignment="true" applyProtection="true">
      <alignment horizontal="center" vertical="bottom" textRotation="0" wrapText="false" indent="0" shrinkToFit="false"/>
      <protection locked="true" hidden="false"/>
    </xf>
    <xf numFmtId="164" fontId="44" fillId="0" borderId="1" xfId="0" applyFont="true" applyBorder="true" applyAlignment="false" applyProtection="false">
      <alignment horizontal="general" vertical="bottom" textRotation="0" wrapText="false" indent="0" shrinkToFit="false"/>
      <protection locked="true" hidden="false"/>
    </xf>
    <xf numFmtId="168" fontId="44" fillId="0" borderId="1" xfId="0" applyFont="true" applyBorder="true" applyAlignment="true" applyProtection="false">
      <alignment horizontal="center"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4" fontId="22" fillId="0" borderId="1" xfId="0" applyFont="true" applyBorder="true" applyAlignment="true" applyProtection="false">
      <alignment horizontal="left" vertical="bottom" textRotation="0" wrapText="false" indent="0" shrinkToFit="false"/>
      <protection locked="true" hidden="false"/>
    </xf>
    <xf numFmtId="178" fontId="22" fillId="0" borderId="1" xfId="0" applyFont="true" applyBorder="true" applyAlignment="false" applyProtection="false">
      <alignment horizontal="general" vertical="bottom" textRotation="0" wrapText="fals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78" fontId="6" fillId="0" borderId="1" xfId="0" applyFont="true" applyBorder="tru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center" textRotation="0" wrapText="false" indent="0" shrinkToFit="false"/>
      <protection locked="true" hidden="false"/>
    </xf>
    <xf numFmtId="168" fontId="48" fillId="0" borderId="1" xfId="19" applyFont="true" applyBorder="true" applyAlignment="true" applyProtection="true">
      <alignment horizontal="center" vertical="center" textRotation="0" wrapText="true" indent="0" shrinkToFit="false"/>
      <protection locked="true" hidden="false"/>
    </xf>
    <xf numFmtId="164" fontId="48" fillId="0" borderId="1" xfId="0" applyFont="true" applyBorder="true" applyAlignment="true" applyProtection="false">
      <alignment horizontal="center" vertical="center" textRotation="0" wrapText="false" indent="0" shrinkToFit="false"/>
      <protection locked="true" hidden="false"/>
    </xf>
    <xf numFmtId="164" fontId="48" fillId="3" borderId="1" xfId="0" applyFont="true" applyBorder="true" applyAlignment="true" applyProtection="false">
      <alignment horizontal="center" vertical="center" textRotation="0" wrapText="false" indent="0" shrinkToFit="false"/>
      <protection locked="true" hidden="false"/>
    </xf>
    <xf numFmtId="164" fontId="50" fillId="0" borderId="6" xfId="0" applyFont="true" applyBorder="true" applyAlignment="true" applyProtection="false">
      <alignment horizontal="center" vertical="center" textRotation="0" wrapText="false" indent="0" shrinkToFit="false"/>
      <protection locked="true" hidden="false"/>
    </xf>
    <xf numFmtId="169" fontId="48" fillId="3" borderId="1" xfId="0" applyFont="true" applyBorder="true" applyAlignment="true" applyProtection="false">
      <alignment horizontal="center" vertical="center" textRotation="0" wrapText="false" indent="0" shrinkToFit="false"/>
      <protection locked="true" hidden="false"/>
    </xf>
    <xf numFmtId="164" fontId="50" fillId="0" borderId="1" xfId="0" applyFont="true" applyBorder="true" applyAlignment="true" applyProtection="false">
      <alignment horizontal="justify" vertical="center" textRotation="0" wrapText="false" indent="0" shrinkToFit="false"/>
      <protection locked="true" hidden="false"/>
    </xf>
    <xf numFmtId="168" fontId="50" fillId="0" borderId="1" xfId="19" applyFont="true" applyBorder="true" applyAlignment="true" applyProtection="true">
      <alignment horizontal="center" vertical="center" textRotation="0" wrapText="false" indent="0" shrinkToFit="false"/>
      <protection locked="true" hidden="false"/>
    </xf>
    <xf numFmtId="168" fontId="50" fillId="0" borderId="1" xfId="0" applyFont="true" applyBorder="true" applyAlignment="true" applyProtection="false">
      <alignment horizontal="center" vertical="center" textRotation="0" wrapText="false" indent="0" shrinkToFit="false"/>
      <protection locked="true" hidden="false"/>
    </xf>
    <xf numFmtId="169" fontId="50" fillId="3" borderId="1" xfId="0" applyFont="true" applyBorder="true" applyAlignment="true" applyProtection="false">
      <alignment horizontal="center" vertical="center" textRotation="0" wrapText="false" indent="0" shrinkToFit="false"/>
      <protection locked="true" hidden="false"/>
    </xf>
    <xf numFmtId="168" fontId="50" fillId="0" borderId="6" xfId="0" applyFont="true" applyBorder="true" applyAlignment="true" applyProtection="false">
      <alignment horizontal="center" vertical="center" textRotation="0" wrapText="false" indent="0" shrinkToFit="false"/>
      <protection locked="true" hidden="false"/>
    </xf>
    <xf numFmtId="164" fontId="50" fillId="0" borderId="1" xfId="0" applyFont="true" applyBorder="true" applyAlignment="true" applyProtection="false">
      <alignment horizontal="center" vertical="center" textRotation="0" wrapText="false" indent="0" shrinkToFit="false"/>
      <protection locked="true" hidden="false"/>
    </xf>
    <xf numFmtId="164" fontId="51" fillId="0" borderId="1" xfId="0" applyFont="true" applyBorder="true" applyAlignment="true" applyProtection="false">
      <alignment horizontal="justify" vertical="center" textRotation="0" wrapText="false" indent="0" shrinkToFit="false"/>
      <protection locked="true" hidden="false"/>
    </xf>
    <xf numFmtId="168" fontId="50" fillId="0" borderId="0" xfId="19" applyFont="true" applyBorder="true" applyAlignment="true" applyProtection="true">
      <alignment horizontal="justify" vertical="center" textRotation="0" wrapText="false" indent="0" shrinkToFit="false"/>
      <protection locked="true" hidden="false"/>
    </xf>
    <xf numFmtId="164" fontId="50" fillId="0" borderId="0" xfId="0" applyFont="true" applyBorder="false" applyAlignment="true" applyProtection="false">
      <alignment horizontal="center" vertical="center" textRotation="0" wrapText="false" indent="0" shrinkToFit="false"/>
      <protection locked="true" hidden="false"/>
    </xf>
    <xf numFmtId="169" fontId="51" fillId="3" borderId="1" xfId="0" applyFont="true" applyBorder="true" applyAlignment="true" applyProtection="false">
      <alignment horizontal="center" vertical="center" textRotation="0" wrapText="false" indent="0" shrinkToFit="false"/>
      <protection locked="true" hidden="false"/>
    </xf>
    <xf numFmtId="169" fontId="50" fillId="0" borderId="0" xfId="0" applyFont="true" applyBorder="false" applyAlignment="true" applyProtection="false">
      <alignment horizontal="justify" vertical="center" textRotation="0" wrapText="false" indent="0" shrinkToFit="false"/>
      <protection locked="true" hidden="false"/>
    </xf>
    <xf numFmtId="168" fontId="50" fillId="0" borderId="0"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9" fontId="51" fillId="3"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9" fontId="17"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left" vertical="center" textRotation="0" wrapText="true" indent="0" shrinkToFit="false"/>
      <protection locked="true" hidden="false"/>
    </xf>
    <xf numFmtId="179" fontId="7" fillId="7" borderId="0" xfId="0" applyFont="true" applyBorder="false" applyAlignment="true" applyProtection="false">
      <alignment horizontal="general" vertical="center" textRotation="0" wrapText="true" indent="0" shrinkToFit="false"/>
      <protection locked="true" hidden="false"/>
    </xf>
    <xf numFmtId="171" fontId="7" fillId="7" borderId="0" xfId="0" applyFont="true" applyBorder="false" applyAlignment="true" applyProtection="false">
      <alignment horizontal="general" vertical="center" textRotation="0" wrapText="true" indent="0" shrinkToFit="false"/>
      <protection locked="true" hidden="false"/>
    </xf>
    <xf numFmtId="179" fontId="8" fillId="0" borderId="18" xfId="0" applyFont="true" applyBorder="tru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1" fontId="8" fillId="0" borderId="18" xfId="0" applyFont="true" applyBorder="true" applyAlignment="false" applyProtection="false">
      <alignment horizontal="general" vertical="bottom" textRotation="0" wrapText="false" indent="0" shrinkToFit="false"/>
      <protection locked="true" hidden="false"/>
    </xf>
    <xf numFmtId="164" fontId="28" fillId="9"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6" fontId="28" fillId="0" borderId="1" xfId="0" applyFont="true" applyBorder="true" applyAlignment="true" applyProtection="false">
      <alignment horizontal="center" vertical="bottom" textRotation="0" wrapText="false" indent="0" shrinkToFit="false"/>
      <protection locked="true" hidden="false"/>
    </xf>
    <xf numFmtId="164" fontId="36" fillId="7" borderId="1" xfId="25" applyFont="true" applyBorder="true" applyAlignment="true" applyProtection="false">
      <alignment horizontal="general" vertical="center" textRotation="0" wrapText="false" indent="0" shrinkToFit="false"/>
      <protection locked="true" hidden="false"/>
    </xf>
    <xf numFmtId="166" fontId="36" fillId="7" borderId="1" xfId="25" applyFont="true" applyBorder="true" applyAlignment="true" applyProtection="false">
      <alignment horizontal="center" vertical="center" textRotation="0" wrapText="false" indent="0" shrinkToFit="false"/>
      <protection locked="true" hidden="false"/>
    </xf>
    <xf numFmtId="166" fontId="36" fillId="7" borderId="6" xfId="25" applyFont="true" applyBorder="true" applyAlignment="true" applyProtection="false">
      <alignment horizontal="center" vertical="center" textRotation="0" wrapText="false" indent="0" shrinkToFit="false"/>
      <protection locked="true" hidden="false"/>
    </xf>
    <xf numFmtId="164" fontId="36" fillId="7" borderId="29" xfId="25" applyFont="true" applyBorder="true" applyAlignment="true" applyProtection="false">
      <alignment horizontal="general" vertical="center" textRotation="0" wrapText="false" indent="0" shrinkToFit="false"/>
      <protection locked="true" hidden="false"/>
    </xf>
    <xf numFmtId="164" fontId="36" fillId="7" borderId="29" xfId="25" applyFont="true" applyBorder="true" applyAlignment="true" applyProtection="false">
      <alignment horizontal="center" vertical="center"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7" borderId="1" xfId="25" applyFont="true" applyBorder="true" applyAlignment="true" applyProtection="false">
      <alignment horizontal="general" vertical="center" textRotation="0" wrapText="false" indent="0" shrinkToFit="false"/>
      <protection locked="true" hidden="false"/>
    </xf>
    <xf numFmtId="164" fontId="58" fillId="0" borderId="0" xfId="0" applyFont="true" applyBorder="false" applyAlignment="false" applyProtection="false">
      <alignment horizontal="general" vertical="bottom" textRotation="0" wrapText="false" indent="0" shrinkToFit="false"/>
      <protection locked="true" hidden="false"/>
    </xf>
    <xf numFmtId="164" fontId="36" fillId="7" borderId="1" xfId="25" applyFont="true" applyBorder="true" applyAlignment="true" applyProtection="false">
      <alignment horizontal="left" vertical="center" textRotation="0" wrapText="false" indent="0" shrinkToFit="false"/>
      <protection locked="true" hidden="false"/>
    </xf>
    <xf numFmtId="164" fontId="36" fillId="7" borderId="29" xfId="25" applyFont="true" applyBorder="true" applyAlignment="true" applyProtection="false">
      <alignment horizontal="left" vertical="center" textRotation="0" wrapText="false" indent="0" shrinkToFit="false"/>
      <protection locked="true" hidden="false"/>
    </xf>
    <xf numFmtId="164" fontId="59" fillId="0" borderId="1" xfId="0" applyFont="true" applyBorder="true" applyAlignment="false" applyProtection="false">
      <alignment horizontal="general" vertical="bottom" textRotation="0" wrapText="false" indent="0" shrinkToFit="false"/>
      <protection locked="true" hidden="false"/>
    </xf>
    <xf numFmtId="164" fontId="57" fillId="7" borderId="1" xfId="25" applyFont="true" applyBorder="true" applyAlignment="true" applyProtection="false">
      <alignment horizontal="center" vertical="center" textRotation="0" wrapText="false" indent="0" shrinkToFit="false"/>
      <protection locked="true" hidden="false"/>
    </xf>
    <xf numFmtId="164" fontId="36" fillId="0" borderId="29" xfId="25" applyFont="true" applyBorder="true" applyAlignment="true" applyProtection="false">
      <alignment horizontal="center" vertical="center" textRotation="0" wrapText="false" indent="0" shrinkToFit="false"/>
      <protection locked="true" hidden="false"/>
    </xf>
    <xf numFmtId="164" fontId="36" fillId="0" borderId="29" xfId="25" applyFont="true" applyBorder="true" applyAlignment="true" applyProtection="false">
      <alignment horizontal="general" vertical="center" textRotation="0" wrapText="false" indent="0" shrinkToFit="false"/>
      <protection locked="true" hidden="false"/>
    </xf>
    <xf numFmtId="164" fontId="36" fillId="0" borderId="29" xfId="25" applyFont="true" applyBorder="true" applyAlignment="true" applyProtection="false">
      <alignment horizontal="left" vertical="center" textRotation="0" wrapText="false" indent="0" shrinkToFit="false"/>
      <protection locked="true" hidden="false"/>
    </xf>
    <xf numFmtId="164" fontId="60" fillId="0" borderId="1" xfId="0" applyFont="true" applyBorder="true" applyAlignment="false" applyProtection="false">
      <alignment horizontal="general" vertical="bottom" textRotation="0" wrapText="false" indent="0" shrinkToFit="false"/>
      <protection locked="true" hidden="false"/>
    </xf>
    <xf numFmtId="164" fontId="61" fillId="0" borderId="0" xfId="0" applyFont="true" applyBorder="false" applyAlignment="false" applyProtection="false">
      <alignment horizontal="general" vertical="bottom" textRotation="0" wrapText="false" indent="0" shrinkToFit="false"/>
      <protection locked="true" hidden="false"/>
    </xf>
    <xf numFmtId="164" fontId="62" fillId="0" borderId="0" xfId="0" applyFont="true" applyBorder="false" applyAlignment="false" applyProtection="false">
      <alignment horizontal="general" vertical="bottom" textRotation="0" wrapText="false" indent="0" shrinkToFit="false"/>
      <protection locked="true" hidden="false"/>
    </xf>
    <xf numFmtId="164" fontId="63" fillId="0" borderId="0" xfId="0" applyFont="true" applyBorder="false" applyAlignment="false" applyProtection="false">
      <alignment horizontal="general" vertical="bottom" textRotation="0" wrapText="false" indent="0" shrinkToFit="false"/>
      <protection locked="true" hidden="false"/>
    </xf>
    <xf numFmtId="164" fontId="64" fillId="0" borderId="0" xfId="0" applyFont="true" applyBorder="false" applyAlignment="false" applyProtection="false">
      <alignment horizontal="general"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8" fontId="0" fillId="0" borderId="1" xfId="19" applyFont="true" applyBorder="true" applyAlignment="true" applyProtection="tru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66" fillId="0" borderId="0" xfId="0" applyFont="true" applyBorder="false" applyAlignment="false" applyProtection="false">
      <alignment horizontal="general" vertical="bottom" textRotation="0" wrapText="false" indent="0" shrinkToFit="false"/>
      <protection locked="true" hidden="false"/>
    </xf>
    <xf numFmtId="168" fontId="66" fillId="0" borderId="0" xfId="0" applyFont="true" applyBorder="false" applyAlignment="false" applyProtection="false">
      <alignment horizontal="general" vertical="bottom" textRotation="0" wrapText="false" indent="0" shrinkToFit="false"/>
      <protection locked="true" hidden="false"/>
    </xf>
    <xf numFmtId="164" fontId="6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8" fontId="9" fillId="0" borderId="1" xfId="19" applyFont="true" applyBorder="true" applyAlignment="true" applyProtection="true">
      <alignment horizontal="center" vertical="bottom" textRotation="0" wrapText="false" indent="0" shrinkToFit="false"/>
      <protection locked="true" hidden="false"/>
    </xf>
    <xf numFmtId="168" fontId="25" fillId="0" borderId="0" xfId="19" applyFont="true" applyBorder="true" applyAlignment="true" applyProtection="true">
      <alignment horizontal="center" vertical="bottom" textRotation="0" wrapText="false" indent="0" shrinkToFit="false"/>
      <protection locked="true" hidden="false"/>
    </xf>
    <xf numFmtId="164" fontId="26" fillId="0" borderId="7" xfId="0" applyFont="true" applyBorder="true" applyAlignment="true" applyProtection="false">
      <alignment horizontal="center" vertical="bottom" textRotation="0" wrapText="false" indent="0" shrinkToFit="false"/>
      <protection locked="true" hidden="false"/>
    </xf>
    <xf numFmtId="164" fontId="26" fillId="0" borderId="7" xfId="0" applyFont="true" applyBorder="true" applyAlignment="false" applyProtection="false">
      <alignment horizontal="general" vertical="bottom" textRotation="0" wrapText="false" indent="0" shrinkToFit="false"/>
      <protection locked="true" hidden="false"/>
    </xf>
    <xf numFmtId="164" fontId="68" fillId="0" borderId="18" xfId="0" applyFont="true" applyBorder="true" applyAlignment="false" applyProtection="false">
      <alignment horizontal="general" vertical="bottom" textRotation="0" wrapText="false" indent="0" shrinkToFit="false"/>
      <protection locked="true" hidden="false"/>
    </xf>
    <xf numFmtId="180" fontId="68" fillId="0" borderId="18"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center" vertical="bottom" textRotation="0" wrapText="tru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72" fontId="69" fillId="0" borderId="0" xfId="0" applyFont="true" applyBorder="false" applyAlignment="true" applyProtection="false">
      <alignment horizontal="center" vertical="bottom" textRotation="0" wrapText="false" indent="0" shrinkToFit="false"/>
      <protection locked="true" hidden="false"/>
    </xf>
    <xf numFmtId="181"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43" fillId="10" borderId="30" xfId="0" applyFont="true" applyBorder="true" applyAlignment="false" applyProtection="false">
      <alignment horizontal="general" vertical="bottom" textRotation="0" wrapText="false" indent="0" shrinkToFit="false"/>
      <protection locked="true" hidden="false"/>
    </xf>
    <xf numFmtId="164" fontId="43" fillId="10" borderId="31" xfId="0" applyFont="true" applyBorder="true" applyAlignment="false" applyProtection="false">
      <alignment horizontal="general" vertical="bottom" textRotation="0" wrapText="false" indent="0" shrinkToFit="false"/>
      <protection locked="true" hidden="false"/>
    </xf>
    <xf numFmtId="164" fontId="43" fillId="11" borderId="32" xfId="0" applyFont="true" applyBorder="true" applyAlignment="true" applyProtection="false">
      <alignment horizontal="left" vertical="bottom" textRotation="0" wrapText="false" indent="0" shrinkToFit="false"/>
      <protection locked="true" hidden="false"/>
    </xf>
    <xf numFmtId="168" fontId="43" fillId="11" borderId="32" xfId="0" applyFont="true" applyBorder="true" applyAlignment="false" applyProtection="false">
      <alignment horizontal="general"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blp_column_header" xfId="21"/>
    <cellStyle name="Comma 2 2" xfId="22"/>
    <cellStyle name="Normal 2" xfId="23"/>
    <cellStyle name="Normal 2 2" xfId="24"/>
    <cellStyle name="Normal_Sovereign Ratings Summary 11-7-06" xfId="25"/>
    <cellStyle name="Pivot Table Corner" xfId="26"/>
    <cellStyle name="Pivot Table Value" xfId="27"/>
    <cellStyle name="Pivot Table Field" xfId="28"/>
    <cellStyle name="Pivot Table Category" xfId="29"/>
    <cellStyle name="Pivot Table Title" xfId="30"/>
    <cellStyle name="Pivot Table Result" xfId="31"/>
    <cellStyle name="*unknown*" xfId="20" builtinId="8"/>
  </cellStyles>
  <dxfs count="3">
    <dxf>
      <fill>
        <patternFill patternType="solid">
          <fgColor rgb="00FFFFFF"/>
        </patternFill>
      </fill>
    </dxf>
    <dxf>
      <fill>
        <patternFill patternType="solid">
          <fgColor rgb="FFBFBFBF"/>
        </patternFill>
      </fill>
    </dxf>
    <dxf>
      <fill>
        <patternFill patternType="solid">
          <fgColor rgb="FF3D3D3D"/>
          <bgColor rgb="FFFFFFFF"/>
        </patternFill>
      </fill>
    </dxf>
  </dxfs>
  <colors>
    <indexedColors>
      <rgbColor rgb="FF000000"/>
      <rgbColor rgb="FFFFFFFF"/>
      <rgbColor rgb="FFFF0000"/>
      <rgbColor rgb="FF00FF00"/>
      <rgbColor rgb="FF0000D4"/>
      <rgbColor rgb="FFFFFF00"/>
      <rgbColor rgb="FFFF00FF"/>
      <rgbColor rgb="FF00FFFF"/>
      <rgbColor rgb="FF8B0000"/>
      <rgbColor rgb="FF006400"/>
      <rgbColor rgb="FF000080"/>
      <rgbColor rgb="FF77933C"/>
      <rgbColor rgb="FF800080"/>
      <rgbColor rgb="FF008080"/>
      <rgbColor rgb="FFBFBFBF"/>
      <rgbColor rgb="FF808080"/>
      <rgbColor rgb="FF9999FF"/>
      <rgbColor rgb="FF993366"/>
      <rgbColor rgb="FFEBF1DE"/>
      <rgbColor rgb="FFEEECE1"/>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D7E4BD"/>
      <rgbColor rgb="FFCCFFCC"/>
      <rgbColor rgb="FFFFFF99"/>
      <rgbColor rgb="FF99CCFF"/>
      <rgbColor rgb="FFFF99CC"/>
      <rgbColor rgb="FFCC99FF"/>
      <rgbColor rgb="FFC3D69B"/>
      <rgbColor rgb="FF3366FF"/>
      <rgbColor rgb="FF33CCCC"/>
      <rgbColor rgb="FF99CC00"/>
      <rgbColor rgb="FFFFCC00"/>
      <rgbColor rgb="FFFF9900"/>
      <rgbColor rgb="FFFF6600"/>
      <rgbColor rgb="FF4F81BD"/>
      <rgbColor rgb="FF969696"/>
      <rgbColor rgb="FF00263A"/>
      <rgbColor rgb="FF00B050"/>
      <rgbColor rgb="FF003300"/>
      <rgbColor rgb="FF212529"/>
      <rgbColor rgb="FF993300"/>
      <rgbColor rgb="FF993366"/>
      <rgbColor rgb="FF333399"/>
      <rgbColor rgb="FF232A31"/>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sharedStrings" Target="sharedStrings.xml"/><Relationship Id="rId21" Type="http://schemas.openxmlformats.org/officeDocument/2006/relationships/pivotCacheDefinition" Target="pivotCache/pivotCacheDefinition1.xml"/>
</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57" createdVersion="3">
  <cacheSource type="worksheet">
    <worksheetSource ref="A1:I158" sheet="Regional breakdown"/>
  </cacheSource>
  <cacheFields count="9">
    <cacheField name="Country" numFmtId="0">
      <sharedItems count="157">
        <s v="Abu Dhabi"/>
        <s v="Albania"/>
        <s v="Andorra (Principality of)"/>
        <s v="Angola"/>
        <s v="Argentina"/>
        <s v="Armenia"/>
        <s v="Aruba"/>
        <s v="Australia"/>
        <s v="Austria"/>
        <s v="Azerbaijan"/>
        <s v="Bahamas"/>
        <s v="Bahrain"/>
        <s v="Bangladesh"/>
        <s v="Barbados"/>
        <s v="Belarus"/>
        <s v="Belgium"/>
        <s v="Belize"/>
        <s v="Benin"/>
        <s v="Bermuda"/>
        <s v="Bolivia"/>
        <s v="Bosnia and Herzegovina"/>
        <s v="Botswana"/>
        <s v="Brazil"/>
        <s v="Bulgaria"/>
        <s v="Burkina Faso"/>
        <s v="Cambodia"/>
        <s v="Cameroon"/>
        <s v="Canada"/>
        <s v="Cape Verde"/>
        <s v="Cayman Islands"/>
        <s v="Chile"/>
        <s v="China"/>
        <s v="Colombia"/>
        <s v="Congo (Democratic Republic of)"/>
        <s v="Congo (Republic of)"/>
        <s v="Cook Islands"/>
        <s v="Costa Rica"/>
        <s v="Côte d'Ivoire"/>
        <s v="Croatia"/>
        <s v="Cuba"/>
        <s v="Curacao"/>
        <s v="Cyprus"/>
        <s v="Czech Republic"/>
        <s v="Denmark"/>
        <s v="Dominican Republic"/>
        <s v="Ecuador"/>
        <s v="Egypt"/>
        <s v="El Salvador"/>
        <s v="Estonia"/>
        <s v="Ethiopia"/>
        <s v="Fiji"/>
        <s v="Finland"/>
        <s v="France"/>
        <s v="Gabon"/>
        <s v="Georgia"/>
        <s v="Germany"/>
        <s v="Ghana"/>
        <s v="Greece"/>
        <s v="Guatemala"/>
        <s v="Guernsey (States of)"/>
        <s v="Honduras"/>
        <s v="Hong Kong"/>
        <s v="Hungary"/>
        <s v="Iceland"/>
        <s v="India"/>
        <s v="Indonesia"/>
        <s v="Iraq"/>
        <s v="Ireland"/>
        <s v="Isle of Man"/>
        <s v="Israel"/>
        <s v="Italy"/>
        <s v="Jamaica"/>
        <s v="Japan"/>
        <s v="Jersey (States of)"/>
        <s v="Jordan"/>
        <s v="Kazakhstan"/>
        <s v="Kenya"/>
        <s v="Korea"/>
        <s v="Kuwait"/>
        <s v="Kyrgyzstan"/>
        <s v="Laos"/>
        <s v="Latvia"/>
        <s v="Lebanon"/>
        <s v="Liechtenstein"/>
        <s v="Lithuania"/>
        <s v="Luxembourg"/>
        <s v="Macao"/>
        <s v="Macedonia"/>
        <s v="Malaysia"/>
        <s v="Maldives"/>
        <s v="Mali"/>
        <s v="Malta"/>
        <s v="Mauritius"/>
        <s v="Mexico"/>
        <s v="Moldova"/>
        <s v="Mongolia"/>
        <s v="Montenegro"/>
        <s v="Montserrat"/>
        <s v="Morocco"/>
        <s v="Mozambique"/>
        <s v="Namibia"/>
        <s v="Nepal"/>
        <s v="Netherlands"/>
        <s v="New Zealand"/>
        <s v="Nicaragua"/>
        <s v="Niger"/>
        <s v="Nigeria"/>
        <s v="Norway"/>
        <s v="Oman"/>
        <s v="Pakistan"/>
        <s v="Panama"/>
        <s v="Papua New Guinea"/>
        <s v="Paraguay"/>
        <s v="Peru"/>
        <s v="Philippines"/>
        <s v="Poland"/>
        <s v="Portugal"/>
        <s v="Qatar"/>
        <s v="Ras Al Khaimah (Emirate of)"/>
        <s v="Romania"/>
        <s v="Rwanda"/>
        <s v="Saudi Arabia"/>
        <s v="Senegal"/>
        <s v="Serbia"/>
        <s v="Sharjah"/>
        <s v="Singapore"/>
        <s v="Slovakia"/>
        <s v="Slovenia"/>
        <s v="Solomon Islands"/>
        <s v="South Africa"/>
        <s v="Spain"/>
        <s v="Sri Lanka"/>
        <s v="St. Maarten"/>
        <s v="St. Vincent &amp; the Grenadines"/>
        <s v="Suriname"/>
        <s v="Swaziland"/>
        <s v="Sweden"/>
        <s v="Switzerland"/>
        <s v="Taiwan"/>
        <s v="Tajikistan"/>
        <s v="Tanzania"/>
        <s v="Thailand"/>
        <s v="Togo"/>
        <s v="Trinidad and Tobago"/>
        <s v="Tunisia"/>
        <s v="Turkey"/>
        <s v="Turks and Caicos Islands"/>
        <s v="Uganda"/>
        <s v="Ukraine"/>
        <s v="United Arab Emirates"/>
        <s v="United Kingdom"/>
        <s v="United States"/>
        <s v="Uruguay"/>
        <s v="Uzbekistan"/>
        <s v="Venezuela"/>
        <s v="Vietnam"/>
        <s v="Zambia"/>
      </sharedItems>
    </cacheField>
    <cacheField name="GDP (in millions) in 2024" numFmtId="0">
      <sharedItems containsSemiMixedTypes="0" containsString="0" containsNumber="1" minValue="1157.20740740741" maxValue="28750956.1307312" count="157">
        <n v="1157.20740740741"/>
        <n v="1414"/>
        <n v="1583.96470375061"/>
        <n v="1745.378"/>
        <n v="1797.83666595136"/>
        <n v="2725.41415072735"/>
        <n v="3203.6318"/>
        <n v="3446"/>
        <n v="3561.17819620713"/>
        <n v="4039.84240548117"/>
        <n v="4265.65067300236"/>
        <n v="4416.77511209627"/>
        <n v="4858.88584077236"/>
        <n v="4890"/>
        <n v="5968.12590927126"/>
        <n v="7061.60826725451"/>
        <n v="7241.24426945972"/>
        <n v="7431.25741092713"/>
        <n v="7498.05"/>
        <n v="8239.379403"/>
        <n v="8270.01667086774"/>
        <n v="9233.6"/>
        <n v="10651.180146531"/>
        <n v="11000"/>
        <n v="13372.354511716"/>
        <n v="14204.5755485536"/>
        <n v="14251.6422350968"/>
        <n v="14937.86178617"/>
        <n v="15719.9860766464"/>
        <n v="15832.8"/>
        <n v="16199"/>
        <n v="16502.9331213379"/>
        <n v="16951.6822454202"/>
        <n v="17478.2596592625"/>
        <n v="18200.3408536517"/>
        <n v="19402.0635129066"/>
        <n v="19693.9829675926"/>
        <n v="19876.1284857857"/>
        <n v="20078.620357"/>
        <n v="20895.6844256752"/>
        <n v="21482.6437064248"/>
        <n v="22014.3970897689"/>
        <n v="22745.3413050622"/>
        <n v="23124.7298530218"/>
        <n v="23794.5400245132"/>
        <n v="24800"/>
        <n v="24971.5745024475"/>
        <n v="25303.1853422511"/>
        <n v="25633.5445294849"/>
        <n v="25955.2753800321"/>
        <n v="26794.7472398805"/>
        <n v="27046.4292966673"/>
        <n v="29613.5720228993"/>
        <n v="31800.4282655246"/>
        <n v="32808.0566009436"/>
        <n v="33255.1814689382"/>
        <n v="34189.4235449955"/>
        <n v="35364.96"/>
        <n v="37093.5658540437"/>
        <n v="37634.5333318902"/>
        <n v="42914.2682867109"/>
        <n v="43130.41982935"/>
        <n v="43684.2544323609"/>
        <n v="44458.1183974445"/>
        <n v="46352.6470372406"/>
        <n v="47109.7343085106"/>
        <n v="49467.2589233244"/>
        <n v="51332.2856565422"/>
        <n v="53296.6943202057"/>
        <n v="53352.2895774648"/>
        <n v="53911.9070861525"/>
        <n v="54881.3274529667"/>
        <n v="70962.1857907094"/>
        <n v="72972.0151973859"/>
        <n v="74315.8823529412"/>
        <n v="75961.8654719129"/>
        <n v="78844.4053852195"/>
        <n v="80961.5110735797"/>
        <n v="82308.1103864641"/>
        <n v="84869.2155133648"/>
        <n v="86523.9591317472"/>
        <n v="87113.179149284"/>
        <n v="90097.7659591114"/>
        <n v="92983.8103289088"/>
        <n v="93279.8518634062"/>
        <n v="95350.4231765962"/>
        <n v="98963.18550965"/>
        <n v="100998.916781079"/>
        <n v="107137.198769386"/>
        <n v="107352"/>
        <n v="113199.581158203"/>
        <n v="113343.355779985"/>
        <n v="114965.293466611"/>
        <n v="119802.963257783"/>
        <n v="120339.557905932"/>
        <n v="124282.245638568"/>
        <n v="124676.0747"/>
        <n v="140934.076532375"/>
        <n v="149740.297952986"/>
        <n v="160227.273053334"/>
        <n v="160610.994054734"/>
        <n v="190741.262414705"/>
        <n v="219162.637362637"/>
        <n v="222722.738925641"/>
        <n v="252261.880141151"/>
        <n v="256238.371778118"/>
        <n v="260172.385097616"/>
        <n v="279641.257615385"/>
        <n v="289221.969062941"/>
        <n v="291480.274648826"/>
        <n v="298696.961297656"/>
        <n v="310000"/>
        <n v="313271.185085102"/>
        <n v="330267.137371592"/>
        <n v="347034.062928479"/>
        <n v="371570.000121266"/>
        <n v="382564.217988866"/>
        <n v="389059.911003566"/>
        <n v="401144.998373585"/>
        <n v="406863.396487342"/>
        <n v="418818.154879271"/>
        <n v="422227.005428688"/>
        <n v="424524.722037047"/>
        <n v="450119.432068852"/>
        <n v="461617.509782355"/>
        <n v="476388.230307175"/>
        <n v="483592.648313301"/>
        <n v="526517.658841684"/>
        <n v="534790.720466822"/>
        <n v="540379.921261681"/>
        <n v="547386.645891847"/>
        <n v="552324.846834581"/>
        <n v="603715.224265798"/>
        <n v="609157.459747205"/>
        <n v="638365.45534004"/>
        <n v="671370.081636406"/>
        <n v="791610"/>
        <n v="917767.106146762"/>
        <n v="936564.198048516"/>
        <n v="1214927.69857266"/>
        <n v="1239804.53333333"/>
        <n v="1359123.76877412"/>
        <n v="1396300.09819097"/>
        <n v="1725671.65274219"/>
        <n v="1757022.45165283"/>
        <n v="1856365.61616594"/>
        <n v="1875388.2094068"/>
        <n v="2185821.64894386"/>
        <n v="2243636.82663376"/>
        <n v="2380825.07724359"/>
        <n v="3160442.62246508"/>
        <n v="3686033.04448213"/>
        <n v="3909891.53385808"/>
        <n v="4027597.52355058"/>
        <n v="4685592.57780469"/>
        <n v="18743803.1708272"/>
        <n v="28750956.1307312"/>
      </sharedItems>
    </cacheField>
    <cacheField name="Moody's rating" numFmtId="0">
      <sharedItems count="21">
        <s v="A1"/>
        <s v="A2"/>
        <s v="A3"/>
        <s v="Aa1"/>
        <s v="Aa2"/>
        <s v="Aa3"/>
        <s v="Aaa"/>
        <s v="B1"/>
        <s v="B2"/>
        <s v="B3"/>
        <s v="Ba1"/>
        <s v="Ba2"/>
        <s v="Ba3"/>
        <s v="Baa1"/>
        <s v="Baa2"/>
        <s v="Baa3"/>
        <s v="C"/>
        <s v="Ca"/>
        <s v="Caa1"/>
        <s v="Caa2"/>
        <s v="Caa3"/>
      </sharedItems>
    </cacheField>
    <cacheField name="Sovereign CDS" numFmtId="0">
      <sharedItems containsMixedTypes="1" containsNumber="1" minValue="0.0014" maxValue="0.0993" count="63">
        <n v="0.0014"/>
        <n v="0.0018"/>
        <n v="0.0019"/>
        <n v="0.002"/>
        <n v="0.0021"/>
        <n v="0.0023"/>
        <n v="0.0026"/>
        <n v="0.0028"/>
        <n v="0.0033"/>
        <n v="0.0034"/>
        <n v="0.0037"/>
        <n v="0.004"/>
        <n v="0.0044"/>
        <n v="0.0045"/>
        <n v="0.0048"/>
        <n v="0.0057"/>
        <n v="0.006"/>
        <n v="0.0061"/>
        <n v="0.0064"/>
        <n v="0.0066"/>
        <n v="0.0067"/>
        <n v="0.0075"/>
        <n v="0.0077"/>
        <n v="0.008"/>
        <n v="0.0082"/>
        <n v="0.0087"/>
        <n v="0.01"/>
        <n v="0.0102"/>
        <n v="0.0112"/>
        <n v="0.0113"/>
        <n v="0.0119"/>
        <n v="0.0126"/>
        <n v="0.013"/>
        <n v="0.0131"/>
        <n v="0.0151"/>
        <n v="0.016"/>
        <n v="0.0166"/>
        <n v="0.0175"/>
        <n v="0.0196"/>
        <n v="0.0211"/>
        <n v="0.0222"/>
        <n v="0.0235"/>
        <n v="0.024"/>
        <n v="0.0247"/>
        <n v="0.0289"/>
        <n v="0.0299"/>
        <n v="0.0334"/>
        <n v="0.034"/>
        <n v="0.0355"/>
        <n v="0.0391"/>
        <n v="0.0403"/>
        <n v="0.0408"/>
        <n v="0.0451"/>
        <n v="0.0523"/>
        <n v="0.0529"/>
        <n v="0.0567"/>
        <n v="0.0624"/>
        <n v="0.0687"/>
        <n v="0.0701"/>
        <n v="0.0929"/>
        <n v="0.0993"/>
        <s v="NA"/>
        <e v="#N/A"/>
      </sharedItems>
    </cacheField>
    <cacheField name="Adj. Default Spread" numFmtId="0">
      <sharedItems containsSemiMixedTypes="0" containsString="0" containsNumber="1" minValue="0" maxValue="0.175" count="21">
        <n v="0"/>
        <n v="0.00233367916999202"/>
        <n v="0.00419504851160823"/>
        <n v="0.00509398747838143"/>
        <n v="0.00599292644515462"/>
        <n v="0.00719151173418554"/>
        <n v="0.0101879749567629"/>
        <n v="0.0135839666090171"/>
        <n v="0.0161809014019175"/>
        <n v="0.0186779540873986"/>
        <n v="0.0212748888802989"/>
        <n v="0.0255698194993264"/>
        <n v="0.0305639248702886"/>
        <n v="0.0382548471415703"/>
        <n v="0.046744826272206"/>
        <n v="0.0552348054028417"/>
        <n v="0.0637247845334774"/>
        <n v="0.0765096942831406"/>
        <n v="0.0849996734137763"/>
        <n v="0.101979631675048"/>
        <n v="0.175"/>
      </sharedItems>
    </cacheField>
    <cacheField name="Equity Risk Premium" numFmtId="0">
      <sharedItems containsSemiMixedTypes="0" containsString="0" containsNumber="1" minValue="0.0423" maxValue="0.30889117303269" count="22">
        <n v="0.0423"/>
        <n v="0.0446"/>
        <n v="0.0458550758137721"/>
        <n v="0.0486906451636496"/>
        <n v="0.0500600691272888"/>
        <n v="0.051429493090928"/>
        <n v="0.0532553917091136"/>
        <n v="0.0578201382545776"/>
        <n v="0.0629935176727701"/>
        <n v="0.0669496313455056"/>
        <n v="0.0707535868000589"/>
        <n v="0.0747097004727944"/>
        <n v="0.0812525038546261"/>
        <n v="0.0888604147637328"/>
        <n v="0.100576597563757"/>
        <n v="0.113510046109238"/>
        <n v="0.12644349465472"/>
        <n v="0.139376943200201"/>
        <n v="0.158853195127514"/>
        <n v="0.171786643672995"/>
        <n v="0.197653540763958"/>
        <n v="0.30889117303269"/>
      </sharedItems>
    </cacheField>
    <cacheField name="Country Risk Premium" numFmtId="0">
      <sharedItems containsSemiMixedTypes="0" containsString="0" containsNumber="1" minValue="0" maxValue="0.26659117303269" count="22">
        <n v="0"/>
        <n v="0.00233367916999202"/>
        <n v="0.00355507581377215"/>
        <n v="0.0063906451636496"/>
        <n v="0.0077600691272888"/>
        <n v="0.009129493090928"/>
        <n v="0.0109553917091136"/>
        <n v="0.0155201382545776"/>
        <n v="0.0206935176727701"/>
        <n v="0.0246496313455056"/>
        <n v="0.0284535868000589"/>
        <n v="0.0324097004727944"/>
        <n v="0.0389525038546261"/>
        <n v="0.0465604147637328"/>
        <n v="0.058276597563757"/>
        <n v="0.0712100461092384"/>
        <n v="0.0841434946547197"/>
        <n v="0.097076943200201"/>
        <n v="0.116553195127514"/>
        <n v="0.129486643672995"/>
        <n v="0.155353540763958"/>
        <n v="0.26659117303269"/>
      </sharedItems>
    </cacheField>
    <cacheField name="Corporate Tax Rate" numFmtId="0">
      <sharedItems containsSemiMixedTypes="0" containsString="0" containsNumber="1" minValue="0" maxValue="0.36" count="42">
        <n v="0"/>
        <n v="0.09"/>
        <n v="0.1"/>
        <n v="0.12"/>
        <n v="0.125"/>
        <n v="0.15"/>
        <n v="0.16"/>
        <n v="0.165"/>
        <n v="0.17"/>
        <n v="0.18"/>
        <n v="0.1894"/>
        <n v="0.19"/>
        <n v="0.1961"/>
        <n v="0.2"/>
        <n v="0.206"/>
        <n v="0.21"/>
        <n v="0.22"/>
        <n v="0.225"/>
        <n v="0.23"/>
        <n v="0.24"/>
        <n v="0.2494"/>
        <n v="0.25"/>
        <n v="0.258"/>
        <n v="0.2583"/>
        <n v="0.2614"/>
        <n v="0.264"/>
        <n v="0.2686"/>
        <n v="0.27"/>
        <n v="0.275"/>
        <n v="0.2781"/>
        <n v="0.28"/>
        <n v="0.29"/>
        <n v="0.295"/>
        <n v="0.2974"/>
        <n v="0.2993"/>
        <n v="0.3"/>
        <n v="0.315"/>
        <n v="0.32"/>
        <n v="0.33"/>
        <n v="0.34"/>
        <n v="0.35"/>
        <n v="0.36"/>
      </sharedItems>
    </cacheField>
    <cacheField name="Region" numFmtId="0">
      <sharedItems count="9">
        <s v="Africa"/>
        <s v="Asia"/>
        <s v="Australia &amp; New Zealand"/>
        <s v="Caribbean"/>
        <s v="Central and South America"/>
        <s v="Eastern Europe &amp; Russia"/>
        <s v="Middle East"/>
        <s v="North America"/>
        <s v="Western Europe"/>
      </sharedItems>
    </cacheField>
  </cacheFields>
</pivotCacheDefinition>
</file>

<file path=xl/pivotCache/pivotCacheRecords1.xml><?xml version="1.0" encoding="utf-8"?>
<pivotCacheRecords xmlns="http://schemas.openxmlformats.org/spreadsheetml/2006/main" xmlns:r="http://schemas.openxmlformats.org/officeDocument/2006/relationships" count="157">
  <r>
    <x v="0"/>
    <x v="111"/>
    <x v="4"/>
    <x v="16"/>
    <x v="2"/>
    <x v="3"/>
    <x v="3"/>
    <x v="1"/>
    <x v="6"/>
  </r>
  <r>
    <x v="1"/>
    <x v="51"/>
    <x v="12"/>
    <x v="61"/>
    <x v="12"/>
    <x v="13"/>
    <x v="13"/>
    <x v="5"/>
    <x v="5"/>
  </r>
  <r>
    <x v="2"/>
    <x v="9"/>
    <x v="13"/>
    <x v="61"/>
    <x v="7"/>
    <x v="8"/>
    <x v="8"/>
    <x v="2"/>
    <x v="8"/>
  </r>
  <r>
    <x v="3"/>
    <x v="87"/>
    <x v="9"/>
    <x v="56"/>
    <x v="15"/>
    <x v="16"/>
    <x v="16"/>
    <x v="21"/>
    <x v="0"/>
  </r>
  <r>
    <x v="4"/>
    <x v="134"/>
    <x v="18"/>
    <x v="61"/>
    <x v="16"/>
    <x v="17"/>
    <x v="17"/>
    <x v="40"/>
    <x v="4"/>
  </r>
  <r>
    <x v="5"/>
    <x v="49"/>
    <x v="12"/>
    <x v="61"/>
    <x v="12"/>
    <x v="13"/>
    <x v="13"/>
    <x v="9"/>
    <x v="5"/>
  </r>
  <r>
    <x v="6"/>
    <x v="10"/>
    <x v="15"/>
    <x v="61"/>
    <x v="9"/>
    <x v="10"/>
    <x v="10"/>
    <x v="16"/>
    <x v="3"/>
  </r>
  <r>
    <x v="7"/>
    <x v="144"/>
    <x v="6"/>
    <x v="2"/>
    <x v="0"/>
    <x v="0"/>
    <x v="0"/>
    <x v="35"/>
    <x v="2"/>
  </r>
  <r>
    <x v="8"/>
    <x v="128"/>
    <x v="3"/>
    <x v="7"/>
    <x v="1"/>
    <x v="2"/>
    <x v="2"/>
    <x v="18"/>
    <x v="8"/>
  </r>
  <r>
    <x v="9"/>
    <x v="74"/>
    <x v="15"/>
    <x v="61"/>
    <x v="9"/>
    <x v="10"/>
    <x v="10"/>
    <x v="13"/>
    <x v="5"/>
  </r>
  <r>
    <x v="10"/>
    <x v="29"/>
    <x v="7"/>
    <x v="61"/>
    <x v="13"/>
    <x v="14"/>
    <x v="14"/>
    <x v="0"/>
    <x v="3"/>
  </r>
  <r>
    <x v="11"/>
    <x v="65"/>
    <x v="8"/>
    <x v="43"/>
    <x v="14"/>
    <x v="15"/>
    <x v="15"/>
    <x v="0"/>
    <x v="6"/>
  </r>
  <r>
    <x v="12"/>
    <x v="123"/>
    <x v="8"/>
    <x v="61"/>
    <x v="14"/>
    <x v="15"/>
    <x v="15"/>
    <x v="28"/>
    <x v="1"/>
  </r>
  <r>
    <x v="13"/>
    <x v="18"/>
    <x v="8"/>
    <x v="61"/>
    <x v="14"/>
    <x v="15"/>
    <x v="15"/>
    <x v="1"/>
    <x v="3"/>
  </r>
  <r>
    <x v="14"/>
    <x v="75"/>
    <x v="16"/>
    <x v="61"/>
    <x v="20"/>
    <x v="21"/>
    <x v="21"/>
    <x v="21"/>
    <x v="5"/>
  </r>
  <r>
    <x v="15"/>
    <x v="135"/>
    <x v="5"/>
    <x v="11"/>
    <x v="3"/>
    <x v="4"/>
    <x v="4"/>
    <x v="21"/>
    <x v="8"/>
  </r>
  <r>
    <x v="16"/>
    <x v="6"/>
    <x v="18"/>
    <x v="61"/>
    <x v="16"/>
    <x v="17"/>
    <x v="17"/>
    <x v="0"/>
    <x v="4"/>
  </r>
  <r>
    <x v="17"/>
    <x v="40"/>
    <x v="7"/>
    <x v="61"/>
    <x v="13"/>
    <x v="14"/>
    <x v="14"/>
    <x v="35"/>
    <x v="0"/>
  </r>
  <r>
    <x v="18"/>
    <x v="21"/>
    <x v="1"/>
    <x v="61"/>
    <x v="5"/>
    <x v="6"/>
    <x v="6"/>
    <x v="0"/>
    <x v="3"/>
  </r>
  <r>
    <x v="19"/>
    <x v="71"/>
    <x v="17"/>
    <x v="61"/>
    <x v="19"/>
    <x v="20"/>
    <x v="20"/>
    <x v="21"/>
    <x v="4"/>
  </r>
  <r>
    <x v="20"/>
    <x v="52"/>
    <x v="9"/>
    <x v="61"/>
    <x v="15"/>
    <x v="16"/>
    <x v="16"/>
    <x v="2"/>
    <x v="5"/>
  </r>
  <r>
    <x v="21"/>
    <x v="35"/>
    <x v="13"/>
    <x v="61"/>
    <x v="7"/>
    <x v="8"/>
    <x v="8"/>
    <x v="16"/>
    <x v="0"/>
  </r>
  <r>
    <x v="22"/>
    <x v="147"/>
    <x v="10"/>
    <x v="41"/>
    <x v="10"/>
    <x v="11"/>
    <x v="11"/>
    <x v="39"/>
    <x v="4"/>
  </r>
  <r>
    <x v="23"/>
    <x v="91"/>
    <x v="13"/>
    <x v="22"/>
    <x v="7"/>
    <x v="8"/>
    <x v="8"/>
    <x v="2"/>
    <x v="5"/>
  </r>
  <r>
    <x v="24"/>
    <x v="43"/>
    <x v="18"/>
    <x v="61"/>
    <x v="16"/>
    <x v="17"/>
    <x v="17"/>
    <x v="28"/>
    <x v="0"/>
  </r>
  <r>
    <x v="25"/>
    <x v="64"/>
    <x v="8"/>
    <x v="61"/>
    <x v="14"/>
    <x v="15"/>
    <x v="15"/>
    <x v="13"/>
    <x v="1"/>
  </r>
  <r>
    <x v="26"/>
    <x v="68"/>
    <x v="18"/>
    <x v="57"/>
    <x v="16"/>
    <x v="17"/>
    <x v="17"/>
    <x v="38"/>
    <x v="0"/>
  </r>
  <r>
    <x v="27"/>
    <x v="148"/>
    <x v="6"/>
    <x v="8"/>
    <x v="0"/>
    <x v="0"/>
    <x v="0"/>
    <x v="24"/>
    <x v="7"/>
  </r>
  <r>
    <x v="28"/>
    <x v="5"/>
    <x v="8"/>
    <x v="61"/>
    <x v="14"/>
    <x v="15"/>
    <x v="15"/>
    <x v="26"/>
    <x v="0"/>
  </r>
  <r>
    <x v="29"/>
    <x v="16"/>
    <x v="5"/>
    <x v="61"/>
    <x v="3"/>
    <x v="4"/>
    <x v="4"/>
    <x v="0"/>
    <x v="3"/>
  </r>
  <r>
    <x v="30"/>
    <x v="113"/>
    <x v="1"/>
    <x v="25"/>
    <x v="5"/>
    <x v="6"/>
    <x v="6"/>
    <x v="27"/>
    <x v="4"/>
  </r>
  <r>
    <x v="31"/>
    <x v="155"/>
    <x v="0"/>
    <x v="18"/>
    <x v="4"/>
    <x v="5"/>
    <x v="5"/>
    <x v="21"/>
    <x v="1"/>
  </r>
  <r>
    <x v="32"/>
    <x v="120"/>
    <x v="15"/>
    <x v="46"/>
    <x v="9"/>
    <x v="10"/>
    <x v="10"/>
    <x v="40"/>
    <x v="4"/>
  </r>
  <r>
    <x v="33"/>
    <x v="72"/>
    <x v="9"/>
    <x v="61"/>
    <x v="15"/>
    <x v="16"/>
    <x v="16"/>
    <x v="35"/>
    <x v="0"/>
  </r>
  <r>
    <x v="34"/>
    <x v="28"/>
    <x v="19"/>
    <x v="61"/>
    <x v="17"/>
    <x v="18"/>
    <x v="18"/>
    <x v="26"/>
    <x v="0"/>
  </r>
  <r>
    <x v="35"/>
    <x v="1"/>
    <x v="7"/>
    <x v="61"/>
    <x v="13"/>
    <x v="14"/>
    <x v="14"/>
    <x v="13"/>
    <x v="2"/>
  </r>
  <r>
    <x v="36"/>
    <x v="85"/>
    <x v="11"/>
    <x v="37"/>
    <x v="11"/>
    <x v="12"/>
    <x v="12"/>
    <x v="35"/>
    <x v="4"/>
  </r>
  <r>
    <x v="37"/>
    <x v="81"/>
    <x v="11"/>
    <x v="61"/>
    <x v="11"/>
    <x v="12"/>
    <x v="12"/>
    <x v="21"/>
    <x v="0"/>
  </r>
  <r>
    <x v="38"/>
    <x v="83"/>
    <x v="2"/>
    <x v="27"/>
    <x v="6"/>
    <x v="7"/>
    <x v="7"/>
    <x v="9"/>
    <x v="5"/>
  </r>
  <r>
    <x v="39"/>
    <x v="89"/>
    <x v="17"/>
    <x v="61"/>
    <x v="19"/>
    <x v="20"/>
    <x v="20"/>
    <x v="40"/>
    <x v="3"/>
  </r>
  <r>
    <x v="40"/>
    <x v="8"/>
    <x v="15"/>
    <x v="61"/>
    <x v="9"/>
    <x v="10"/>
    <x v="10"/>
    <x v="16"/>
    <x v="3"/>
  </r>
  <r>
    <x v="41"/>
    <x v="59"/>
    <x v="2"/>
    <x v="21"/>
    <x v="6"/>
    <x v="7"/>
    <x v="7"/>
    <x v="4"/>
    <x v="8"/>
  </r>
  <r>
    <x v="42"/>
    <x v="114"/>
    <x v="5"/>
    <x v="14"/>
    <x v="3"/>
    <x v="4"/>
    <x v="4"/>
    <x v="15"/>
    <x v="5"/>
  </r>
  <r>
    <x v="43"/>
    <x v="122"/>
    <x v="6"/>
    <x v="1"/>
    <x v="0"/>
    <x v="0"/>
    <x v="0"/>
    <x v="16"/>
    <x v="8"/>
  </r>
  <r>
    <x v="44"/>
    <x v="95"/>
    <x v="11"/>
    <x v="61"/>
    <x v="11"/>
    <x v="12"/>
    <x v="12"/>
    <x v="27"/>
    <x v="3"/>
  </r>
  <r>
    <x v="45"/>
    <x v="96"/>
    <x v="20"/>
    <x v="55"/>
    <x v="18"/>
    <x v="19"/>
    <x v="19"/>
    <x v="21"/>
    <x v="4"/>
  </r>
  <r>
    <x v="46"/>
    <x v="117"/>
    <x v="18"/>
    <x v="48"/>
    <x v="16"/>
    <x v="17"/>
    <x v="17"/>
    <x v="17"/>
    <x v="0"/>
  </r>
  <r>
    <x v="47"/>
    <x v="57"/>
    <x v="9"/>
    <x v="47"/>
    <x v="15"/>
    <x v="16"/>
    <x v="16"/>
    <x v="35"/>
    <x v="4"/>
  </r>
  <r>
    <x v="48"/>
    <x v="61"/>
    <x v="0"/>
    <x v="26"/>
    <x v="4"/>
    <x v="5"/>
    <x v="5"/>
    <x v="13"/>
    <x v="5"/>
  </r>
  <r>
    <x v="49"/>
    <x v="98"/>
    <x v="19"/>
    <x v="61"/>
    <x v="17"/>
    <x v="18"/>
    <x v="18"/>
    <x v="35"/>
    <x v="0"/>
  </r>
  <r>
    <x v="50"/>
    <x v="14"/>
    <x v="7"/>
    <x v="61"/>
    <x v="13"/>
    <x v="14"/>
    <x v="14"/>
    <x v="21"/>
    <x v="1"/>
  </r>
  <r>
    <x v="51"/>
    <x v="110"/>
    <x v="3"/>
    <x v="6"/>
    <x v="1"/>
    <x v="2"/>
    <x v="2"/>
    <x v="13"/>
    <x v="8"/>
  </r>
  <r>
    <x v="52"/>
    <x v="150"/>
    <x v="5"/>
    <x v="18"/>
    <x v="3"/>
    <x v="4"/>
    <x v="4"/>
    <x v="23"/>
    <x v="8"/>
  </r>
  <r>
    <x v="53"/>
    <x v="39"/>
    <x v="19"/>
    <x v="61"/>
    <x v="17"/>
    <x v="18"/>
    <x v="18"/>
    <x v="35"/>
    <x v="0"/>
  </r>
  <r>
    <x v="54"/>
    <x v="56"/>
    <x v="11"/>
    <x v="61"/>
    <x v="11"/>
    <x v="12"/>
    <x v="12"/>
    <x v="5"/>
    <x v="5"/>
  </r>
  <r>
    <x v="55"/>
    <x v="154"/>
    <x v="6"/>
    <x v="4"/>
    <x v="0"/>
    <x v="0"/>
    <x v="0"/>
    <x v="34"/>
    <x v="8"/>
  </r>
  <r>
    <x v="56"/>
    <x v="78"/>
    <x v="18"/>
    <x v="61"/>
    <x v="16"/>
    <x v="17"/>
    <x v="17"/>
    <x v="21"/>
    <x v="0"/>
  </r>
  <r>
    <x v="57"/>
    <x v="105"/>
    <x v="15"/>
    <x v="21"/>
    <x v="9"/>
    <x v="10"/>
    <x v="10"/>
    <x v="16"/>
    <x v="8"/>
  </r>
  <r>
    <x v="58"/>
    <x v="90"/>
    <x v="10"/>
    <x v="61"/>
    <x v="10"/>
    <x v="11"/>
    <x v="11"/>
    <x v="21"/>
    <x v="4"/>
  </r>
  <r>
    <x v="59"/>
    <x v="7"/>
    <x v="0"/>
    <x v="61"/>
    <x v="4"/>
    <x v="5"/>
    <x v="5"/>
    <x v="0"/>
    <x v="8"/>
  </r>
  <r>
    <x v="60"/>
    <x v="58"/>
    <x v="7"/>
    <x v="61"/>
    <x v="13"/>
    <x v="14"/>
    <x v="14"/>
    <x v="35"/>
    <x v="4"/>
  </r>
  <r>
    <x v="61"/>
    <x v="119"/>
    <x v="5"/>
    <x v="12"/>
    <x v="3"/>
    <x v="4"/>
    <x v="4"/>
    <x v="7"/>
    <x v="1"/>
  </r>
  <r>
    <x v="62"/>
    <x v="103"/>
    <x v="14"/>
    <x v="35"/>
    <x v="8"/>
    <x v="9"/>
    <x v="9"/>
    <x v="1"/>
    <x v="5"/>
  </r>
  <r>
    <x v="63"/>
    <x v="55"/>
    <x v="0"/>
    <x v="13"/>
    <x v="4"/>
    <x v="5"/>
    <x v="5"/>
    <x v="15"/>
    <x v="8"/>
  </r>
  <r>
    <x v="64"/>
    <x v="152"/>
    <x v="15"/>
    <x v="23"/>
    <x v="9"/>
    <x v="10"/>
    <x v="10"/>
    <x v="35"/>
    <x v="1"/>
  </r>
  <r>
    <x v="65"/>
    <x v="142"/>
    <x v="14"/>
    <x v="30"/>
    <x v="8"/>
    <x v="9"/>
    <x v="9"/>
    <x v="16"/>
    <x v="1"/>
  </r>
  <r>
    <x v="66"/>
    <x v="107"/>
    <x v="18"/>
    <x v="44"/>
    <x v="16"/>
    <x v="17"/>
    <x v="17"/>
    <x v="5"/>
    <x v="6"/>
  </r>
  <r>
    <x v="67"/>
    <x v="133"/>
    <x v="5"/>
    <x v="9"/>
    <x v="3"/>
    <x v="4"/>
    <x v="4"/>
    <x v="4"/>
    <x v="8"/>
  </r>
  <r>
    <x v="68"/>
    <x v="17"/>
    <x v="5"/>
    <x v="61"/>
    <x v="3"/>
    <x v="4"/>
    <x v="4"/>
    <x v="0"/>
    <x v="8"/>
  </r>
  <r>
    <x v="69"/>
    <x v="129"/>
    <x v="13"/>
    <x v="29"/>
    <x v="7"/>
    <x v="8"/>
    <x v="8"/>
    <x v="18"/>
    <x v="6"/>
  </r>
  <r>
    <x v="70"/>
    <x v="149"/>
    <x v="14"/>
    <x v="17"/>
    <x v="8"/>
    <x v="9"/>
    <x v="9"/>
    <x v="29"/>
    <x v="8"/>
  </r>
  <r>
    <x v="71"/>
    <x v="41"/>
    <x v="12"/>
    <x v="61"/>
    <x v="12"/>
    <x v="13"/>
    <x v="13"/>
    <x v="21"/>
    <x v="3"/>
  </r>
  <r>
    <x v="72"/>
    <x v="153"/>
    <x v="0"/>
    <x v="12"/>
    <x v="4"/>
    <x v="5"/>
    <x v="5"/>
    <x v="33"/>
    <x v="1"/>
  </r>
  <r>
    <x v="73"/>
    <x v="13"/>
    <x v="5"/>
    <x v="61"/>
    <x v="3"/>
    <x v="4"/>
    <x v="4"/>
    <x v="0"/>
    <x v="8"/>
  </r>
  <r>
    <x v="74"/>
    <x v="69"/>
    <x v="12"/>
    <x v="61"/>
    <x v="12"/>
    <x v="13"/>
    <x v="13"/>
    <x v="13"/>
    <x v="6"/>
  </r>
  <r>
    <x v="75"/>
    <x v="109"/>
    <x v="13"/>
    <x v="33"/>
    <x v="7"/>
    <x v="8"/>
    <x v="8"/>
    <x v="13"/>
    <x v="5"/>
  </r>
  <r>
    <x v="76"/>
    <x v="94"/>
    <x v="9"/>
    <x v="52"/>
    <x v="15"/>
    <x v="16"/>
    <x v="16"/>
    <x v="35"/>
    <x v="0"/>
  </r>
  <r>
    <x v="77"/>
    <x v="146"/>
    <x v="4"/>
    <x v="9"/>
    <x v="2"/>
    <x v="3"/>
    <x v="3"/>
    <x v="25"/>
    <x v="1"/>
  </r>
  <r>
    <x v="78"/>
    <x v="99"/>
    <x v="0"/>
    <x v="25"/>
    <x v="4"/>
    <x v="5"/>
    <x v="5"/>
    <x v="5"/>
    <x v="6"/>
  </r>
  <r>
    <x v="79"/>
    <x v="33"/>
    <x v="9"/>
    <x v="61"/>
    <x v="15"/>
    <x v="16"/>
    <x v="16"/>
    <x v="2"/>
    <x v="5"/>
  </r>
  <r>
    <x v="80"/>
    <x v="31"/>
    <x v="19"/>
    <x v="61"/>
    <x v="17"/>
    <x v="18"/>
    <x v="18"/>
    <x v="13"/>
    <x v="1"/>
  </r>
  <r>
    <x v="81"/>
    <x v="62"/>
    <x v="2"/>
    <x v="24"/>
    <x v="6"/>
    <x v="7"/>
    <x v="7"/>
    <x v="13"/>
    <x v="5"/>
  </r>
  <r>
    <x v="82"/>
    <x v="38"/>
    <x v="16"/>
    <x v="61"/>
    <x v="20"/>
    <x v="21"/>
    <x v="21"/>
    <x v="8"/>
    <x v="6"/>
  </r>
  <r>
    <x v="83"/>
    <x v="19"/>
    <x v="6"/>
    <x v="61"/>
    <x v="0"/>
    <x v="0"/>
    <x v="0"/>
    <x v="4"/>
    <x v="8"/>
  </r>
  <r>
    <x v="84"/>
    <x v="79"/>
    <x v="1"/>
    <x v="24"/>
    <x v="5"/>
    <x v="6"/>
    <x v="6"/>
    <x v="5"/>
    <x v="5"/>
  </r>
  <r>
    <x v="85"/>
    <x v="84"/>
    <x v="6"/>
    <x v="61"/>
    <x v="0"/>
    <x v="0"/>
    <x v="0"/>
    <x v="20"/>
    <x v="8"/>
  </r>
  <r>
    <x v="86"/>
    <x v="66"/>
    <x v="5"/>
    <x v="61"/>
    <x v="3"/>
    <x v="4"/>
    <x v="4"/>
    <x v="21"/>
    <x v="1"/>
  </r>
  <r>
    <x v="87"/>
    <x v="32"/>
    <x v="12"/>
    <x v="61"/>
    <x v="12"/>
    <x v="13"/>
    <x v="13"/>
    <x v="2"/>
    <x v="5"/>
  </r>
  <r>
    <x v="88"/>
    <x v="121"/>
    <x v="2"/>
    <x v="20"/>
    <x v="6"/>
    <x v="7"/>
    <x v="7"/>
    <x v="19"/>
    <x v="1"/>
  </r>
  <r>
    <x v="89"/>
    <x v="15"/>
    <x v="19"/>
    <x v="61"/>
    <x v="17"/>
    <x v="18"/>
    <x v="18"/>
    <x v="5"/>
    <x v="1"/>
  </r>
  <r>
    <x v="90"/>
    <x v="50"/>
    <x v="19"/>
    <x v="61"/>
    <x v="17"/>
    <x v="18"/>
    <x v="18"/>
    <x v="35"/>
    <x v="0"/>
  </r>
  <r>
    <x v="91"/>
    <x v="46"/>
    <x v="1"/>
    <x v="61"/>
    <x v="5"/>
    <x v="6"/>
    <x v="6"/>
    <x v="40"/>
    <x v="8"/>
  </r>
  <r>
    <x v="92"/>
    <x v="27"/>
    <x v="15"/>
    <x v="61"/>
    <x v="9"/>
    <x v="10"/>
    <x v="10"/>
    <x v="5"/>
    <x v="0"/>
  </r>
  <r>
    <x v="93"/>
    <x v="145"/>
    <x v="14"/>
    <x v="36"/>
    <x v="8"/>
    <x v="9"/>
    <x v="9"/>
    <x v="35"/>
    <x v="4"/>
  </r>
  <r>
    <x v="94"/>
    <x v="34"/>
    <x v="9"/>
    <x v="61"/>
    <x v="15"/>
    <x v="16"/>
    <x v="16"/>
    <x v="3"/>
    <x v="5"/>
  </r>
  <r>
    <x v="95"/>
    <x v="44"/>
    <x v="7"/>
    <x v="61"/>
    <x v="13"/>
    <x v="14"/>
    <x v="14"/>
    <x v="21"/>
    <x v="1"/>
  </r>
  <r>
    <x v="96"/>
    <x v="20"/>
    <x v="7"/>
    <x v="61"/>
    <x v="13"/>
    <x v="14"/>
    <x v="14"/>
    <x v="5"/>
    <x v="5"/>
  </r>
  <r>
    <x v="97"/>
    <x v="30"/>
    <x v="15"/>
    <x v="61"/>
    <x v="9"/>
    <x v="10"/>
    <x v="10"/>
    <x v="35"/>
    <x v="3"/>
  </r>
  <r>
    <x v="98"/>
    <x v="100"/>
    <x v="10"/>
    <x v="32"/>
    <x v="10"/>
    <x v="11"/>
    <x v="11"/>
    <x v="38"/>
    <x v="0"/>
  </r>
  <r>
    <x v="99"/>
    <x v="42"/>
    <x v="20"/>
    <x v="61"/>
    <x v="18"/>
    <x v="19"/>
    <x v="19"/>
    <x v="37"/>
    <x v="0"/>
  </r>
  <r>
    <x v="100"/>
    <x v="24"/>
    <x v="7"/>
    <x v="61"/>
    <x v="13"/>
    <x v="14"/>
    <x v="14"/>
    <x v="37"/>
    <x v="0"/>
  </r>
  <r>
    <x v="101"/>
    <x v="60"/>
    <x v="12"/>
    <x v="61"/>
    <x v="12"/>
    <x v="13"/>
    <x v="13"/>
    <x v="21"/>
    <x v="1"/>
  </r>
  <r>
    <x v="102"/>
    <x v="139"/>
    <x v="6"/>
    <x v="3"/>
    <x v="0"/>
    <x v="0"/>
    <x v="0"/>
    <x v="22"/>
    <x v="8"/>
  </r>
  <r>
    <x v="103"/>
    <x v="106"/>
    <x v="6"/>
    <x v="5"/>
    <x v="0"/>
    <x v="0"/>
    <x v="0"/>
    <x v="30"/>
    <x v="2"/>
  </r>
  <r>
    <x v="104"/>
    <x v="36"/>
    <x v="8"/>
    <x v="54"/>
    <x v="14"/>
    <x v="15"/>
    <x v="15"/>
    <x v="35"/>
    <x v="4"/>
  </r>
  <r>
    <x v="105"/>
    <x v="37"/>
    <x v="20"/>
    <x v="61"/>
    <x v="18"/>
    <x v="19"/>
    <x v="19"/>
    <x v="35"/>
    <x v="0"/>
  </r>
  <r>
    <x v="106"/>
    <x v="104"/>
    <x v="9"/>
    <x v="49"/>
    <x v="15"/>
    <x v="16"/>
    <x v="16"/>
    <x v="35"/>
    <x v="0"/>
  </r>
  <r>
    <x v="107"/>
    <x v="126"/>
    <x v="6"/>
    <x v="1"/>
    <x v="0"/>
    <x v="0"/>
    <x v="0"/>
    <x v="16"/>
    <x v="8"/>
  </r>
  <r>
    <x v="108"/>
    <x v="88"/>
    <x v="15"/>
    <x v="32"/>
    <x v="9"/>
    <x v="10"/>
    <x v="10"/>
    <x v="5"/>
    <x v="6"/>
  </r>
  <r>
    <x v="109"/>
    <x v="115"/>
    <x v="18"/>
    <x v="53"/>
    <x v="16"/>
    <x v="17"/>
    <x v="17"/>
    <x v="31"/>
    <x v="1"/>
  </r>
  <r>
    <x v="110"/>
    <x v="80"/>
    <x v="15"/>
    <x v="40"/>
    <x v="9"/>
    <x v="10"/>
    <x v="10"/>
    <x v="21"/>
    <x v="4"/>
  </r>
  <r>
    <x v="111"/>
    <x v="53"/>
    <x v="8"/>
    <x v="61"/>
    <x v="14"/>
    <x v="15"/>
    <x v="15"/>
    <x v="35"/>
    <x v="1"/>
  </r>
  <r>
    <x v="112"/>
    <x v="63"/>
    <x v="15"/>
    <x v="61"/>
    <x v="9"/>
    <x v="10"/>
    <x v="10"/>
    <x v="2"/>
    <x v="4"/>
  </r>
  <r>
    <x v="113"/>
    <x v="108"/>
    <x v="13"/>
    <x v="31"/>
    <x v="7"/>
    <x v="8"/>
    <x v="8"/>
    <x v="32"/>
    <x v="4"/>
  </r>
  <r>
    <x v="114"/>
    <x v="124"/>
    <x v="14"/>
    <x v="27"/>
    <x v="8"/>
    <x v="9"/>
    <x v="9"/>
    <x v="21"/>
    <x v="1"/>
  </r>
  <r>
    <x v="115"/>
    <x v="137"/>
    <x v="1"/>
    <x v="26"/>
    <x v="5"/>
    <x v="6"/>
    <x v="6"/>
    <x v="11"/>
    <x v="5"/>
  </r>
  <r>
    <x v="116"/>
    <x v="112"/>
    <x v="2"/>
    <x v="13"/>
    <x v="6"/>
    <x v="7"/>
    <x v="7"/>
    <x v="36"/>
    <x v="8"/>
  </r>
  <r>
    <x v="117"/>
    <x v="102"/>
    <x v="4"/>
    <x v="17"/>
    <x v="2"/>
    <x v="3"/>
    <x v="3"/>
    <x v="2"/>
    <x v="6"/>
  </r>
  <r>
    <x v="118"/>
    <x v="23"/>
    <x v="2"/>
    <x v="61"/>
    <x v="6"/>
    <x v="7"/>
    <x v="7"/>
    <x v="10"/>
    <x v="6"/>
  </r>
  <r>
    <x v="119"/>
    <x v="116"/>
    <x v="15"/>
    <x v="39"/>
    <x v="9"/>
    <x v="10"/>
    <x v="10"/>
    <x v="6"/>
    <x v="5"/>
  </r>
  <r>
    <x v="120"/>
    <x v="26"/>
    <x v="8"/>
    <x v="50"/>
    <x v="14"/>
    <x v="15"/>
    <x v="15"/>
    <x v="30"/>
    <x v="0"/>
  </r>
  <r>
    <x v="121"/>
    <x v="140"/>
    <x v="5"/>
    <x v="28"/>
    <x v="3"/>
    <x v="4"/>
    <x v="4"/>
    <x v="13"/>
    <x v="6"/>
  </r>
  <r>
    <x v="122"/>
    <x v="54"/>
    <x v="18"/>
    <x v="60"/>
    <x v="16"/>
    <x v="17"/>
    <x v="17"/>
    <x v="35"/>
    <x v="0"/>
  </r>
  <r>
    <x v="123"/>
    <x v="82"/>
    <x v="11"/>
    <x v="38"/>
    <x v="11"/>
    <x v="12"/>
    <x v="12"/>
    <x v="5"/>
    <x v="5"/>
  </r>
  <r>
    <x v="124"/>
    <x v="45"/>
    <x v="10"/>
    <x v="62"/>
    <x v="10"/>
    <x v="11"/>
    <x v="11"/>
    <x v="10"/>
    <x v="6"/>
  </r>
  <r>
    <x v="125"/>
    <x v="130"/>
    <x v="6"/>
    <x v="62"/>
    <x v="0"/>
    <x v="0"/>
    <x v="0"/>
    <x v="8"/>
    <x v="1"/>
  </r>
  <r>
    <x v="126"/>
    <x v="97"/>
    <x v="2"/>
    <x v="15"/>
    <x v="6"/>
    <x v="7"/>
    <x v="7"/>
    <x v="15"/>
    <x v="5"/>
  </r>
  <r>
    <x v="127"/>
    <x v="73"/>
    <x v="2"/>
    <x v="20"/>
    <x v="6"/>
    <x v="7"/>
    <x v="7"/>
    <x v="16"/>
    <x v="5"/>
  </r>
  <r>
    <x v="128"/>
    <x v="2"/>
    <x v="18"/>
    <x v="62"/>
    <x v="16"/>
    <x v="17"/>
    <x v="17"/>
    <x v="35"/>
    <x v="1"/>
  </r>
  <r>
    <x v="129"/>
    <x v="118"/>
    <x v="11"/>
    <x v="42"/>
    <x v="11"/>
    <x v="12"/>
    <x v="12"/>
    <x v="27"/>
    <x v="0"/>
  </r>
  <r>
    <x v="130"/>
    <x v="143"/>
    <x v="2"/>
    <x v="13"/>
    <x v="6"/>
    <x v="7"/>
    <x v="7"/>
    <x v="21"/>
    <x v="8"/>
  </r>
  <r>
    <x v="131"/>
    <x v="86"/>
    <x v="17"/>
    <x v="61"/>
    <x v="19"/>
    <x v="20"/>
    <x v="20"/>
    <x v="35"/>
    <x v="1"/>
  </r>
  <r>
    <x v="132"/>
    <x v="4"/>
    <x v="11"/>
    <x v="62"/>
    <x v="11"/>
    <x v="12"/>
    <x v="12"/>
    <x v="13"/>
    <x v="3"/>
  </r>
  <r>
    <x v="133"/>
    <x v="0"/>
    <x v="9"/>
    <x v="62"/>
    <x v="15"/>
    <x v="16"/>
    <x v="16"/>
    <x v="30"/>
    <x v="3"/>
  </r>
  <r>
    <x v="134"/>
    <x v="11"/>
    <x v="18"/>
    <x v="62"/>
    <x v="16"/>
    <x v="17"/>
    <x v="17"/>
    <x v="41"/>
    <x v="4"/>
  </r>
  <r>
    <x v="135"/>
    <x v="12"/>
    <x v="8"/>
    <x v="62"/>
    <x v="14"/>
    <x v="15"/>
    <x v="15"/>
    <x v="21"/>
    <x v="0"/>
  </r>
  <r>
    <x v="136"/>
    <x v="132"/>
    <x v="6"/>
    <x v="3"/>
    <x v="0"/>
    <x v="0"/>
    <x v="0"/>
    <x v="14"/>
    <x v="8"/>
  </r>
  <r>
    <x v="137"/>
    <x v="138"/>
    <x v="6"/>
    <x v="0"/>
    <x v="0"/>
    <x v="0"/>
    <x v="0"/>
    <x v="12"/>
    <x v="8"/>
  </r>
  <r>
    <x v="138"/>
    <x v="136"/>
    <x v="5"/>
    <x v="62"/>
    <x v="3"/>
    <x v="4"/>
    <x v="4"/>
    <x v="13"/>
    <x v="1"/>
  </r>
  <r>
    <x v="139"/>
    <x v="25"/>
    <x v="9"/>
    <x v="62"/>
    <x v="15"/>
    <x v="16"/>
    <x v="16"/>
    <x v="9"/>
    <x v="5"/>
  </r>
  <r>
    <x v="140"/>
    <x v="76"/>
    <x v="7"/>
    <x v="62"/>
    <x v="13"/>
    <x v="14"/>
    <x v="14"/>
    <x v="35"/>
    <x v="0"/>
  </r>
  <r>
    <x v="141"/>
    <x v="127"/>
    <x v="13"/>
    <x v="19"/>
    <x v="7"/>
    <x v="8"/>
    <x v="8"/>
    <x v="13"/>
    <x v="1"/>
  </r>
  <r>
    <x v="142"/>
    <x v="22"/>
    <x v="9"/>
    <x v="62"/>
    <x v="15"/>
    <x v="16"/>
    <x v="16"/>
    <x v="27"/>
    <x v="0"/>
  </r>
  <r>
    <x v="143"/>
    <x v="48"/>
    <x v="11"/>
    <x v="62"/>
    <x v="11"/>
    <x v="12"/>
    <x v="12"/>
    <x v="35"/>
    <x v="3"/>
  </r>
  <r>
    <x v="144"/>
    <x v="67"/>
    <x v="18"/>
    <x v="58"/>
    <x v="16"/>
    <x v="17"/>
    <x v="17"/>
    <x v="5"/>
    <x v="0"/>
  </r>
  <r>
    <x v="145"/>
    <x v="141"/>
    <x v="12"/>
    <x v="45"/>
    <x v="12"/>
    <x v="13"/>
    <x v="13"/>
    <x v="21"/>
    <x v="8"/>
  </r>
  <r>
    <x v="146"/>
    <x v="3"/>
    <x v="13"/>
    <x v="62"/>
    <x v="7"/>
    <x v="8"/>
    <x v="8"/>
    <x v="0"/>
    <x v="3"/>
  </r>
  <r>
    <x v="147"/>
    <x v="70"/>
    <x v="9"/>
    <x v="62"/>
    <x v="15"/>
    <x v="16"/>
    <x v="16"/>
    <x v="35"/>
    <x v="0"/>
  </r>
  <r>
    <x v="148"/>
    <x v="101"/>
    <x v="17"/>
    <x v="61"/>
    <x v="19"/>
    <x v="20"/>
    <x v="20"/>
    <x v="9"/>
    <x v="5"/>
  </r>
  <r>
    <x v="149"/>
    <x v="131"/>
    <x v="4"/>
    <x v="62"/>
    <x v="2"/>
    <x v="3"/>
    <x v="3"/>
    <x v="1"/>
    <x v="6"/>
  </r>
  <r>
    <x v="150"/>
    <x v="151"/>
    <x v="5"/>
    <x v="10"/>
    <x v="3"/>
    <x v="4"/>
    <x v="4"/>
    <x v="21"/>
    <x v="8"/>
  </r>
  <r>
    <x v="151"/>
    <x v="156"/>
    <x v="3"/>
    <x v="12"/>
    <x v="1"/>
    <x v="1"/>
    <x v="1"/>
    <x v="21"/>
    <x v="7"/>
  </r>
  <r>
    <x v="152"/>
    <x v="77"/>
    <x v="13"/>
    <x v="22"/>
    <x v="7"/>
    <x v="8"/>
    <x v="8"/>
    <x v="21"/>
    <x v="4"/>
  </r>
  <r>
    <x v="153"/>
    <x v="92"/>
    <x v="12"/>
    <x v="62"/>
    <x v="12"/>
    <x v="13"/>
    <x v="13"/>
    <x v="5"/>
    <x v="5"/>
  </r>
  <r>
    <x v="154"/>
    <x v="93"/>
    <x v="16"/>
    <x v="59"/>
    <x v="20"/>
    <x v="21"/>
    <x v="21"/>
    <x v="39"/>
    <x v="4"/>
  </r>
  <r>
    <x v="155"/>
    <x v="125"/>
    <x v="11"/>
    <x v="34"/>
    <x v="11"/>
    <x v="12"/>
    <x v="12"/>
    <x v="13"/>
    <x v="1"/>
  </r>
  <r>
    <x v="156"/>
    <x v="47"/>
    <x v="19"/>
    <x v="51"/>
    <x v="17"/>
    <x v="18"/>
    <x v="18"/>
    <x v="35"/>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0" dataCaption="Values" useAutoFormatting="0" itemPrintTitles="1" indent="0" outline="1" outlineData="1" compact="0" compactData="0">
  <location ref="A3:E14" firstHeaderRow="1" firstDataRow="2" firstDataCol="1"/>
  <pivotFields count="9">
    <pivotField axis="axisRow" compact="0"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1"/>
        <item x="82"/>
        <item x="83"/>
        <item x="84"/>
        <item x="85"/>
        <item x="86"/>
        <item x="87"/>
        <item x="88"/>
        <item x="89"/>
        <item x="91"/>
        <item x="92"/>
        <item x="93"/>
        <item x="94"/>
        <item x="95"/>
        <item x="96"/>
        <item x="97"/>
        <item x="98"/>
        <item x="99"/>
        <item x="100"/>
        <item x="102"/>
        <item x="103"/>
        <item x="104"/>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3"/>
        <item x="144"/>
        <item x="145"/>
        <item x="146"/>
        <item x="147"/>
        <item x="148"/>
        <item x="149"/>
        <item x="150"/>
        <item x="151"/>
        <item x="152"/>
        <item x="154"/>
        <item x="155"/>
        <item x="156"/>
        <item x="90"/>
        <item x="142"/>
        <item x="153"/>
        <item x="105"/>
        <item x="80"/>
        <item x="101"/>
        <item t="default"/>
      </items>
    </pivotField>
    <pivotField compact="0" showAll="0"/>
    <pivotField compact="0" showAll="0"/>
    <pivotField compact="0" showAll="0"/>
    <pivotField dataField="1" compact="0" showAll="0"/>
    <pivotField dataField="1" compact="0" showAll="0"/>
    <pivotField dataField="1" compact="0" showAll="0"/>
    <pivotField dataField="1" compact="0" showAll="0"/>
    <pivotField axis="axisRow" compact="0" showAll="0">
      <items count="10">
        <item x="0"/>
        <item x="1"/>
        <item x="2"/>
        <item x="3"/>
        <item x="4"/>
        <item x="5"/>
        <item x="6"/>
        <item x="7"/>
        <item x="8"/>
        <item t="default"/>
      </items>
    </pivotField>
  </pivotFields>
  <rowFields count="2">
    <field x="8"/>
    <field x="0"/>
  </rowFields>
  <colFields count="1">
    <field x="-2"/>
  </colFields>
  <dataFields count="4">
    <dataField name="Average of Adj. Default Spread" fld="4" subtotal="average" numFmtId="168"/>
    <dataField name="Average of Country Risk Premium" fld="6" subtotal="average" numFmtId="168"/>
    <dataField name="Average of Equity Risk Premium" fld="5" subtotal="average" numFmtId="168"/>
    <dataField name="Average of Corporate Tax Rate" fld="7" subtotal="average" numFmtId="168"/>
  </dataFields>
  <pivotTableStyleInfo name="PivotStyleMedium4" showRowHeaders="1" showColHeaders="1" showRowStripes="0" showColStripes="0" showLastColumn="1"/>
</pivotTableDefinition>
</file>

<file path=xl/tables/table1.xml><?xml version="1.0" encoding="utf-8"?>
<table xmlns="http://schemas.openxmlformats.org/spreadsheetml/2006/main" id="1" name="Table1" displayName="Table1" ref="A8:I165" headerRowCount="1" totalsRowCount="0" totalsRowShown="0">
  <autoFilter ref="A8:I165"/>
  <tableColumns count="9">
    <tableColumn id="1" name="Country"/>
    <tableColumn id="2" name="Africa"/>
    <tableColumn id="3" name="Moody's rating"/>
    <tableColumn id="4" name="Rating-based Default Spread"/>
    <tableColumn id="5" name="Total Equity Risk Premium"/>
    <tableColumn id="6" name="Country Risk Premium"/>
    <tableColumn id="7" name="Sovereign CDS, net of Swiss CDS"/>
    <tableColumn id="8" name="Total Equity Risk Premium2"/>
    <tableColumn id="9" name="Country Risk Premium3"/>
  </tableColumns>
</table>
</file>

<file path=xl/tables/table2.xml><?xml version="1.0" encoding="utf-8"?>
<table xmlns="http://schemas.openxmlformats.org/spreadsheetml/2006/main" id="2" name="Table2" displayName="Table2" ref="A167:E188" headerRowCount="1" totalsRowCount="0" totalsRowShown="0">
  <autoFilter ref="A167:E188"/>
  <tableColumns count="5">
    <tableColumn id="1" name="Country"/>
    <tableColumn id="2" name="PRS Composite Risk Score"/>
    <tableColumn id="3" name="ERP"/>
    <tableColumn id="4" name="CRP"/>
    <tableColumn id="5" name="Default Spread"/>
  </tableColumns>
</table>
</file>

<file path=xl/worksheets/_rels/sheet1.xml.rels><?xml version="1.0" encoding="UTF-8"?>
<Relationships xmlns="http://schemas.openxmlformats.org/package/2006/relationships"><Relationship Id="rId1" Type="http://schemas.openxmlformats.org/officeDocument/2006/relationships/hyperlink" Target="http://www.damodaran.com/" TargetMode="External"/><Relationship Id="rId2" Type="http://schemas.openxmlformats.org/officeDocument/2006/relationships/hyperlink" Target="http://www.stern.nyu.edu/~adamodar/pc/implprem/ERPbymonth.xls" TargetMode="External"/><Relationship Id="rId3" Type="http://schemas.openxmlformats.org/officeDocument/2006/relationships/hyperlink" Target="http://www.moodys.com/" TargetMode="External"/><Relationship Id="rId4" Type="http://schemas.openxmlformats.org/officeDocument/2006/relationships/hyperlink" Target="https://papers.ssrn.com/sol3/papers.cfm?abstract_id=4398884" TargetMode="Externa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Relationship Id="rId3" Type="http://schemas.openxmlformats.org/officeDocument/2006/relationships/table" Target="../tables/table1.xml"/><Relationship Id="rId4"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hyperlink" Target="https://finance.yahoo.com/quote/EMB/" TargetMode="External"/><Relationship Id="rId2" Type="http://schemas.openxmlformats.org/officeDocument/2006/relationships/hyperlink" Target="https://www.spglobal.com/spdji/en/indices/equity/sp-emerging-bmi/" TargetMode="External"/>
</Relationships>
</file>

<file path=xl/worksheets/_rels/sheet6.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14.xml.rels><?xml version="1.0" encoding="UTF-8"?>
<Relationships xmlns="http://schemas.openxmlformats.org/package/2006/relationships"><Relationship Id="rId1" Type="http://schemas.openxmlformats.org/officeDocument/2006/relationships/hyperlink" Target="http://data.worldbank.org/data-catalog/GDP-ranking-table" TargetMode="External"/>
</Relationships>
</file>

<file path=xl/worksheets/_rels/sheet15.xml.rels><?xml version="1.0" encoding="UTF-8"?>
<Relationships xmlns="http://schemas.openxmlformats.org/package/2006/relationships"><Relationship Id="rId1" Type="http://schemas.openxmlformats.org/officeDocument/2006/relationships/hyperlink" Target="https://tradingeconomics.com/albania/rating" TargetMode="External"/><Relationship Id="rId2" Type="http://schemas.openxmlformats.org/officeDocument/2006/relationships/hyperlink" Target="https://www.theglobaleconomy.com/Albania/credit_rating/" TargetMode="External"/><Relationship Id="rId3" Type="http://schemas.openxmlformats.org/officeDocument/2006/relationships/hyperlink" Target="https://tradingeconomics.com/andorra/rating" TargetMode="External"/><Relationship Id="rId4" Type="http://schemas.openxmlformats.org/officeDocument/2006/relationships/hyperlink" Target="https://www.theglobaleconomy.com/Andorra/credit_rating/" TargetMode="External"/><Relationship Id="rId5" Type="http://schemas.openxmlformats.org/officeDocument/2006/relationships/hyperlink" Target="https://tradingeconomics.com/angola/rating" TargetMode="External"/><Relationship Id="rId6" Type="http://schemas.openxmlformats.org/officeDocument/2006/relationships/hyperlink" Target="https://www.theglobaleconomy.com/Angola/credit_rating/" TargetMode="External"/><Relationship Id="rId7" Type="http://schemas.openxmlformats.org/officeDocument/2006/relationships/hyperlink" Target="https://tradingeconomics.com/argentina/rating" TargetMode="External"/><Relationship Id="rId8" Type="http://schemas.openxmlformats.org/officeDocument/2006/relationships/hyperlink" Target="https://www.theglobaleconomy.com/Argentina/credit_rating/" TargetMode="External"/><Relationship Id="rId9" Type="http://schemas.openxmlformats.org/officeDocument/2006/relationships/hyperlink" Target="https://tradingeconomics.com/armenia/rating" TargetMode="External"/><Relationship Id="rId10" Type="http://schemas.openxmlformats.org/officeDocument/2006/relationships/hyperlink" Target="https://www.theglobaleconomy.com/Armenia/credit_rating/" TargetMode="External"/><Relationship Id="rId11" Type="http://schemas.openxmlformats.org/officeDocument/2006/relationships/hyperlink" Target="https://tradingeconomics.com/aruba/rating" TargetMode="External"/><Relationship Id="rId12" Type="http://schemas.openxmlformats.org/officeDocument/2006/relationships/hyperlink" Target="https://www.theglobaleconomy.com/Aruba/credit_rating/" TargetMode="External"/><Relationship Id="rId13" Type="http://schemas.openxmlformats.org/officeDocument/2006/relationships/hyperlink" Target="https://tradingeconomics.com/australia/rating" TargetMode="External"/><Relationship Id="rId14" Type="http://schemas.openxmlformats.org/officeDocument/2006/relationships/hyperlink" Target="https://www.theglobaleconomy.com/Australia/credit_rating/" TargetMode="External"/><Relationship Id="rId15" Type="http://schemas.openxmlformats.org/officeDocument/2006/relationships/hyperlink" Target="https://tradingeconomics.com/austria/rating" TargetMode="External"/><Relationship Id="rId16" Type="http://schemas.openxmlformats.org/officeDocument/2006/relationships/hyperlink" Target="https://www.theglobaleconomy.com/Austria/credit_rating/" TargetMode="External"/><Relationship Id="rId17" Type="http://schemas.openxmlformats.org/officeDocument/2006/relationships/hyperlink" Target="https://tradingeconomics.com/azerbaijan/rating" TargetMode="External"/><Relationship Id="rId18" Type="http://schemas.openxmlformats.org/officeDocument/2006/relationships/hyperlink" Target="https://www.theglobaleconomy.com/Azerbaijan/credit_rating/" TargetMode="External"/><Relationship Id="rId19" Type="http://schemas.openxmlformats.org/officeDocument/2006/relationships/hyperlink" Target="https://tradingeconomics.com/bahamas/rating" TargetMode="External"/><Relationship Id="rId20" Type="http://schemas.openxmlformats.org/officeDocument/2006/relationships/hyperlink" Target="https://www.theglobaleconomy.com/Bahamas/credit_rating/" TargetMode="External"/><Relationship Id="rId21" Type="http://schemas.openxmlformats.org/officeDocument/2006/relationships/hyperlink" Target="https://tradingeconomics.com/bahrain/rating" TargetMode="External"/><Relationship Id="rId22" Type="http://schemas.openxmlformats.org/officeDocument/2006/relationships/hyperlink" Target="https://www.theglobaleconomy.com/Bahrain/credit_rating/" TargetMode="External"/><Relationship Id="rId23" Type="http://schemas.openxmlformats.org/officeDocument/2006/relationships/hyperlink" Target="https://tradingeconomics.com/bangladesh/rating" TargetMode="External"/><Relationship Id="rId24" Type="http://schemas.openxmlformats.org/officeDocument/2006/relationships/hyperlink" Target="https://www.theglobaleconomy.com/Bangladesh/credit_rating/" TargetMode="External"/><Relationship Id="rId25" Type="http://schemas.openxmlformats.org/officeDocument/2006/relationships/hyperlink" Target="https://tradingeconomics.com/barbados/rating" TargetMode="External"/><Relationship Id="rId26" Type="http://schemas.openxmlformats.org/officeDocument/2006/relationships/hyperlink" Target="https://www.theglobaleconomy.com/Barbados/credit_rating/" TargetMode="External"/><Relationship Id="rId27" Type="http://schemas.openxmlformats.org/officeDocument/2006/relationships/hyperlink" Target="https://tradingeconomics.com/belarus/rating" TargetMode="External"/><Relationship Id="rId28" Type="http://schemas.openxmlformats.org/officeDocument/2006/relationships/hyperlink" Target="https://www.theglobaleconomy.com/Belarus/credit_rating/" TargetMode="External"/><Relationship Id="rId29" Type="http://schemas.openxmlformats.org/officeDocument/2006/relationships/hyperlink" Target="https://tradingeconomics.com/belgium/rating" TargetMode="External"/><Relationship Id="rId30" Type="http://schemas.openxmlformats.org/officeDocument/2006/relationships/hyperlink" Target="https://www.theglobaleconomy.com/Belgium/credit_rating/" TargetMode="External"/><Relationship Id="rId31" Type="http://schemas.openxmlformats.org/officeDocument/2006/relationships/hyperlink" Target="https://tradingeconomics.com/belize/rating" TargetMode="External"/><Relationship Id="rId32" Type="http://schemas.openxmlformats.org/officeDocument/2006/relationships/hyperlink" Target="https://www.theglobaleconomy.com/Belize/credit_rating/" TargetMode="External"/><Relationship Id="rId33" Type="http://schemas.openxmlformats.org/officeDocument/2006/relationships/hyperlink" Target="https://tradingeconomics.com/benin/rating" TargetMode="External"/><Relationship Id="rId34" Type="http://schemas.openxmlformats.org/officeDocument/2006/relationships/hyperlink" Target="https://www.theglobaleconomy.com/Benin/credit_rating/" TargetMode="External"/><Relationship Id="rId35" Type="http://schemas.openxmlformats.org/officeDocument/2006/relationships/hyperlink" Target="https://tradingeconomics.com/bermuda/rating" TargetMode="External"/><Relationship Id="rId36" Type="http://schemas.openxmlformats.org/officeDocument/2006/relationships/hyperlink" Target="https://www.theglobaleconomy.com/Bermuda/credit_rating/" TargetMode="External"/><Relationship Id="rId37" Type="http://schemas.openxmlformats.org/officeDocument/2006/relationships/hyperlink" Target="https://tradingeconomics.com/bolivia/rating" TargetMode="External"/><Relationship Id="rId38" Type="http://schemas.openxmlformats.org/officeDocument/2006/relationships/hyperlink" Target="https://www.theglobaleconomy.com/Bolivia/credit_rating/" TargetMode="External"/><Relationship Id="rId39" Type="http://schemas.openxmlformats.org/officeDocument/2006/relationships/hyperlink" Target="https://tradingeconomics.com/bosnia-and-herzegovina/rating" TargetMode="External"/><Relationship Id="rId40" Type="http://schemas.openxmlformats.org/officeDocument/2006/relationships/hyperlink" Target="https://www.theglobaleconomy.com/Bosnia-and-Herzegovina/credit_rating/" TargetMode="External"/><Relationship Id="rId41" Type="http://schemas.openxmlformats.org/officeDocument/2006/relationships/hyperlink" Target="https://tradingeconomics.com/botswana/rating" TargetMode="External"/><Relationship Id="rId42" Type="http://schemas.openxmlformats.org/officeDocument/2006/relationships/hyperlink" Target="https://www.theglobaleconomy.com/Botswana/credit_rating/" TargetMode="External"/><Relationship Id="rId43" Type="http://schemas.openxmlformats.org/officeDocument/2006/relationships/hyperlink" Target="https://tradingeconomics.com/brazil/rating" TargetMode="External"/><Relationship Id="rId44" Type="http://schemas.openxmlformats.org/officeDocument/2006/relationships/hyperlink" Target="https://www.theglobaleconomy.com/Brazil/credit_rating/" TargetMode="External"/><Relationship Id="rId45" Type="http://schemas.openxmlformats.org/officeDocument/2006/relationships/hyperlink" Target="https://tradingeconomics.com/bulgaria/rating" TargetMode="External"/><Relationship Id="rId46" Type="http://schemas.openxmlformats.org/officeDocument/2006/relationships/hyperlink" Target="https://www.theglobaleconomy.com/Bulgaria/credit_rating/" TargetMode="External"/><Relationship Id="rId47" Type="http://schemas.openxmlformats.org/officeDocument/2006/relationships/hyperlink" Target="https://tradingeconomics.com/burkina-faso/rating" TargetMode="External"/><Relationship Id="rId48" Type="http://schemas.openxmlformats.org/officeDocument/2006/relationships/hyperlink" Target="https://www.theglobaleconomy.com/Burkina-Faso/credit_rating/" TargetMode="External"/><Relationship Id="rId49" Type="http://schemas.openxmlformats.org/officeDocument/2006/relationships/hyperlink" Target="https://tradingeconomics.com/cambodia/rating" TargetMode="External"/><Relationship Id="rId50" Type="http://schemas.openxmlformats.org/officeDocument/2006/relationships/hyperlink" Target="https://www.theglobaleconomy.com/Cambodia/credit_rating/" TargetMode="External"/><Relationship Id="rId51" Type="http://schemas.openxmlformats.org/officeDocument/2006/relationships/hyperlink" Target="https://tradingeconomics.com/cameroon/rating" TargetMode="External"/><Relationship Id="rId52" Type="http://schemas.openxmlformats.org/officeDocument/2006/relationships/hyperlink" Target="https://www.theglobaleconomy.com/Cameroon/credit_rating/" TargetMode="External"/><Relationship Id="rId53" Type="http://schemas.openxmlformats.org/officeDocument/2006/relationships/hyperlink" Target="https://tradingeconomics.com/canada/rating" TargetMode="External"/><Relationship Id="rId54" Type="http://schemas.openxmlformats.org/officeDocument/2006/relationships/hyperlink" Target="https://www.theglobaleconomy.com/Canada/credit_rating/" TargetMode="External"/><Relationship Id="rId55" Type="http://schemas.openxmlformats.org/officeDocument/2006/relationships/hyperlink" Target="https://tradingeconomics.com/cape-verde/rating" TargetMode="External"/><Relationship Id="rId56" Type="http://schemas.openxmlformats.org/officeDocument/2006/relationships/hyperlink" Target="https://www.theglobaleconomy.com/Cape-Verde/credit_rating/" TargetMode="External"/><Relationship Id="rId57" Type="http://schemas.openxmlformats.org/officeDocument/2006/relationships/hyperlink" Target="https://tradingeconomics.com/cayman-islands/rating" TargetMode="External"/><Relationship Id="rId58" Type="http://schemas.openxmlformats.org/officeDocument/2006/relationships/hyperlink" Target="https://www.theglobaleconomy.com/Chad/credit_rating/" TargetMode="External"/><Relationship Id="rId59" Type="http://schemas.openxmlformats.org/officeDocument/2006/relationships/hyperlink" Target="https://tradingeconomics.com/chad/rating" TargetMode="External"/><Relationship Id="rId60" Type="http://schemas.openxmlformats.org/officeDocument/2006/relationships/hyperlink" Target="https://www.theglobaleconomy.com/Chile/credit_rating/" TargetMode="External"/><Relationship Id="rId61" Type="http://schemas.openxmlformats.org/officeDocument/2006/relationships/hyperlink" Target="https://tradingeconomics.com/chile/rating" TargetMode="External"/><Relationship Id="rId62" Type="http://schemas.openxmlformats.org/officeDocument/2006/relationships/hyperlink" Target="https://www.theglobaleconomy.com/China/credit_rating/" TargetMode="External"/><Relationship Id="rId63" Type="http://schemas.openxmlformats.org/officeDocument/2006/relationships/hyperlink" Target="https://tradingeconomics.com/china/rating" TargetMode="External"/><Relationship Id="rId64" Type="http://schemas.openxmlformats.org/officeDocument/2006/relationships/hyperlink" Target="https://www.theglobaleconomy.com/Colombia/credit_rating/" TargetMode="External"/><Relationship Id="rId65" Type="http://schemas.openxmlformats.org/officeDocument/2006/relationships/hyperlink" Target="https://tradingeconomics.com/colombia/rating" TargetMode="External"/><Relationship Id="rId66" Type="http://schemas.openxmlformats.org/officeDocument/2006/relationships/hyperlink" Target="https://www.theglobaleconomy.com/Costa-Rica/credit_rating/" TargetMode="External"/><Relationship Id="rId67" Type="http://schemas.openxmlformats.org/officeDocument/2006/relationships/hyperlink" Target="https://tradingeconomics.com/congo/rating" TargetMode="External"/><Relationship Id="rId68" Type="http://schemas.openxmlformats.org/officeDocument/2006/relationships/hyperlink" Target="https://www.theglobaleconomy.com/Croatia/credit_rating/" TargetMode="External"/><Relationship Id="rId69" Type="http://schemas.openxmlformats.org/officeDocument/2006/relationships/hyperlink" Target="https://tradingeconomics.com/costa-rica/rating" TargetMode="External"/><Relationship Id="rId70" Type="http://schemas.openxmlformats.org/officeDocument/2006/relationships/hyperlink" Target="https://www.theglobaleconomy.com/Cuba/credit_rating/" TargetMode="External"/><Relationship Id="rId71" Type="http://schemas.openxmlformats.org/officeDocument/2006/relationships/hyperlink" Target="https://tradingeconomics.com/croatia/rating" TargetMode="External"/><Relationship Id="rId72" Type="http://schemas.openxmlformats.org/officeDocument/2006/relationships/hyperlink" Target="https://www.theglobaleconomy.com/Cyprus/credit_rating/" TargetMode="External"/><Relationship Id="rId73" Type="http://schemas.openxmlformats.org/officeDocument/2006/relationships/hyperlink" Target="https://tradingeconomics.com/cyprus/rating" TargetMode="External"/><Relationship Id="rId74" Type="http://schemas.openxmlformats.org/officeDocument/2006/relationships/hyperlink" Target="https://www.theglobaleconomy.com/Czech-Republic/credit_rating/" TargetMode="External"/><Relationship Id="rId75" Type="http://schemas.openxmlformats.org/officeDocument/2006/relationships/hyperlink" Target="https://tradingeconomics.com/czech-republic/rating" TargetMode="External"/><Relationship Id="rId76" Type="http://schemas.openxmlformats.org/officeDocument/2006/relationships/hyperlink" Target="https://www.theglobaleconomy.com/Democratic-Republic-of-the-Congo/credit_rating/" TargetMode="External"/><Relationship Id="rId77" Type="http://schemas.openxmlformats.org/officeDocument/2006/relationships/hyperlink" Target="https://tradingeconomics.com/denmark/rating" TargetMode="External"/><Relationship Id="rId78" Type="http://schemas.openxmlformats.org/officeDocument/2006/relationships/hyperlink" Target="https://www.theglobaleconomy.com/Denmark/credit_rating/" TargetMode="External"/><Relationship Id="rId79" Type="http://schemas.openxmlformats.org/officeDocument/2006/relationships/hyperlink" Target="https://tradingeconomics.com/dominican-republic/rating" TargetMode="External"/><Relationship Id="rId80" Type="http://schemas.openxmlformats.org/officeDocument/2006/relationships/hyperlink" Target="https://www.theglobaleconomy.com/Dominican-Republic/credit_rating/" TargetMode="External"/><Relationship Id="rId81" Type="http://schemas.openxmlformats.org/officeDocument/2006/relationships/hyperlink" Target="https://tradingeconomics.com/ecuador/rating" TargetMode="External"/><Relationship Id="rId82" Type="http://schemas.openxmlformats.org/officeDocument/2006/relationships/hyperlink" Target="https://www.theglobaleconomy.com/Ecuador/credit_rating/" TargetMode="External"/><Relationship Id="rId83" Type="http://schemas.openxmlformats.org/officeDocument/2006/relationships/hyperlink" Target="https://tradingeconomics.com/egypt/rating" TargetMode="External"/><Relationship Id="rId84" Type="http://schemas.openxmlformats.org/officeDocument/2006/relationships/hyperlink" Target="https://www.theglobaleconomy.com/Egypt/credit_rating/" TargetMode="External"/><Relationship Id="rId85" Type="http://schemas.openxmlformats.org/officeDocument/2006/relationships/hyperlink" Target="https://tradingeconomics.com/el-salvador/rating" TargetMode="External"/><Relationship Id="rId86" Type="http://schemas.openxmlformats.org/officeDocument/2006/relationships/hyperlink" Target="https://www.theglobaleconomy.com/El-Salvador/credit_rating/" TargetMode="External"/><Relationship Id="rId87" Type="http://schemas.openxmlformats.org/officeDocument/2006/relationships/hyperlink" Target="https://tradingeconomics.com/estonia/rating" TargetMode="External"/><Relationship Id="rId88" Type="http://schemas.openxmlformats.org/officeDocument/2006/relationships/hyperlink" Target="https://www.theglobaleconomy.com/Estonia/credit_rating/" TargetMode="External"/><Relationship Id="rId89" Type="http://schemas.openxmlformats.org/officeDocument/2006/relationships/hyperlink" Target="https://tradingeconomics.com/ethiopia/rating" TargetMode="External"/><Relationship Id="rId90" Type="http://schemas.openxmlformats.org/officeDocument/2006/relationships/hyperlink" Target="https://www.theglobaleconomy.com/Ethiopia/credit_rating/" TargetMode="External"/><Relationship Id="rId91" Type="http://schemas.openxmlformats.org/officeDocument/2006/relationships/hyperlink" Target="https://tradingeconomics.com/european-union/rating" TargetMode="External"/><Relationship Id="rId92" Type="http://schemas.openxmlformats.org/officeDocument/2006/relationships/hyperlink" Target="https://www.theglobaleconomy.com/Fiji/credit_rating/" TargetMode="External"/><Relationship Id="rId93" Type="http://schemas.openxmlformats.org/officeDocument/2006/relationships/hyperlink" Target="https://tradingeconomics.com/fiji/rating" TargetMode="External"/><Relationship Id="rId94" Type="http://schemas.openxmlformats.org/officeDocument/2006/relationships/hyperlink" Target="https://www.theglobaleconomy.com/Finland/credit_rating/" TargetMode="External"/><Relationship Id="rId95" Type="http://schemas.openxmlformats.org/officeDocument/2006/relationships/hyperlink" Target="https://tradingeconomics.com/finland/rating" TargetMode="External"/><Relationship Id="rId96" Type="http://schemas.openxmlformats.org/officeDocument/2006/relationships/hyperlink" Target="https://www.theglobaleconomy.com/France/credit_rating/" TargetMode="External"/><Relationship Id="rId97" Type="http://schemas.openxmlformats.org/officeDocument/2006/relationships/hyperlink" Target="https://tradingeconomics.com/france/rating" TargetMode="External"/><Relationship Id="rId98" Type="http://schemas.openxmlformats.org/officeDocument/2006/relationships/hyperlink" Target="https://www.theglobaleconomy.com/Gabon/credit_rating/" TargetMode="External"/><Relationship Id="rId99" Type="http://schemas.openxmlformats.org/officeDocument/2006/relationships/hyperlink" Target="https://tradingeconomics.com/gabon/rating" TargetMode="External"/><Relationship Id="rId100" Type="http://schemas.openxmlformats.org/officeDocument/2006/relationships/hyperlink" Target="https://www.theglobaleconomy.com/Gambia/credit_rating/" TargetMode="External"/><Relationship Id="rId101" Type="http://schemas.openxmlformats.org/officeDocument/2006/relationships/hyperlink" Target="https://tradingeconomics.com/georgia/rating" TargetMode="External"/><Relationship Id="rId102" Type="http://schemas.openxmlformats.org/officeDocument/2006/relationships/hyperlink" Target="https://www.theglobaleconomy.com/Georgia/credit_rating/" TargetMode="External"/><Relationship Id="rId103" Type="http://schemas.openxmlformats.org/officeDocument/2006/relationships/hyperlink" Target="https://tradingeconomics.com/germany/rating" TargetMode="External"/><Relationship Id="rId104" Type="http://schemas.openxmlformats.org/officeDocument/2006/relationships/hyperlink" Target="https://www.theglobaleconomy.com/Germany/credit_rating/" TargetMode="External"/><Relationship Id="rId105" Type="http://schemas.openxmlformats.org/officeDocument/2006/relationships/hyperlink" Target="https://tradingeconomics.com/ghana/rating" TargetMode="External"/><Relationship Id="rId106" Type="http://schemas.openxmlformats.org/officeDocument/2006/relationships/hyperlink" Target="https://www.theglobaleconomy.com/Ghana/credit_rating/" TargetMode="External"/><Relationship Id="rId107" Type="http://schemas.openxmlformats.org/officeDocument/2006/relationships/hyperlink" Target="https://tradingeconomics.com/greece/rating" TargetMode="External"/><Relationship Id="rId108" Type="http://schemas.openxmlformats.org/officeDocument/2006/relationships/hyperlink" Target="https://www.theglobaleconomy.com/Greece/credit_rating/" TargetMode="External"/><Relationship Id="rId109" Type="http://schemas.openxmlformats.org/officeDocument/2006/relationships/hyperlink" Target="https://tradingeconomics.com/guatemala/rating" TargetMode="External"/><Relationship Id="rId110" Type="http://schemas.openxmlformats.org/officeDocument/2006/relationships/hyperlink" Target="https://www.theglobaleconomy.com/Grenada/credit_rating/" TargetMode="External"/><Relationship Id="rId111" Type="http://schemas.openxmlformats.org/officeDocument/2006/relationships/hyperlink" Target="https://tradingeconomics.com/honduras/rating" TargetMode="External"/><Relationship Id="rId112" Type="http://schemas.openxmlformats.org/officeDocument/2006/relationships/hyperlink" Target="https://www.theglobaleconomy.com/Guatemala/credit_rating/" TargetMode="External"/><Relationship Id="rId113" Type="http://schemas.openxmlformats.org/officeDocument/2006/relationships/hyperlink" Target="https://tradingeconomics.com/hong-kong/rating" TargetMode="External"/><Relationship Id="rId114" Type="http://schemas.openxmlformats.org/officeDocument/2006/relationships/hyperlink" Target="https://www.theglobaleconomy.com/Guinea/credit_rating/" TargetMode="External"/><Relationship Id="rId115" Type="http://schemas.openxmlformats.org/officeDocument/2006/relationships/hyperlink" Target="https://tradingeconomics.com/hungary/rating" TargetMode="External"/><Relationship Id="rId116" Type="http://schemas.openxmlformats.org/officeDocument/2006/relationships/hyperlink" Target="https://www.theglobaleconomy.com/Honduras/credit_rating/" TargetMode="External"/><Relationship Id="rId117" Type="http://schemas.openxmlformats.org/officeDocument/2006/relationships/hyperlink" Target="https://tradingeconomics.com/iceland/rating" TargetMode="External"/><Relationship Id="rId118" Type="http://schemas.openxmlformats.org/officeDocument/2006/relationships/hyperlink" Target="https://www.theglobaleconomy.com/Hong-Kong/credit_rating/" TargetMode="External"/><Relationship Id="rId119" Type="http://schemas.openxmlformats.org/officeDocument/2006/relationships/hyperlink" Target="https://tradingeconomics.com/india/rating" TargetMode="External"/><Relationship Id="rId120" Type="http://schemas.openxmlformats.org/officeDocument/2006/relationships/hyperlink" Target="https://www.theglobaleconomy.com/Hungary/credit_rating/" TargetMode="External"/><Relationship Id="rId121" Type="http://schemas.openxmlformats.org/officeDocument/2006/relationships/hyperlink" Target="https://tradingeconomics.com/indonesia/rating" TargetMode="External"/><Relationship Id="rId122" Type="http://schemas.openxmlformats.org/officeDocument/2006/relationships/hyperlink" Target="https://www.theglobaleconomy.com/Iceland/credit_rating/" TargetMode="External"/><Relationship Id="rId123" Type="http://schemas.openxmlformats.org/officeDocument/2006/relationships/hyperlink" Target="https://tradingeconomics.com/iraq/rating" TargetMode="External"/><Relationship Id="rId124" Type="http://schemas.openxmlformats.org/officeDocument/2006/relationships/hyperlink" Target="https://www.theglobaleconomy.com/India/credit_rating/" TargetMode="External"/><Relationship Id="rId125" Type="http://schemas.openxmlformats.org/officeDocument/2006/relationships/hyperlink" Target="https://tradingeconomics.com/ireland/rating" TargetMode="External"/><Relationship Id="rId126" Type="http://schemas.openxmlformats.org/officeDocument/2006/relationships/hyperlink" Target="https://www.theglobaleconomy.com/Indonesia/credit_rating/" TargetMode="External"/><Relationship Id="rId127" Type="http://schemas.openxmlformats.org/officeDocument/2006/relationships/hyperlink" Target="https://tradingeconomics.com/isle-of-man/rating" TargetMode="External"/><Relationship Id="rId128" Type="http://schemas.openxmlformats.org/officeDocument/2006/relationships/hyperlink" Target="https://www.theglobaleconomy.com/Iran/credit_rating/" TargetMode="External"/><Relationship Id="rId129" Type="http://schemas.openxmlformats.org/officeDocument/2006/relationships/hyperlink" Target="https://tradingeconomics.com/israel/rating" TargetMode="External"/><Relationship Id="rId130" Type="http://schemas.openxmlformats.org/officeDocument/2006/relationships/hyperlink" Target="https://www.theglobaleconomy.com/Iraq/credit_rating/" TargetMode="External"/><Relationship Id="rId131" Type="http://schemas.openxmlformats.org/officeDocument/2006/relationships/hyperlink" Target="https://tradingeconomics.com/italy/rating" TargetMode="External"/><Relationship Id="rId132" Type="http://schemas.openxmlformats.org/officeDocument/2006/relationships/hyperlink" Target="https://www.theglobaleconomy.com/Ireland/credit_rating/" TargetMode="External"/><Relationship Id="rId133" Type="http://schemas.openxmlformats.org/officeDocument/2006/relationships/hyperlink" Target="https://tradingeconomics.com/ivory-coast/rating" TargetMode="External"/><Relationship Id="rId134" Type="http://schemas.openxmlformats.org/officeDocument/2006/relationships/hyperlink" Target="https://www.theglobaleconomy.com/Israel/credit_rating/" TargetMode="External"/><Relationship Id="rId135" Type="http://schemas.openxmlformats.org/officeDocument/2006/relationships/hyperlink" Target="https://tradingeconomics.com/jamaica/rating" TargetMode="External"/><Relationship Id="rId136" Type="http://schemas.openxmlformats.org/officeDocument/2006/relationships/hyperlink" Target="https://www.theglobaleconomy.com/Italy/credit_rating/" TargetMode="External"/><Relationship Id="rId137" Type="http://schemas.openxmlformats.org/officeDocument/2006/relationships/hyperlink" Target="https://tradingeconomics.com/japan/rating" TargetMode="External"/><Relationship Id="rId138" Type="http://schemas.openxmlformats.org/officeDocument/2006/relationships/hyperlink" Target="https://www.theglobaleconomy.com/Ivory-Coast/credit_rating/" TargetMode="External"/><Relationship Id="rId139" Type="http://schemas.openxmlformats.org/officeDocument/2006/relationships/hyperlink" Target="https://tradingeconomics.com/jordan/rating" TargetMode="External"/><Relationship Id="rId140" Type="http://schemas.openxmlformats.org/officeDocument/2006/relationships/hyperlink" Target="https://www.theglobaleconomy.com/Jamaica/credit_rating/" TargetMode="External"/><Relationship Id="rId141" Type="http://schemas.openxmlformats.org/officeDocument/2006/relationships/hyperlink" Target="https://tradingeconomics.com/kazakhstan/rating" TargetMode="External"/><Relationship Id="rId142" Type="http://schemas.openxmlformats.org/officeDocument/2006/relationships/hyperlink" Target="https://www.theglobaleconomy.com/Japan/credit_rating/" TargetMode="External"/><Relationship Id="rId143" Type="http://schemas.openxmlformats.org/officeDocument/2006/relationships/hyperlink" Target="https://tradingeconomics.com/kenya/rating" TargetMode="External"/><Relationship Id="rId144" Type="http://schemas.openxmlformats.org/officeDocument/2006/relationships/hyperlink" Target="https://www.theglobaleconomy.com/Jordan/credit_rating/" TargetMode="External"/><Relationship Id="rId145" Type="http://schemas.openxmlformats.org/officeDocument/2006/relationships/hyperlink" Target="https://tradingeconomics.com/kuwait/rating" TargetMode="External"/><Relationship Id="rId146" Type="http://schemas.openxmlformats.org/officeDocument/2006/relationships/hyperlink" Target="https://www.theglobaleconomy.com/Kazakhstan/credit_rating/" TargetMode="External"/><Relationship Id="rId147" Type="http://schemas.openxmlformats.org/officeDocument/2006/relationships/hyperlink" Target="https://tradingeconomics.com/kyrgyzstan/rating" TargetMode="External"/><Relationship Id="rId148" Type="http://schemas.openxmlformats.org/officeDocument/2006/relationships/hyperlink" Target="https://www.theglobaleconomy.com/Kenya/credit_rating/" TargetMode="External"/><Relationship Id="rId149" Type="http://schemas.openxmlformats.org/officeDocument/2006/relationships/hyperlink" Target="https://tradingeconomics.com/laos/rating" TargetMode="External"/><Relationship Id="rId150" Type="http://schemas.openxmlformats.org/officeDocument/2006/relationships/hyperlink" Target="https://www.theglobaleconomy.com/Kuwait/credit_rating/" TargetMode="External"/><Relationship Id="rId151" Type="http://schemas.openxmlformats.org/officeDocument/2006/relationships/hyperlink" Target="https://tradingeconomics.com/latvia/rating" TargetMode="External"/><Relationship Id="rId152" Type="http://schemas.openxmlformats.org/officeDocument/2006/relationships/hyperlink" Target="https://www.theglobaleconomy.com/Kyrgyzstan/credit_rating/" TargetMode="External"/><Relationship Id="rId153" Type="http://schemas.openxmlformats.org/officeDocument/2006/relationships/hyperlink" Target="https://tradingeconomics.com/lebanon/rating" TargetMode="External"/><Relationship Id="rId154" Type="http://schemas.openxmlformats.org/officeDocument/2006/relationships/hyperlink" Target="https://www.theglobaleconomy.com/Laos/credit_rating/" TargetMode="External"/><Relationship Id="rId155" Type="http://schemas.openxmlformats.org/officeDocument/2006/relationships/hyperlink" Target="https://tradingeconomics.com/lesotho/rating" TargetMode="External"/><Relationship Id="rId156" Type="http://schemas.openxmlformats.org/officeDocument/2006/relationships/hyperlink" Target="https://www.theglobaleconomy.com/Latvia/credit_rating/" TargetMode="External"/><Relationship Id="rId157" Type="http://schemas.openxmlformats.org/officeDocument/2006/relationships/hyperlink" Target="https://tradingeconomics.com/liechtenstein/rating" TargetMode="External"/><Relationship Id="rId158" Type="http://schemas.openxmlformats.org/officeDocument/2006/relationships/hyperlink" Target="https://www.theglobaleconomy.com/Lebanon/credit_rating/" TargetMode="External"/><Relationship Id="rId159" Type="http://schemas.openxmlformats.org/officeDocument/2006/relationships/hyperlink" Target="https://tradingeconomics.com/lithuania/rating" TargetMode="External"/><Relationship Id="rId160" Type="http://schemas.openxmlformats.org/officeDocument/2006/relationships/hyperlink" Target="https://www.theglobaleconomy.com/Lesotho/credit_rating/" TargetMode="External"/><Relationship Id="rId161" Type="http://schemas.openxmlformats.org/officeDocument/2006/relationships/hyperlink" Target="https://tradingeconomics.com/luxembourg/rating" TargetMode="External"/><Relationship Id="rId162" Type="http://schemas.openxmlformats.org/officeDocument/2006/relationships/hyperlink" Target="https://www.theglobaleconomy.com/Libya/credit_rating/" TargetMode="External"/><Relationship Id="rId163" Type="http://schemas.openxmlformats.org/officeDocument/2006/relationships/hyperlink" Target="https://tradingeconomics.com/macau/rating" TargetMode="External"/><Relationship Id="rId164" Type="http://schemas.openxmlformats.org/officeDocument/2006/relationships/hyperlink" Target="https://www.theglobaleconomy.com/Liechtenstein/credit_rating/" TargetMode="External"/><Relationship Id="rId165" Type="http://schemas.openxmlformats.org/officeDocument/2006/relationships/hyperlink" Target="https://tradingeconomics.com/macedonia/rating" TargetMode="External"/><Relationship Id="rId166" Type="http://schemas.openxmlformats.org/officeDocument/2006/relationships/hyperlink" Target="https://www.theglobaleconomy.com/Lithuania/credit_rating/" TargetMode="External"/><Relationship Id="rId167" Type="http://schemas.openxmlformats.org/officeDocument/2006/relationships/hyperlink" Target="https://tradingeconomics.com/madagascar/rating" TargetMode="External"/><Relationship Id="rId168" Type="http://schemas.openxmlformats.org/officeDocument/2006/relationships/hyperlink" Target="https://www.theglobaleconomy.com/Luxembourg/credit_rating/" TargetMode="External"/><Relationship Id="rId169" Type="http://schemas.openxmlformats.org/officeDocument/2006/relationships/hyperlink" Target="https://tradingeconomics.com/malaysia/rating" TargetMode="External"/><Relationship Id="rId170" Type="http://schemas.openxmlformats.org/officeDocument/2006/relationships/hyperlink" Target="https://www.theglobaleconomy.com/Macao/credit_rating/" TargetMode="External"/><Relationship Id="rId171" Type="http://schemas.openxmlformats.org/officeDocument/2006/relationships/hyperlink" Target="https://tradingeconomics.com/maldives/rating" TargetMode="External"/><Relationship Id="rId172" Type="http://schemas.openxmlformats.org/officeDocument/2006/relationships/hyperlink" Target="https://www.theglobaleconomy.com/Madagascar/credit_rating/" TargetMode="External"/><Relationship Id="rId173" Type="http://schemas.openxmlformats.org/officeDocument/2006/relationships/hyperlink" Target="https://tradingeconomics.com/mali/rating" TargetMode="External"/><Relationship Id="rId174" Type="http://schemas.openxmlformats.org/officeDocument/2006/relationships/hyperlink" Target="https://www.theglobaleconomy.com/Malawi/credit_rating/" TargetMode="External"/><Relationship Id="rId175" Type="http://schemas.openxmlformats.org/officeDocument/2006/relationships/hyperlink" Target="https://tradingeconomics.com/malta/rating" TargetMode="External"/><Relationship Id="rId176" Type="http://schemas.openxmlformats.org/officeDocument/2006/relationships/hyperlink" Target="https://www.theglobaleconomy.com/Malaysia/credit_rating/" TargetMode="External"/><Relationship Id="rId177" Type="http://schemas.openxmlformats.org/officeDocument/2006/relationships/hyperlink" Target="https://tradingeconomics.com/mauritius/rating" TargetMode="External"/><Relationship Id="rId178" Type="http://schemas.openxmlformats.org/officeDocument/2006/relationships/hyperlink" Target="https://www.theglobaleconomy.com/Maldives/credit_rating/" TargetMode="External"/><Relationship Id="rId179" Type="http://schemas.openxmlformats.org/officeDocument/2006/relationships/hyperlink" Target="https://tradingeconomics.com/mexico/rating" TargetMode="External"/><Relationship Id="rId180" Type="http://schemas.openxmlformats.org/officeDocument/2006/relationships/hyperlink" Target="https://www.theglobaleconomy.com/Mali/credit_rating/" TargetMode="External"/><Relationship Id="rId181" Type="http://schemas.openxmlformats.org/officeDocument/2006/relationships/hyperlink" Target="https://tradingeconomics.com/moldova/rating" TargetMode="External"/><Relationship Id="rId182" Type="http://schemas.openxmlformats.org/officeDocument/2006/relationships/hyperlink" Target="https://www.theglobaleconomy.com/Malta/credit_rating/" TargetMode="External"/><Relationship Id="rId183" Type="http://schemas.openxmlformats.org/officeDocument/2006/relationships/hyperlink" Target="https://tradingeconomics.com/mongolia/rating" TargetMode="External"/><Relationship Id="rId184" Type="http://schemas.openxmlformats.org/officeDocument/2006/relationships/hyperlink" Target="https://www.theglobaleconomy.com/Mauritius/credit_rating/" TargetMode="External"/><Relationship Id="rId185" Type="http://schemas.openxmlformats.org/officeDocument/2006/relationships/hyperlink" Target="https://tradingeconomics.com/montenegro/rating" TargetMode="External"/><Relationship Id="rId186" Type="http://schemas.openxmlformats.org/officeDocument/2006/relationships/hyperlink" Target="https://www.theglobaleconomy.com/Mexico/credit_rating/" TargetMode="External"/><Relationship Id="rId187" Type="http://schemas.openxmlformats.org/officeDocument/2006/relationships/hyperlink" Target="https://www.theglobaleconomy.com/Moldova/credit_rating/" TargetMode="External"/><Relationship Id="rId188" Type="http://schemas.openxmlformats.org/officeDocument/2006/relationships/hyperlink" Target="https://tradingeconomics.com/morocco/rating" TargetMode="External"/><Relationship Id="rId189" Type="http://schemas.openxmlformats.org/officeDocument/2006/relationships/hyperlink" Target="https://www.theglobaleconomy.com/Mongolia/credit_rating/" TargetMode="External"/><Relationship Id="rId190" Type="http://schemas.openxmlformats.org/officeDocument/2006/relationships/hyperlink" Target="https://tradingeconomics.com/mozambique/rating" TargetMode="External"/><Relationship Id="rId191" Type="http://schemas.openxmlformats.org/officeDocument/2006/relationships/hyperlink" Target="https://www.theglobaleconomy.com/Montenegro/credit_rating/" TargetMode="External"/><Relationship Id="rId192" Type="http://schemas.openxmlformats.org/officeDocument/2006/relationships/hyperlink" Target="https://tradingeconomics.com/namibia/rating" TargetMode="External"/><Relationship Id="rId193" Type="http://schemas.openxmlformats.org/officeDocument/2006/relationships/hyperlink" Target="https://www.theglobaleconomy.com/Montserrat/credit_rating/" TargetMode="External"/><Relationship Id="rId194" Type="http://schemas.openxmlformats.org/officeDocument/2006/relationships/hyperlink" Target="https://tradingeconomics.com/netherlands/rating" TargetMode="External"/><Relationship Id="rId195" Type="http://schemas.openxmlformats.org/officeDocument/2006/relationships/hyperlink" Target="https://www.theglobaleconomy.com/Morocco/credit_rating/" TargetMode="External"/><Relationship Id="rId196" Type="http://schemas.openxmlformats.org/officeDocument/2006/relationships/hyperlink" Target="https://tradingeconomics.com/new-zealand/rating" TargetMode="External"/><Relationship Id="rId197" Type="http://schemas.openxmlformats.org/officeDocument/2006/relationships/hyperlink" Target="https://www.theglobaleconomy.com/Mozambique/credit_rating/" TargetMode="External"/><Relationship Id="rId198" Type="http://schemas.openxmlformats.org/officeDocument/2006/relationships/hyperlink" Target="https://tradingeconomics.com/nicaragua/rating" TargetMode="External"/><Relationship Id="rId199" Type="http://schemas.openxmlformats.org/officeDocument/2006/relationships/hyperlink" Target="https://www.theglobaleconomy.com/Namibia/credit_rating/" TargetMode="External"/><Relationship Id="rId200" Type="http://schemas.openxmlformats.org/officeDocument/2006/relationships/hyperlink" Target="https://tradingeconomics.com/niger/rating" TargetMode="External"/><Relationship Id="rId201" Type="http://schemas.openxmlformats.org/officeDocument/2006/relationships/hyperlink" Target="https://www.theglobaleconomy.com/Nepal/credit_rating/" TargetMode="External"/><Relationship Id="rId202" Type="http://schemas.openxmlformats.org/officeDocument/2006/relationships/hyperlink" Target="https://tradingeconomics.com/nigeria/rating" TargetMode="External"/><Relationship Id="rId203" Type="http://schemas.openxmlformats.org/officeDocument/2006/relationships/hyperlink" Target="https://www.theglobaleconomy.com/Netherlands/credit_rating/" TargetMode="External"/><Relationship Id="rId204" Type="http://schemas.openxmlformats.org/officeDocument/2006/relationships/hyperlink" Target="https://tradingeconomics.com/norway/rating" TargetMode="External"/><Relationship Id="rId205" Type="http://schemas.openxmlformats.org/officeDocument/2006/relationships/hyperlink" Target="https://www.theglobaleconomy.com/New-Zealand/credit_rating/" TargetMode="External"/><Relationship Id="rId206" Type="http://schemas.openxmlformats.org/officeDocument/2006/relationships/hyperlink" Target="https://tradingeconomics.com/oman/rating" TargetMode="External"/><Relationship Id="rId207" Type="http://schemas.openxmlformats.org/officeDocument/2006/relationships/hyperlink" Target="https://www.theglobaleconomy.com/Nicaragua/credit_rating/" TargetMode="External"/><Relationship Id="rId208" Type="http://schemas.openxmlformats.org/officeDocument/2006/relationships/hyperlink" Target="https://tradingeconomics.com/pakistan/rating" TargetMode="External"/><Relationship Id="rId209" Type="http://schemas.openxmlformats.org/officeDocument/2006/relationships/hyperlink" Target="https://www.theglobaleconomy.com/Niger/credit_rating/" TargetMode="External"/><Relationship Id="rId210" Type="http://schemas.openxmlformats.org/officeDocument/2006/relationships/hyperlink" Target="https://tradingeconomics.com/panama/rating" TargetMode="External"/><Relationship Id="rId211" Type="http://schemas.openxmlformats.org/officeDocument/2006/relationships/hyperlink" Target="https://www.theglobaleconomy.com/Nigeria/credit_rating/" TargetMode="External"/><Relationship Id="rId212" Type="http://schemas.openxmlformats.org/officeDocument/2006/relationships/hyperlink" Target="https://tradingeconomics.com/papua-new-guinea/rating" TargetMode="External"/><Relationship Id="rId213" Type="http://schemas.openxmlformats.org/officeDocument/2006/relationships/hyperlink" Target="https://www.theglobaleconomy.com/Macedonia/credit_rating/" TargetMode="External"/><Relationship Id="rId214" Type="http://schemas.openxmlformats.org/officeDocument/2006/relationships/hyperlink" Target="https://tradingeconomics.com/paraguay/rating" TargetMode="External"/><Relationship Id="rId215" Type="http://schemas.openxmlformats.org/officeDocument/2006/relationships/hyperlink" Target="https://www.theglobaleconomy.com/Norway/credit_rating/" TargetMode="External"/><Relationship Id="rId216" Type="http://schemas.openxmlformats.org/officeDocument/2006/relationships/hyperlink" Target="https://tradingeconomics.com/peru/rating" TargetMode="External"/><Relationship Id="rId217" Type="http://schemas.openxmlformats.org/officeDocument/2006/relationships/hyperlink" Target="https://www.theglobaleconomy.com/Oman/credit_rating/" TargetMode="External"/><Relationship Id="rId218" Type="http://schemas.openxmlformats.org/officeDocument/2006/relationships/hyperlink" Target="https://tradingeconomics.com/philippines/rating" TargetMode="External"/><Relationship Id="rId219" Type="http://schemas.openxmlformats.org/officeDocument/2006/relationships/hyperlink" Target="https://www.theglobaleconomy.com/Pakistan/credit_rating/" TargetMode="External"/><Relationship Id="rId220" Type="http://schemas.openxmlformats.org/officeDocument/2006/relationships/hyperlink" Target="https://tradingeconomics.com/poland/rating" TargetMode="External"/><Relationship Id="rId221" Type="http://schemas.openxmlformats.org/officeDocument/2006/relationships/hyperlink" Target="https://www.theglobaleconomy.com/Panama/credit_rating/" TargetMode="External"/><Relationship Id="rId222" Type="http://schemas.openxmlformats.org/officeDocument/2006/relationships/hyperlink" Target="https://tradingeconomics.com/portugal/rating" TargetMode="External"/><Relationship Id="rId223" Type="http://schemas.openxmlformats.org/officeDocument/2006/relationships/hyperlink" Target="https://www.theglobaleconomy.com/Papua-New-Guinea/credit_rating/" TargetMode="External"/><Relationship Id="rId224" Type="http://schemas.openxmlformats.org/officeDocument/2006/relationships/hyperlink" Target="https://tradingeconomics.com/qatar/rating" TargetMode="External"/><Relationship Id="rId225" Type="http://schemas.openxmlformats.org/officeDocument/2006/relationships/hyperlink" Target="https://www.theglobaleconomy.com/Paraguay/credit_rating/" TargetMode="External"/><Relationship Id="rId226" Type="http://schemas.openxmlformats.org/officeDocument/2006/relationships/hyperlink" Target="https://tradingeconomics.com/republic-of-the-congo/rating" TargetMode="External"/><Relationship Id="rId227" Type="http://schemas.openxmlformats.org/officeDocument/2006/relationships/hyperlink" Target="https://www.theglobaleconomy.com/Peru/credit_rating/" TargetMode="External"/><Relationship Id="rId228" Type="http://schemas.openxmlformats.org/officeDocument/2006/relationships/hyperlink" Target="https://tradingeconomics.com/romania/rating" TargetMode="External"/><Relationship Id="rId229" Type="http://schemas.openxmlformats.org/officeDocument/2006/relationships/hyperlink" Target="https://www.theglobaleconomy.com/Philippines/credit_rating/" TargetMode="External"/><Relationship Id="rId230" Type="http://schemas.openxmlformats.org/officeDocument/2006/relationships/hyperlink" Target="https://tradingeconomics.com/russia/rating" TargetMode="External"/><Relationship Id="rId231" Type="http://schemas.openxmlformats.org/officeDocument/2006/relationships/hyperlink" Target="https://www.theglobaleconomy.com/Poland/credit_rating/" TargetMode="External"/><Relationship Id="rId232" Type="http://schemas.openxmlformats.org/officeDocument/2006/relationships/hyperlink" Target="https://tradingeconomics.com/rwanda/rating" TargetMode="External"/><Relationship Id="rId233" Type="http://schemas.openxmlformats.org/officeDocument/2006/relationships/hyperlink" Target="https://www.theglobaleconomy.com/Portugal/credit_rating/" TargetMode="External"/><Relationship Id="rId234" Type="http://schemas.openxmlformats.org/officeDocument/2006/relationships/hyperlink" Target="https://tradingeconomics.com/san-marino/rating" TargetMode="External"/><Relationship Id="rId235" Type="http://schemas.openxmlformats.org/officeDocument/2006/relationships/hyperlink" Target="https://www.theglobaleconomy.com/Puerto-Rico/credit_rating/" TargetMode="External"/><Relationship Id="rId236" Type="http://schemas.openxmlformats.org/officeDocument/2006/relationships/hyperlink" Target="https://tradingeconomics.com/saudi-arabia/rating" TargetMode="External"/><Relationship Id="rId237" Type="http://schemas.openxmlformats.org/officeDocument/2006/relationships/hyperlink" Target="https://www.theglobaleconomy.com/Qatar/credit_rating/" TargetMode="External"/><Relationship Id="rId238" Type="http://schemas.openxmlformats.org/officeDocument/2006/relationships/hyperlink" Target="https://tradingeconomics.com/senegal/rating" TargetMode="External"/><Relationship Id="rId239" Type="http://schemas.openxmlformats.org/officeDocument/2006/relationships/hyperlink" Target="https://www.theglobaleconomy.com/Republic-of-the-Congo/credit_rating/" TargetMode="External"/><Relationship Id="rId240" Type="http://schemas.openxmlformats.org/officeDocument/2006/relationships/hyperlink" Target="https://tradingeconomics.com/serbia/rating" TargetMode="External"/><Relationship Id="rId241" Type="http://schemas.openxmlformats.org/officeDocument/2006/relationships/hyperlink" Target="https://www.theglobaleconomy.com/Romania/credit_rating/" TargetMode="External"/><Relationship Id="rId242" Type="http://schemas.openxmlformats.org/officeDocument/2006/relationships/hyperlink" Target="https://tradingeconomics.com/seychelles/rating" TargetMode="External"/><Relationship Id="rId243" Type="http://schemas.openxmlformats.org/officeDocument/2006/relationships/hyperlink" Target="https://www.theglobaleconomy.com/Russia/credit_rating/" TargetMode="External"/><Relationship Id="rId244" Type="http://schemas.openxmlformats.org/officeDocument/2006/relationships/hyperlink" Target="https://tradingeconomics.com/singapore/rating" TargetMode="External"/><Relationship Id="rId245" Type="http://schemas.openxmlformats.org/officeDocument/2006/relationships/hyperlink" Target="https://www.theglobaleconomy.com/Rwanda/credit_rating/" TargetMode="External"/><Relationship Id="rId246" Type="http://schemas.openxmlformats.org/officeDocument/2006/relationships/hyperlink" Target="https://tradingeconomics.com/slovakia/rating" TargetMode="External"/><Relationship Id="rId247" Type="http://schemas.openxmlformats.org/officeDocument/2006/relationships/hyperlink" Target="https://www.theglobaleconomy.com/Saint-Vincent-and-the-Grenadines/credit_rating/" TargetMode="External"/><Relationship Id="rId248" Type="http://schemas.openxmlformats.org/officeDocument/2006/relationships/hyperlink" Target="https://tradingeconomics.com/slovenia/rating" TargetMode="External"/><Relationship Id="rId249" Type="http://schemas.openxmlformats.org/officeDocument/2006/relationships/hyperlink" Target="https://www.theglobaleconomy.com/San-Marino/credit_rating/" TargetMode="External"/><Relationship Id="rId250" Type="http://schemas.openxmlformats.org/officeDocument/2006/relationships/hyperlink" Target="https://tradingeconomics.com/solomon-islands/rating" TargetMode="External"/><Relationship Id="rId251" Type="http://schemas.openxmlformats.org/officeDocument/2006/relationships/hyperlink" Target="https://www.theglobaleconomy.com/Saudi-Arabia/credit_rating/" TargetMode="External"/><Relationship Id="rId252" Type="http://schemas.openxmlformats.org/officeDocument/2006/relationships/hyperlink" Target="https://tradingeconomics.com/south-africa/rating" TargetMode="External"/><Relationship Id="rId253" Type="http://schemas.openxmlformats.org/officeDocument/2006/relationships/hyperlink" Target="https://www.theglobaleconomy.com/Senegal/credit_rating/" TargetMode="External"/><Relationship Id="rId254" Type="http://schemas.openxmlformats.org/officeDocument/2006/relationships/hyperlink" Target="https://tradingeconomics.com/south-korea/rating" TargetMode="External"/><Relationship Id="rId255" Type="http://schemas.openxmlformats.org/officeDocument/2006/relationships/hyperlink" Target="https://www.theglobaleconomy.com/Serbia/credit_rating/" TargetMode="External"/><Relationship Id="rId256" Type="http://schemas.openxmlformats.org/officeDocument/2006/relationships/hyperlink" Target="https://tradingeconomics.com/spain/rating" TargetMode="External"/><Relationship Id="rId257" Type="http://schemas.openxmlformats.org/officeDocument/2006/relationships/hyperlink" Target="https://www.theglobaleconomy.com/Seychelles/credit_rating/" TargetMode="External"/><Relationship Id="rId258" Type="http://schemas.openxmlformats.org/officeDocument/2006/relationships/hyperlink" Target="https://tradingeconomics.com/sri-lanka/rating" TargetMode="External"/><Relationship Id="rId259" Type="http://schemas.openxmlformats.org/officeDocument/2006/relationships/hyperlink" Target="https://www.theglobaleconomy.com/Singapore/credit_rating/" TargetMode="External"/><Relationship Id="rId260" Type="http://schemas.openxmlformats.org/officeDocument/2006/relationships/hyperlink" Target="https://tradingeconomics.com/st-vincent-and-the-grenadines/rating" TargetMode="External"/><Relationship Id="rId261" Type="http://schemas.openxmlformats.org/officeDocument/2006/relationships/hyperlink" Target="https://www.theglobaleconomy.com/Slovakia/credit_rating/" TargetMode="External"/><Relationship Id="rId262" Type="http://schemas.openxmlformats.org/officeDocument/2006/relationships/hyperlink" Target="https://tradingeconomics.com/suriname/rating" TargetMode="External"/><Relationship Id="rId263" Type="http://schemas.openxmlformats.org/officeDocument/2006/relationships/hyperlink" Target="https://www.theglobaleconomy.com/Slovenia/credit_rating/" TargetMode="External"/><Relationship Id="rId264" Type="http://schemas.openxmlformats.org/officeDocument/2006/relationships/hyperlink" Target="https://tradingeconomics.com/swaziland/rating" TargetMode="External"/><Relationship Id="rId265" Type="http://schemas.openxmlformats.org/officeDocument/2006/relationships/hyperlink" Target="https://www.theglobaleconomy.com/Solomon-Islands/credit_rating/" TargetMode="External"/><Relationship Id="rId266" Type="http://schemas.openxmlformats.org/officeDocument/2006/relationships/hyperlink" Target="https://tradingeconomics.com/sweden/rating" TargetMode="External"/><Relationship Id="rId267" Type="http://schemas.openxmlformats.org/officeDocument/2006/relationships/hyperlink" Target="https://www.theglobaleconomy.com/South-Africa/credit_rating/" TargetMode="External"/><Relationship Id="rId268" Type="http://schemas.openxmlformats.org/officeDocument/2006/relationships/hyperlink" Target="https://tradingeconomics.com/switzerland/rating" TargetMode="External"/><Relationship Id="rId269" Type="http://schemas.openxmlformats.org/officeDocument/2006/relationships/hyperlink" Target="https://www.theglobaleconomy.com/South-Korea/credit_rating/" TargetMode="External"/><Relationship Id="rId270" Type="http://schemas.openxmlformats.org/officeDocument/2006/relationships/hyperlink" Target="https://tradingeconomics.com/taiwan/rating" TargetMode="External"/><Relationship Id="rId271" Type="http://schemas.openxmlformats.org/officeDocument/2006/relationships/hyperlink" Target="https://www.theglobaleconomy.com/Spain/credit_rating/" TargetMode="External"/><Relationship Id="rId272" Type="http://schemas.openxmlformats.org/officeDocument/2006/relationships/hyperlink" Target="https://tradingeconomics.com/tajikistan/rating" TargetMode="External"/><Relationship Id="rId273" Type="http://schemas.openxmlformats.org/officeDocument/2006/relationships/hyperlink" Target="https://www.theglobaleconomy.com/Sri-Lanka/credit_rating/" TargetMode="External"/><Relationship Id="rId274" Type="http://schemas.openxmlformats.org/officeDocument/2006/relationships/hyperlink" Target="https://tradingeconomics.com/tanzania/rating" TargetMode="External"/><Relationship Id="rId275" Type="http://schemas.openxmlformats.org/officeDocument/2006/relationships/hyperlink" Target="https://www.theglobaleconomy.com/Suriname/credit_rating/" TargetMode="External"/><Relationship Id="rId276" Type="http://schemas.openxmlformats.org/officeDocument/2006/relationships/hyperlink" Target="https://tradingeconomics.com/thailand/rating" TargetMode="External"/><Relationship Id="rId277" Type="http://schemas.openxmlformats.org/officeDocument/2006/relationships/hyperlink" Target="https://www.theglobaleconomy.com/Swaziland/credit_rating/" TargetMode="External"/><Relationship Id="rId278" Type="http://schemas.openxmlformats.org/officeDocument/2006/relationships/hyperlink" Target="https://tradingeconomics.com/togo/rating" TargetMode="External"/><Relationship Id="rId279" Type="http://schemas.openxmlformats.org/officeDocument/2006/relationships/hyperlink" Target="https://www.theglobaleconomy.com/Sweden/credit_rating/" TargetMode="External"/><Relationship Id="rId280" Type="http://schemas.openxmlformats.org/officeDocument/2006/relationships/hyperlink" Target="https://tradingeconomics.com/trinidad-and-tobago/rating" TargetMode="External"/><Relationship Id="rId281" Type="http://schemas.openxmlformats.org/officeDocument/2006/relationships/hyperlink" Target="https://www.theglobaleconomy.com/Switzerland/credit_rating/" TargetMode="External"/><Relationship Id="rId282" Type="http://schemas.openxmlformats.org/officeDocument/2006/relationships/hyperlink" Target="https://tradingeconomics.com/tunisia/rating" TargetMode="External"/><Relationship Id="rId283" Type="http://schemas.openxmlformats.org/officeDocument/2006/relationships/hyperlink" Target="https://www.theglobaleconomy.com/Taiwan/credit_rating/" TargetMode="External"/><Relationship Id="rId284" Type="http://schemas.openxmlformats.org/officeDocument/2006/relationships/hyperlink" Target="https://tradingeconomics.com/turkey/rating" TargetMode="External"/><Relationship Id="rId285" Type="http://schemas.openxmlformats.org/officeDocument/2006/relationships/hyperlink" Target="https://www.theglobaleconomy.com/Tajikistan/credit_rating/" TargetMode="External"/><Relationship Id="rId286" Type="http://schemas.openxmlformats.org/officeDocument/2006/relationships/hyperlink" Target="https://tradingeconomics.com/turkmenistan/rating" TargetMode="External"/><Relationship Id="rId287" Type="http://schemas.openxmlformats.org/officeDocument/2006/relationships/hyperlink" Target="https://www.theglobaleconomy.com/Tanzania/credit_rating/" TargetMode="External"/><Relationship Id="rId288" Type="http://schemas.openxmlformats.org/officeDocument/2006/relationships/hyperlink" Target="https://tradingeconomics.com/uganda/rating" TargetMode="External"/><Relationship Id="rId289" Type="http://schemas.openxmlformats.org/officeDocument/2006/relationships/hyperlink" Target="https://www.theglobaleconomy.com/Thailand/credit_rating/" TargetMode="External"/><Relationship Id="rId290" Type="http://schemas.openxmlformats.org/officeDocument/2006/relationships/hyperlink" Target="https://tradingeconomics.com/ukraine/rating" TargetMode="External"/><Relationship Id="rId291" Type="http://schemas.openxmlformats.org/officeDocument/2006/relationships/hyperlink" Target="https://www.theglobaleconomy.com/Togo/credit_rating/" TargetMode="External"/><Relationship Id="rId292" Type="http://schemas.openxmlformats.org/officeDocument/2006/relationships/hyperlink" Target="https://tradingeconomics.com/united-arab-emirates/rating" TargetMode="External"/><Relationship Id="rId293" Type="http://schemas.openxmlformats.org/officeDocument/2006/relationships/hyperlink" Target="https://www.theglobaleconomy.com/Trinidad-and-Tobago/credit_rating/" TargetMode="External"/><Relationship Id="rId294" Type="http://schemas.openxmlformats.org/officeDocument/2006/relationships/hyperlink" Target="https://tradingeconomics.com/united-kingdom/rating" TargetMode="External"/><Relationship Id="rId295" Type="http://schemas.openxmlformats.org/officeDocument/2006/relationships/hyperlink" Target="https://www.theglobaleconomy.com/Tunisia/credit_rating/" TargetMode="External"/><Relationship Id="rId296" Type="http://schemas.openxmlformats.org/officeDocument/2006/relationships/hyperlink" Target="https://tradingeconomics.com/united-states/rating" TargetMode="External"/><Relationship Id="rId297" Type="http://schemas.openxmlformats.org/officeDocument/2006/relationships/hyperlink" Target="https://www.theglobaleconomy.com/Turkey/credit_rating/" TargetMode="External"/><Relationship Id="rId298" Type="http://schemas.openxmlformats.org/officeDocument/2006/relationships/hyperlink" Target="https://tradingeconomics.com/uruguay/rating" TargetMode="External"/><Relationship Id="rId299" Type="http://schemas.openxmlformats.org/officeDocument/2006/relationships/hyperlink" Target="https://www.theglobaleconomy.com/Turkmenistan/credit_rating/" TargetMode="External"/><Relationship Id="rId300" Type="http://schemas.openxmlformats.org/officeDocument/2006/relationships/hyperlink" Target="https://tradingeconomics.com/uzbekistan/rating" TargetMode="External"/><Relationship Id="rId301" Type="http://schemas.openxmlformats.org/officeDocument/2006/relationships/hyperlink" Target="https://www.theglobaleconomy.com/Uganda/credit_rating/" TargetMode="External"/><Relationship Id="rId302" Type="http://schemas.openxmlformats.org/officeDocument/2006/relationships/hyperlink" Target="https://tradingeconomics.com/venezuela/rating" TargetMode="External"/><Relationship Id="rId303" Type="http://schemas.openxmlformats.org/officeDocument/2006/relationships/hyperlink" Target="https://www.theglobaleconomy.com/Ukraine/credit_rating/" TargetMode="External"/><Relationship Id="rId304" Type="http://schemas.openxmlformats.org/officeDocument/2006/relationships/hyperlink" Target="https://tradingeconomics.com/vietnam/rating" TargetMode="External"/><Relationship Id="rId305" Type="http://schemas.openxmlformats.org/officeDocument/2006/relationships/hyperlink" Target="https://www.theglobaleconomy.com/United-Arab-Emirates/credit_rating/" TargetMode="External"/><Relationship Id="rId306" Type="http://schemas.openxmlformats.org/officeDocument/2006/relationships/hyperlink" Target="https://tradingeconomics.com/zambia/rating" TargetMode="External"/><Relationship Id="rId307" Type="http://schemas.openxmlformats.org/officeDocument/2006/relationships/hyperlink" Target="https://www.theglobaleconomy.com/United-Kingdom/credit_rating/" TargetMode="External"/><Relationship Id="rId308" Type="http://schemas.openxmlformats.org/officeDocument/2006/relationships/hyperlink" Target="https://www.theglobaleconomy.com/Uruguay/credit_rating/" TargetMode="External"/><Relationship Id="rId309" Type="http://schemas.openxmlformats.org/officeDocument/2006/relationships/hyperlink" Target="https://www.theglobaleconomy.com/USA/credit_rating/" TargetMode="External"/><Relationship Id="rId310" Type="http://schemas.openxmlformats.org/officeDocument/2006/relationships/hyperlink" Target="https://www.theglobaleconomy.com/Uzbekistan/credit_rating/" TargetMode="External"/><Relationship Id="rId311" Type="http://schemas.openxmlformats.org/officeDocument/2006/relationships/hyperlink" Target="https://www.theglobaleconomy.com/Venezuela/credit_rating/" TargetMode="External"/><Relationship Id="rId312" Type="http://schemas.openxmlformats.org/officeDocument/2006/relationships/hyperlink" Target="https://www.theglobaleconomy.com/Vietnam/credit_rating/" TargetMode="External"/><Relationship Id="rId313" Type="http://schemas.openxmlformats.org/officeDocument/2006/relationships/hyperlink" Target="https://www.theglobaleconomy.com/Zambia/credit_rati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3" activeCellId="0" sqref="A13"/>
    </sheetView>
  </sheetViews>
  <sheetFormatPr defaultColWidth="10.65234375" defaultRowHeight="12.75" zeroHeight="false" outlineLevelRow="0" outlineLevelCol="0"/>
  <cols>
    <col collapsed="false" customWidth="true" hidden="false" outlineLevel="0" max="1" min="1" style="0" width="24.66"/>
  </cols>
  <sheetData>
    <row r="1" s="2" customFormat="true" ht="15.75" hidden="false" customHeight="false" outlineLevel="0" collapsed="false">
      <c r="A1" s="1" t="s">
        <v>0</v>
      </c>
    </row>
    <row r="2" s="2" customFormat="true" ht="15.75" hidden="false" customHeight="false" outlineLevel="0" collapsed="false">
      <c r="A2" s="2" t="s">
        <v>1</v>
      </c>
    </row>
    <row r="3" s="2" customFormat="true" ht="15.75" hidden="false" customHeight="false" outlineLevel="0" collapsed="false">
      <c r="A3" s="2" t="s">
        <v>2</v>
      </c>
    </row>
    <row r="4" s="2" customFormat="true" ht="15.75" hidden="false" customHeight="false" outlineLevel="0" collapsed="false"/>
    <row r="5" s="4" customFormat="true" ht="15.75" hidden="false" customHeight="false" outlineLevel="0" collapsed="false">
      <c r="A5" s="3" t="s">
        <v>3</v>
      </c>
    </row>
    <row r="6" s="2" customFormat="true" ht="15.75" hidden="false" customHeight="false" outlineLevel="0" collapsed="false">
      <c r="A6" s="2" t="s">
        <v>4</v>
      </c>
    </row>
    <row r="7" s="2" customFormat="true" ht="15.75" hidden="false" customHeight="false" outlineLevel="0" collapsed="false">
      <c r="A7" s="2" t="s">
        <v>5</v>
      </c>
      <c r="B7" s="5" t="s">
        <v>6</v>
      </c>
    </row>
    <row r="8" s="2" customFormat="true" ht="15.75" hidden="false" customHeight="false" outlineLevel="0" collapsed="false">
      <c r="A8" s="2" t="s">
        <v>7</v>
      </c>
      <c r="B8" s="5" t="s">
        <v>8</v>
      </c>
    </row>
    <row r="9" s="2" customFormat="true" ht="15.75" hidden="false" customHeight="false" outlineLevel="0" collapsed="false">
      <c r="A9" s="2" t="s">
        <v>9</v>
      </c>
      <c r="B9" s="5"/>
    </row>
    <row r="10" s="2" customFormat="true" ht="15.75" hidden="false" customHeight="false" outlineLevel="0" collapsed="false">
      <c r="A10" s="2" t="s">
        <v>10</v>
      </c>
      <c r="B10" s="5"/>
    </row>
    <row r="11" s="2" customFormat="true" ht="15.75" hidden="false" customHeight="false" outlineLevel="0" collapsed="false">
      <c r="A11" s="2" t="s">
        <v>11</v>
      </c>
      <c r="B11" s="5"/>
    </row>
    <row r="12" s="2" customFormat="true" ht="15.75" hidden="false" customHeight="false" outlineLevel="0" collapsed="false">
      <c r="A12" s="2" t="s">
        <v>12</v>
      </c>
      <c r="B12" s="5"/>
    </row>
    <row r="13" s="2" customFormat="true" ht="15.75" hidden="false" customHeight="false" outlineLevel="0" collapsed="false">
      <c r="A13" s="2" t="s">
        <v>13</v>
      </c>
    </row>
    <row r="14" s="2" customFormat="true" ht="15.75" hidden="false" customHeight="false" outlineLevel="0" collapsed="false"/>
    <row r="15" s="4" customFormat="true" ht="15.75" hidden="false" customHeight="false" outlineLevel="0" collapsed="false">
      <c r="A15" s="3" t="s">
        <v>14</v>
      </c>
    </row>
    <row r="16" s="2" customFormat="true" ht="15.75" hidden="false" customHeight="false" outlineLevel="0" collapsed="false">
      <c r="A16" s="2" t="s">
        <v>15</v>
      </c>
      <c r="B16" s="5" t="s">
        <v>16</v>
      </c>
      <c r="D16" s="2" t="s">
        <v>17</v>
      </c>
    </row>
    <row r="17" s="2" customFormat="true" ht="15.75" hidden="false" customHeight="false" outlineLevel="0" collapsed="false">
      <c r="A17" s="2" t="s">
        <v>18</v>
      </c>
      <c r="B17" s="2" t="s">
        <v>19</v>
      </c>
    </row>
    <row r="18" s="2" customFormat="true" ht="15.75" hidden="false" customHeight="false" outlineLevel="0" collapsed="false">
      <c r="A18" s="2" t="s">
        <v>20</v>
      </c>
      <c r="B18" s="2" t="s">
        <v>21</v>
      </c>
    </row>
    <row r="19" s="2" customFormat="true" ht="15.75" hidden="false" customHeight="false" outlineLevel="0" collapsed="false">
      <c r="A19" s="6" t="s">
        <v>22</v>
      </c>
    </row>
    <row r="20" s="2" customFormat="true" ht="15.75" hidden="false" customHeight="false" outlineLevel="0" collapsed="false">
      <c r="A20" s="7"/>
    </row>
    <row r="21" s="4" customFormat="true" ht="15.75" hidden="false" customHeight="false" outlineLevel="0" collapsed="false">
      <c r="A21" s="3" t="s">
        <v>23</v>
      </c>
    </row>
    <row r="22" s="4" customFormat="true" ht="15.75" hidden="false" customHeight="false" outlineLevel="0" collapsed="false">
      <c r="A22" s="4" t="s">
        <v>24</v>
      </c>
    </row>
    <row r="23" s="2" customFormat="true" ht="15.75" hidden="false" customHeight="false" outlineLevel="0" collapsed="false">
      <c r="A23" s="4" t="s">
        <v>25</v>
      </c>
    </row>
    <row r="24" s="2" customFormat="true" ht="15.75" hidden="false" customHeight="false" outlineLevel="0" collapsed="false">
      <c r="A24" s="4" t="s">
        <v>26</v>
      </c>
    </row>
    <row r="25" s="4" customFormat="true" ht="15.75" hidden="false" customHeight="false" outlineLevel="0" collapsed="false">
      <c r="A25" s="4" t="s">
        <v>27</v>
      </c>
    </row>
    <row r="26" s="2" customFormat="true" ht="15.75" hidden="false" customHeight="false" outlineLevel="0" collapsed="false">
      <c r="A26" s="8" t="s">
        <v>28</v>
      </c>
    </row>
    <row r="27" s="2" customFormat="true" ht="15.75" hidden="false" customHeight="false" outlineLevel="0" collapsed="false">
      <c r="A27" s="8" t="s">
        <v>29</v>
      </c>
    </row>
    <row r="28" s="2" customFormat="true" ht="15.75" hidden="false" customHeight="false" outlineLevel="0" collapsed="false">
      <c r="A28" s="2" t="s">
        <v>30</v>
      </c>
    </row>
    <row r="29" s="2" customFormat="true" ht="15.75" hidden="false" customHeight="false" outlineLevel="0" collapsed="false"/>
    <row r="30" s="2" customFormat="true" ht="15.75" hidden="false" customHeight="false" outlineLevel="0" collapsed="false">
      <c r="A30" s="3" t="s">
        <v>31</v>
      </c>
    </row>
    <row r="31" s="4" customFormat="true" ht="15.75" hidden="false" customHeight="false" outlineLevel="0" collapsed="false">
      <c r="A31" s="2" t="s">
        <v>32</v>
      </c>
    </row>
    <row r="32" s="2" customFormat="true" ht="15.75" hidden="false" customHeight="false" outlineLevel="0" collapsed="false"/>
    <row r="33" s="2" customFormat="true" ht="15.75" hidden="false" customHeight="false" outlineLevel="0" collapsed="false">
      <c r="A33" s="3" t="s">
        <v>33</v>
      </c>
    </row>
    <row r="34" s="3" customFormat="true" ht="15.75" hidden="false" customHeight="false" outlineLevel="0" collapsed="false">
      <c r="A34" s="2" t="s">
        <v>34</v>
      </c>
    </row>
    <row r="35" s="2" customFormat="true" ht="15.75" hidden="false" customHeight="false" outlineLevel="0" collapsed="false">
      <c r="A35" s="2" t="s">
        <v>35</v>
      </c>
    </row>
    <row r="36" s="2" customFormat="true" ht="15.75" hidden="false" customHeight="false" outlineLevel="0" collapsed="false">
      <c r="I36" s="9" t="s">
        <v>36</v>
      </c>
    </row>
    <row r="37" s="2" customFormat="true" ht="15.75" hidden="false" customHeight="false" outlineLevel="0" collapsed="false">
      <c r="A37" s="2" t="s">
        <v>37</v>
      </c>
    </row>
    <row r="38" s="2" customFormat="true" ht="15.75" hidden="false" customHeight="false" outlineLevel="0" collapsed="false">
      <c r="A38" s="4" t="s">
        <v>38</v>
      </c>
    </row>
    <row r="39" s="2" customFormat="true" ht="21.75" hidden="false" customHeight="true" outlineLevel="0" collapsed="false">
      <c r="A39" s="4" t="s">
        <v>39</v>
      </c>
      <c r="E39" s="10" t="s">
        <v>40</v>
      </c>
      <c r="F39" s="10"/>
      <c r="G39" s="10"/>
      <c r="H39" s="10"/>
      <c r="I39" s="10"/>
      <c r="J39" s="10"/>
      <c r="K39" s="10"/>
      <c r="L39" s="10"/>
    </row>
    <row r="40" s="2" customFormat="true" ht="15.75" hidden="false" customHeight="false" outlineLevel="0" collapsed="false">
      <c r="A40" s="4" t="s">
        <v>41</v>
      </c>
      <c r="E40" s="9" t="s">
        <v>42</v>
      </c>
    </row>
    <row r="41" s="2" customFormat="true" ht="15.75" hidden="false" customHeight="false" outlineLevel="0" collapsed="false">
      <c r="E41" s="5" t="s">
        <v>43</v>
      </c>
    </row>
    <row r="42" s="2" customFormat="true" ht="15.75" hidden="false" customHeight="false" outlineLevel="0" collapsed="false">
      <c r="E42" s="5" t="s">
        <v>44</v>
      </c>
    </row>
  </sheetData>
  <mergeCells count="1">
    <mergeCell ref="E39:L39"/>
  </mergeCells>
  <hyperlinks>
    <hyperlink ref="B7" r:id="rId1" display="http://www.damodaran.com"/>
    <hyperlink ref="B8" r:id="rId2" display="https://pages.stern.nyu.edu/~adamodar/pc/implprem/ERPbymonth.xls"/>
    <hyperlink ref="B16" r:id="rId3" display="http://www.moodys.com"/>
    <hyperlink ref="E39" r:id="rId4" display="https://papers.ssrn.com/sol3/papers.cfm?abstract_id=4398884"/>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10.65234375" defaultRowHeight="15.75" zeroHeight="false" outlineLevelRow="0" outlineLevelCol="0"/>
  <cols>
    <col collapsed="false" customWidth="true" hidden="false" outlineLevel="0" max="1" min="1" style="11" width="33"/>
    <col collapsed="false" customWidth="true" hidden="false" outlineLevel="0" max="2" min="2" style="12" width="92"/>
  </cols>
  <sheetData>
    <row r="1" customFormat="false" ht="16.5" hidden="false" customHeight="false" outlineLevel="0" collapsed="false">
      <c r="A1" s="13"/>
      <c r="B1" s="14" t="s">
        <v>45</v>
      </c>
    </row>
    <row r="2" customFormat="false" ht="102" hidden="false" customHeight="true" outlineLevel="0" collapsed="false">
      <c r="A2" s="15" t="s">
        <v>46</v>
      </c>
      <c r="B2" s="16" t="s">
        <v>47</v>
      </c>
    </row>
    <row r="3" customFormat="false" ht="16.5" hidden="false" customHeight="true" outlineLevel="0" collapsed="false">
      <c r="A3" s="15" t="s">
        <v>48</v>
      </c>
      <c r="B3" s="16" t="s">
        <v>49</v>
      </c>
    </row>
    <row r="4" customFormat="false" ht="16.5" hidden="false" customHeight="true" outlineLevel="0" collapsed="false">
      <c r="A4" s="15" t="s">
        <v>50</v>
      </c>
      <c r="B4" s="16" t="s">
        <v>51</v>
      </c>
    </row>
    <row r="5" customFormat="false" ht="33.75" hidden="false" customHeight="false" outlineLevel="0" collapsed="false">
      <c r="A5" s="15" t="s">
        <v>52</v>
      </c>
      <c r="B5" s="17" t="s">
        <v>53</v>
      </c>
    </row>
    <row r="6" customFormat="false" ht="48" hidden="false" customHeight="true" outlineLevel="0" collapsed="false">
      <c r="A6" s="15" t="s">
        <v>54</v>
      </c>
      <c r="B6" s="17" t="s">
        <v>55</v>
      </c>
    </row>
    <row r="7" customFormat="false" ht="118.5" hidden="false" customHeight="false" outlineLevel="0" collapsed="false">
      <c r="A7" s="15" t="s">
        <v>56</v>
      </c>
      <c r="B7" s="17" t="s">
        <v>57</v>
      </c>
    </row>
    <row r="8" customFormat="false" ht="51" hidden="false" customHeight="false" outlineLevel="0" collapsed="false">
      <c r="A8" s="13" t="s">
        <v>58</v>
      </c>
      <c r="B8" s="17" t="s">
        <v>59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0.65234375" defaultRowHeight="15.75" zeroHeight="false" outlineLevelRow="0" outlineLevelCol="0"/>
  <cols>
    <col collapsed="false" customWidth="true" hidden="false" outlineLevel="0" max="1" min="1" style="2" width="35.66"/>
    <col collapsed="false" customWidth="true" hidden="false" outlineLevel="0" max="2" min="2" style="0" width="22"/>
  </cols>
  <sheetData>
    <row r="1" s="18" customFormat="true" ht="18.75" hidden="false" customHeight="false" outlineLevel="0" collapsed="false">
      <c r="A1" s="18" t="s">
        <v>60</v>
      </c>
    </row>
    <row r="2" customFormat="false" ht="15.75" hidden="false" customHeight="false" outlineLevel="0" collapsed="false">
      <c r="A2" s="2" t="s">
        <v>61</v>
      </c>
      <c r="B2" s="19" t="s">
        <v>62</v>
      </c>
      <c r="D2" s="7" t="s">
        <v>63</v>
      </c>
    </row>
    <row r="3" customFormat="false" ht="15.75" hidden="false" customHeight="false" outlineLevel="0" collapsed="false">
      <c r="B3" s="2"/>
      <c r="D3" s="7" t="s">
        <v>64</v>
      </c>
    </row>
    <row r="4" customFormat="false" ht="15.75" hidden="false" customHeight="false" outlineLevel="0" collapsed="false">
      <c r="A4" s="2" t="s">
        <v>65</v>
      </c>
      <c r="B4" s="20" t="str">
        <f aca="false">VLOOKUP(B2,'Ratings worksheet'!$A$2:$C$159,3, FALSE())</f>
        <v>Ba3</v>
      </c>
      <c r="C4" s="0" t="s">
        <v>66</v>
      </c>
    </row>
    <row r="5" customFormat="false" ht="15.75" hidden="false" customHeight="false" outlineLevel="0" collapsed="false">
      <c r="A5" s="2" t="s">
        <v>67</v>
      </c>
      <c r="B5" s="20" t="str">
        <f aca="false">VLOOKUP(B2,'Ratings worksheet'!$A$2:$C$159,2, FALSE())</f>
        <v>BB-</v>
      </c>
      <c r="C5" s="0" t="s">
        <v>66</v>
      </c>
    </row>
    <row r="6" customFormat="false" ht="15.75" hidden="false" customHeight="false" outlineLevel="0" collapsed="false">
      <c r="A6" s="2" t="s">
        <v>68</v>
      </c>
      <c r="B6" s="21" t="n">
        <f aca="false">VLOOKUP(B2,'10-year CDS Spreads'!A2:D158,3, FALSE())</f>
        <v>0.0299</v>
      </c>
    </row>
    <row r="7" customFormat="false" ht="15.75" hidden="false" customHeight="false" outlineLevel="0" collapsed="false">
      <c r="A7" s="2" t="s">
        <v>69</v>
      </c>
      <c r="B7" s="21" t="n">
        <f aca="false">IF(B6="NA","NA",VLOOKUP(B2,'ERPs by country'!A9:I165,9,FALSE())/'ERPs by country'!E6)</f>
        <v>0.0285</v>
      </c>
    </row>
    <row r="8" customFormat="false" ht="15.75" hidden="false" customHeight="false" outlineLevel="0" collapsed="false">
      <c r="B8" s="22"/>
    </row>
    <row r="9" customFormat="false" ht="15.75" hidden="false" customHeight="false" outlineLevel="0" collapsed="false">
      <c r="A9" s="2" t="s">
        <v>70</v>
      </c>
      <c r="B9" s="23" t="n">
        <f aca="false">VLOOKUP(B2,'ERPs by country'!A9:I165,4,FALSE())</f>
        <v>0.0305639248702886</v>
      </c>
    </row>
    <row r="10" customFormat="false" ht="15.75" hidden="false" customHeight="false" outlineLevel="0" collapsed="false">
      <c r="A10" s="2" t="s">
        <v>71</v>
      </c>
      <c r="B10" s="21" t="n">
        <f aca="false">VLOOKUP(B2,'ERPs by country'!A9:I165,6,FALSE())</f>
        <v>0.0465604147637328</v>
      </c>
    </row>
    <row r="11" customFormat="false" ht="15.75" hidden="false" customHeight="false" outlineLevel="0" collapsed="false">
      <c r="A11" s="2" t="s">
        <v>72</v>
      </c>
      <c r="B11" s="21" t="n">
        <f aca="false">VLOOKUP(B2,'ERPs by country'!A9:I165,5,FALSE())</f>
        <v>0.0888604147637328</v>
      </c>
    </row>
    <row r="12" customFormat="false" ht="15.75" hidden="false" customHeight="false" outlineLevel="0" collapsed="false">
      <c r="B12" s="22"/>
    </row>
    <row r="13" customFormat="false" ht="15.75" hidden="false" customHeight="false" outlineLevel="0" collapsed="false">
      <c r="A13" s="2" t="s">
        <v>73</v>
      </c>
      <c r="B13" s="21" t="n">
        <f aca="false">VLOOKUP(B2,'ERPs by country'!A9:I165,9,FALSE())</f>
        <v>0.0434162767510381</v>
      </c>
    </row>
    <row r="14" customFormat="false" ht="15.75" hidden="false" customHeight="false" outlineLevel="0" collapsed="false">
      <c r="A14" s="2" t="s">
        <v>74</v>
      </c>
      <c r="B14" s="21" t="n">
        <f aca="false">VLOOKUP(B2,'ERPs by country'!A9:I165,8,FALSE())</f>
        <v>0.0857162767510381</v>
      </c>
    </row>
    <row r="16" customFormat="false" ht="18.75" hidden="false" customHeight="false" outlineLevel="0" collapsed="false">
      <c r="A16" s="18" t="s">
        <v>75</v>
      </c>
    </row>
    <row r="17" customFormat="false" ht="15.75" hidden="false" customHeight="false" outlineLevel="0" collapsed="false">
      <c r="A17" s="2" t="s">
        <v>76</v>
      </c>
      <c r="B17" s="24" t="s">
        <v>77</v>
      </c>
    </row>
    <row r="19" customFormat="false" ht="15.75" hidden="false" customHeight="false" outlineLevel="0" collapsed="false">
      <c r="A19" s="2" t="s">
        <v>78</v>
      </c>
      <c r="B19" s="25" t="n">
        <f aca="false">VLOOKUP(B17,'Regional Simple Averages'!$A$5:$E$13,3,FALSE())</f>
        <v>0.0483419339016153</v>
      </c>
    </row>
    <row r="20" customFormat="false" ht="15.75" hidden="false" customHeight="false" outlineLevel="0" collapsed="false">
      <c r="A20" s="2" t="s">
        <v>79</v>
      </c>
      <c r="B20" s="25" t="n">
        <f aca="false">VLOOKUP(B17,'Regional Simple Averages'!$A$5:$E$13,4,FALSE())</f>
        <v>0.0906419339016152</v>
      </c>
    </row>
    <row r="22" customFormat="false" ht="15.75" hidden="false" customHeight="false" outlineLevel="0" collapsed="false">
      <c r="A22" s="2" t="s">
        <v>80</v>
      </c>
      <c r="B22" s="25" t="n">
        <f aca="false">VLOOKUP(B17,'Regional Weighted Averages'!A171:C179,3,FALSE())</f>
        <v>0.0149232356484523</v>
      </c>
    </row>
    <row r="23" customFormat="false" ht="15.75" hidden="false" customHeight="false" outlineLevel="0" collapsed="false">
      <c r="A23" s="2" t="s">
        <v>81</v>
      </c>
      <c r="B23" s="25" t="n">
        <f aca="false">VLOOKUP(B17,'Regional Weighted Averages'!A171:C179,2,FALSE())</f>
        <v>0.0572232356484523</v>
      </c>
    </row>
    <row r="25" customFormat="false" ht="15.75" hidden="false" customHeight="false" outlineLevel="0" collapsed="false">
      <c r="A25" s="4" t="s">
        <v>82</v>
      </c>
    </row>
    <row r="27" s="26" customFormat="true" ht="18.75" hidden="false" customHeight="false" outlineLevel="0" collapsed="false">
      <c r="A27" s="18" t="s">
        <v>83</v>
      </c>
    </row>
    <row r="28" customFormat="false" ht="15.75" hidden="false" customHeight="false" outlineLevel="0" collapsed="false">
      <c r="A28" s="2" t="s">
        <v>61</v>
      </c>
      <c r="B28" s="19" t="s">
        <v>84</v>
      </c>
    </row>
    <row r="30" customFormat="false" ht="15.75" hidden="false" customHeight="false" outlineLevel="0" collapsed="false">
      <c r="A30" s="2" t="s">
        <v>85</v>
      </c>
      <c r="B30" s="27" t="n">
        <f aca="false">VLOOKUP(B28,'PRS Worksheet'!A162:E182,2,FALSE())</f>
        <v>58.5</v>
      </c>
    </row>
    <row r="31" customFormat="false" ht="15.75" hidden="false" customHeight="false" outlineLevel="0" collapsed="false">
      <c r="A31" s="2" t="s">
        <v>86</v>
      </c>
      <c r="B31" s="28" t="n">
        <f aca="false">VLOOKUP(B28,'PRS Worksheet'!A162:E182,5,FALSE())</f>
        <v>0.158853195127514</v>
      </c>
    </row>
  </sheetData>
  <dataValidations count="3">
    <dataValidation allowBlank="true" errorStyle="stop" operator="between" showDropDown="false" showErrorMessage="true" showInputMessage="true" sqref="B17" type="list">
      <formula1>'Regional Weighted Averages'!$A$171:$A$179</formula1>
      <formula2>0</formula2>
    </dataValidation>
    <dataValidation allowBlank="true" errorStyle="stop" operator="between" showDropDown="false" showErrorMessage="true" showInputMessage="true" sqref="B28" type="list">
      <formula1>'ERPs by country'!$A$169:$A$188</formula1>
      <formula2>0</formula2>
    </dataValidation>
    <dataValidation allowBlank="true" errorStyle="stop" operator="between" showDropDown="false" showErrorMessage="true" showInputMessage="true" sqref="B2" type="list">
      <formula1>'ERPs by country'!$A$9:$A$165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12"/>
  <sheetViews>
    <sheetView showFormulas="false" showGridLines="true" showRowColHeaders="true" showZeros="true" rightToLeft="false" tabSelected="false" showOutlineSymbols="true" defaultGridColor="true" view="normal" topLeftCell="A171" colorId="64" zoomScale="87" zoomScaleNormal="87" zoomScalePageLayoutView="100" workbookViewId="0">
      <selection pane="topLeft" activeCell="C1" activeCellId="0" sqref="C1"/>
    </sheetView>
  </sheetViews>
  <sheetFormatPr defaultColWidth="10.65234375" defaultRowHeight="12.75" zeroHeight="false" outlineLevelRow="0" outlineLevelCol="0"/>
  <cols>
    <col collapsed="false" customWidth="true" hidden="false" outlineLevel="0" max="1" min="1" style="29" width="35.83"/>
    <col collapsed="false" customWidth="true" hidden="false" outlineLevel="0" max="2" min="2" style="29" width="25.83"/>
    <col collapsed="false" customWidth="true" hidden="false" outlineLevel="0" max="3" min="3" style="0" width="25.83"/>
    <col collapsed="false" customWidth="true" hidden="false" outlineLevel="0" max="4" min="4" style="0" width="26.66"/>
    <col collapsed="false" customWidth="true" hidden="false" outlineLevel="0" max="5" min="5" style="0" width="25.83"/>
    <col collapsed="false" customWidth="true" hidden="false" outlineLevel="0" max="6" min="6" style="0" width="21.84"/>
    <col collapsed="false" customWidth="true" hidden="false" outlineLevel="0" max="7" min="7" style="0" width="24.17"/>
    <col collapsed="false" customWidth="true" hidden="false" outlineLevel="0" max="8" min="8" style="0" width="26.5"/>
    <col collapsed="false" customWidth="true" hidden="false" outlineLevel="0" max="9" min="9" style="0" width="22.84"/>
  </cols>
  <sheetData>
    <row r="1" customFormat="false" ht="15.75" hidden="false" customHeight="false" outlineLevel="0" collapsed="false">
      <c r="A1" s="30" t="s">
        <v>87</v>
      </c>
      <c r="B1" s="30"/>
      <c r="C1" s="31"/>
      <c r="D1" s="31"/>
      <c r="E1" s="31"/>
      <c r="F1" s="31"/>
      <c r="G1" s="31"/>
      <c r="H1" s="31"/>
      <c r="I1" s="31"/>
      <c r="J1" s="31"/>
      <c r="K1" s="31"/>
      <c r="L1" s="31"/>
    </row>
    <row r="2" customFormat="false" ht="15.75" hidden="false" customHeight="false" outlineLevel="0" collapsed="false">
      <c r="A2" s="32" t="s">
        <v>88</v>
      </c>
      <c r="B2" s="33" t="n">
        <v>44561</v>
      </c>
      <c r="C2" s="30" t="s">
        <v>89</v>
      </c>
      <c r="D2" s="31"/>
      <c r="E2" s="31"/>
      <c r="F2" s="31"/>
      <c r="G2" s="31"/>
      <c r="H2" s="31"/>
      <c r="I2" s="31"/>
      <c r="J2" s="31"/>
      <c r="K2" s="31"/>
      <c r="L2" s="31"/>
    </row>
    <row r="3" customFormat="false" ht="12.75" hidden="false" customHeight="false" outlineLevel="0" collapsed="false">
      <c r="A3" s="29" t="s">
        <v>90</v>
      </c>
      <c r="E3" s="34" t="n">
        <v>0.0423</v>
      </c>
      <c r="F3" s="7" t="s">
        <v>91</v>
      </c>
    </row>
    <row r="4" customFormat="false" ht="12.75" hidden="false" customHeight="false" outlineLevel="0" collapsed="false">
      <c r="A4" s="29" t="s">
        <v>92</v>
      </c>
      <c r="E4" s="34" t="n">
        <v>0.0446</v>
      </c>
      <c r="F4" s="7" t="s">
        <v>93</v>
      </c>
    </row>
    <row r="5" customFormat="false" ht="12.75" hidden="false" customHeight="false" outlineLevel="0" collapsed="false">
      <c r="A5" s="29" t="s">
        <v>94</v>
      </c>
      <c r="E5" s="35" t="s">
        <v>95</v>
      </c>
      <c r="F5" s="36"/>
      <c r="G5" s="36"/>
    </row>
    <row r="6" customFormat="false" ht="12.75" hidden="false" customHeight="false" outlineLevel="0" collapsed="false">
      <c r="A6" s="29" t="s">
        <v>96</v>
      </c>
      <c r="E6" s="37" t="n">
        <f aca="false">'Relative Equity Volatility'!D7</f>
        <v>1.52337813161537</v>
      </c>
      <c r="F6" s="38" t="s">
        <v>97</v>
      </c>
      <c r="G6" s="36"/>
    </row>
    <row r="8" s="45" customFormat="true" ht="33.75" hidden="false" customHeight="false" outlineLevel="0" collapsed="false">
      <c r="A8" s="39" t="s">
        <v>61</v>
      </c>
      <c r="B8" s="40" t="s">
        <v>98</v>
      </c>
      <c r="C8" s="41" t="s">
        <v>99</v>
      </c>
      <c r="D8" s="42" t="s">
        <v>100</v>
      </c>
      <c r="E8" s="42" t="s">
        <v>101</v>
      </c>
      <c r="F8" s="42" t="s">
        <v>102</v>
      </c>
      <c r="G8" s="43" t="s">
        <v>103</v>
      </c>
      <c r="H8" s="42" t="s">
        <v>104</v>
      </c>
      <c r="I8" s="44" t="s">
        <v>105</v>
      </c>
      <c r="J8" s="7" t="s">
        <v>106</v>
      </c>
    </row>
    <row r="9" customFormat="false" ht="15.75" hidden="false" customHeight="false" outlineLevel="0" collapsed="false">
      <c r="A9" s="46" t="str">
        <f aca="false">'Sovereign Ratings (Moody''s,S&amp;P)'!A2</f>
        <v>Abu Dhabi</v>
      </c>
      <c r="B9" s="47" t="str">
        <f aca="false">VLOOKUP(A9,'Regional lookup table'!$A$2:$B$162,2,FALSE())</f>
        <v>Middle East</v>
      </c>
      <c r="C9" s="48" t="str">
        <f aca="false">VLOOKUP(A9,'Sovereign Ratings (Moody''s,S&amp;P)'!$A$2:$D$158,4,FALSE())</f>
        <v>Aa2</v>
      </c>
      <c r="D9" s="49" t="n">
        <f aca="false">VLOOKUP(C9,$J$10:$K$32,2,FALSE())/10000</f>
        <v>0.00419504851160823</v>
      </c>
      <c r="E9" s="49" t="n">
        <f aca="false">$E$3+F9</f>
        <v>0.0486906451636496</v>
      </c>
      <c r="F9" s="50" t="n">
        <f aca="false">IF($E$5="Yes",D9*$E$6,D9)</f>
        <v>0.0063906451636496</v>
      </c>
      <c r="G9" s="51" t="n">
        <f aca="false">VLOOKUP(A9,'10-year CDS Spreads'!$A$2:$D$158,4,FALSE())</f>
        <v>0.0046</v>
      </c>
      <c r="H9" s="50" t="n">
        <f aca="false">IF(I9="NA","NA",$E$3+I9)</f>
        <v>0.0493075394054307</v>
      </c>
      <c r="I9" s="52" t="n">
        <f aca="false">IF(G9="NA","NA",G9*$E$6)</f>
        <v>0.00700753940543071</v>
      </c>
      <c r="J9" s="53" t="s">
        <v>107</v>
      </c>
      <c r="K9" s="53" t="s">
        <v>108</v>
      </c>
    </row>
    <row r="10" customFormat="false" ht="15.75" hidden="false" customHeight="false" outlineLevel="0" collapsed="false">
      <c r="A10" s="46" t="str">
        <f aca="false">'Sovereign Ratings (Moody''s,S&amp;P)'!A3</f>
        <v>Albania</v>
      </c>
      <c r="B10" s="47" t="str">
        <f aca="false">VLOOKUP(A10,'Regional lookup table'!$A$2:$B$162,2,FALSE())</f>
        <v>Eastern Europe &amp; Russia</v>
      </c>
      <c r="C10" s="48" t="str">
        <f aca="false">VLOOKUP(A10,'Sovereign Ratings (Moody''s,S&amp;P)'!$A$2:$D$158,4,FALSE())</f>
        <v>Ba3</v>
      </c>
      <c r="D10" s="49" t="n">
        <f aca="false">VLOOKUP(C10,$J$10:$K$32,2,FALSE())/10000</f>
        <v>0.0305639248702886</v>
      </c>
      <c r="E10" s="49" t="n">
        <f aca="false">$E$3+F10</f>
        <v>0.0888604147637328</v>
      </c>
      <c r="F10" s="50" t="n">
        <f aca="false">IF($E$5="Yes",D10*$E$6,D10)</f>
        <v>0.0465604147637328</v>
      </c>
      <c r="G10" s="51" t="str">
        <f aca="false">VLOOKUP(A10,'10-year CDS Spreads'!$A$2:$D$158,4,FALSE())</f>
        <v>NA</v>
      </c>
      <c r="H10" s="50" t="str">
        <f aca="false">IF(I10="NA","NA",$E$3+I10)</f>
        <v>NA</v>
      </c>
      <c r="I10" s="52" t="str">
        <f aca="false">IF(G10="NA","NA",G10*$E$6)</f>
        <v>NA</v>
      </c>
      <c r="J10" s="54" t="s">
        <v>109</v>
      </c>
      <c r="K10" s="55" t="n">
        <f aca="false">C191</f>
        <v>59.9292644515462</v>
      </c>
    </row>
    <row r="11" customFormat="false" ht="15.75" hidden="false" customHeight="false" outlineLevel="0" collapsed="false">
      <c r="A11" s="46" t="str">
        <f aca="false">'Sovereign Ratings (Moody''s,S&amp;P)'!A4</f>
        <v>Andorra (Principality of)</v>
      </c>
      <c r="B11" s="47" t="str">
        <f aca="false">VLOOKUP(A11,'Regional lookup table'!$A$2:$B$162,2,FALSE())</f>
        <v>Western Europe</v>
      </c>
      <c r="C11" s="48" t="str">
        <f aca="false">VLOOKUP(A11,'Sovereign Ratings (Moody''s,S&amp;P)'!$A$2:$D$158,4,FALSE())</f>
        <v>Baa1</v>
      </c>
      <c r="D11" s="49" t="n">
        <f aca="false">VLOOKUP(C11,$J$10:$K$32,2,FALSE())/10000</f>
        <v>0.0135839666090171</v>
      </c>
      <c r="E11" s="49" t="n">
        <f aca="false">$E$3+F11</f>
        <v>0.0629935176727701</v>
      </c>
      <c r="F11" s="50" t="n">
        <f aca="false">IF($E$5="Yes",D11*$E$6,D11)</f>
        <v>0.0206935176727701</v>
      </c>
      <c r="G11" s="51" t="str">
        <f aca="false">VLOOKUP(A11,'10-year CDS Spreads'!$A$2:$D$158,4,FALSE())</f>
        <v>NA</v>
      </c>
      <c r="H11" s="50" t="str">
        <f aca="false">IF(I11="NA","NA",$E$3+I11)</f>
        <v>NA</v>
      </c>
      <c r="I11" s="52" t="str">
        <f aca="false">IF(G11="NA","NA",G11*$E$6)</f>
        <v>NA</v>
      </c>
      <c r="J11" s="54" t="s">
        <v>110</v>
      </c>
      <c r="K11" s="55" t="n">
        <f aca="false">C192</f>
        <v>71.9151173418554</v>
      </c>
    </row>
    <row r="12" customFormat="false" ht="15.75" hidden="false" customHeight="false" outlineLevel="0" collapsed="false">
      <c r="A12" s="46" t="str">
        <f aca="false">'Sovereign Ratings (Moody''s,S&amp;P)'!A5</f>
        <v>Angola</v>
      </c>
      <c r="B12" s="47" t="str">
        <f aca="false">VLOOKUP(A12,'Regional lookup table'!$A$2:$B$162,2,FALSE())</f>
        <v>Africa</v>
      </c>
      <c r="C12" s="48" t="str">
        <f aca="false">VLOOKUP(A12,'Sovereign Ratings (Moody''s,S&amp;P)'!$A$2:$D$158,4,FALSE())</f>
        <v>B3</v>
      </c>
      <c r="D12" s="49" t="n">
        <f aca="false">VLOOKUP(C12,$J$10:$K$32,2,FALSE())/10000</f>
        <v>0.0552348054028417</v>
      </c>
      <c r="E12" s="49" t="n">
        <f aca="false">$E$3+F12</f>
        <v>0.12644349465472</v>
      </c>
      <c r="F12" s="50" t="n">
        <f aca="false">IF($E$5="Yes",D12*$E$6,D12)</f>
        <v>0.0841434946547197</v>
      </c>
      <c r="G12" s="51" t="n">
        <f aca="false">VLOOKUP(A12,'10-year CDS Spreads'!$A$2:$D$158,4,FALSE())</f>
        <v>0.061</v>
      </c>
      <c r="H12" s="50" t="n">
        <f aca="false">IF(I12="NA","NA",$E$3+I12)</f>
        <v>0.135226066028538</v>
      </c>
      <c r="I12" s="52" t="n">
        <f aca="false">IF(G12="NA","NA",G12*$E$6)</f>
        <v>0.0929260660285377</v>
      </c>
      <c r="J12" s="54" t="s">
        <v>111</v>
      </c>
      <c r="K12" s="55" t="n">
        <f aca="false">C193</f>
        <v>101.879749567629</v>
      </c>
    </row>
    <row r="13" customFormat="false" ht="15.75" hidden="false" customHeight="false" outlineLevel="0" collapsed="false">
      <c r="A13" s="46" t="str">
        <f aca="false">'Sovereign Ratings (Moody''s,S&amp;P)'!A6</f>
        <v>Argentina</v>
      </c>
      <c r="B13" s="47" t="str">
        <f aca="false">VLOOKUP(A13,'Regional lookup table'!$A$2:$B$162,2,FALSE())</f>
        <v>Central and South America</v>
      </c>
      <c r="C13" s="48" t="str">
        <f aca="false">VLOOKUP(A13,'Sovereign Ratings (Moody''s,S&amp;P)'!$A$2:$D$158,4,FALSE())</f>
        <v>Caa1</v>
      </c>
      <c r="D13" s="49" t="n">
        <f aca="false">VLOOKUP(C13,$J$10:$K$32,2,FALSE())/10000</f>
        <v>0.0637247845334774</v>
      </c>
      <c r="E13" s="49" t="n">
        <f aca="false">$E$3+F13</f>
        <v>0.139376943200201</v>
      </c>
      <c r="F13" s="50" t="n">
        <f aca="false">IF($E$5="Yes",D13*$E$6,D13)</f>
        <v>0.097076943200201</v>
      </c>
      <c r="G13" s="51" t="str">
        <f aca="false">VLOOKUP(A13,'10-year CDS Spreads'!$A$2:$D$158,4,FALSE())</f>
        <v>NA</v>
      </c>
      <c r="H13" s="50" t="str">
        <f aca="false">IF(I13="NA","NA",$E$3+I13)</f>
        <v>NA</v>
      </c>
      <c r="I13" s="52" t="str">
        <f aca="false">IF(G13="NA","NA",G13*$E$6)</f>
        <v>NA</v>
      </c>
      <c r="J13" s="54" t="s">
        <v>112</v>
      </c>
      <c r="K13" s="55" t="n">
        <f aca="false">C194</f>
        <v>23.3367916999202</v>
      </c>
    </row>
    <row r="14" customFormat="false" ht="15.75" hidden="false" customHeight="false" outlineLevel="0" collapsed="false">
      <c r="A14" s="46" t="str">
        <f aca="false">'Sovereign Ratings (Moody''s,S&amp;P)'!A7</f>
        <v>Armenia</v>
      </c>
      <c r="B14" s="47" t="str">
        <f aca="false">VLOOKUP(A14,'Regional lookup table'!$A$2:$B$162,2,FALSE())</f>
        <v>Eastern Europe &amp; Russia</v>
      </c>
      <c r="C14" s="48" t="str">
        <f aca="false">VLOOKUP(A14,'Sovereign Ratings (Moody''s,S&amp;P)'!$A$2:$D$158,4,FALSE())</f>
        <v>Ba3</v>
      </c>
      <c r="D14" s="49" t="n">
        <f aca="false">VLOOKUP(C14,$J$10:$K$32,2,FALSE())/10000</f>
        <v>0.0305639248702886</v>
      </c>
      <c r="E14" s="49" t="n">
        <f aca="false">$E$3+F14</f>
        <v>0.0888604147637328</v>
      </c>
      <c r="F14" s="50" t="n">
        <f aca="false">IF($E$5="Yes",D14*$E$6,D14)</f>
        <v>0.0465604147637328</v>
      </c>
      <c r="G14" s="51" t="str">
        <f aca="false">VLOOKUP(A14,'10-year CDS Spreads'!$A$2:$D$158,4,FALSE())</f>
        <v>NA</v>
      </c>
      <c r="H14" s="50" t="str">
        <f aca="false">IF(I14="NA","NA",$E$3+I14)</f>
        <v>NA</v>
      </c>
      <c r="I14" s="52" t="str">
        <f aca="false">IF(G14="NA","NA",G14*$E$6)</f>
        <v>NA</v>
      </c>
      <c r="J14" s="54" t="s">
        <v>113</v>
      </c>
      <c r="K14" s="55" t="n">
        <f aca="false">C195</f>
        <v>41.9504851160823</v>
      </c>
    </row>
    <row r="15" customFormat="false" ht="15.75" hidden="false" customHeight="false" outlineLevel="0" collapsed="false">
      <c r="A15" s="46" t="str">
        <f aca="false">'Sovereign Ratings (Moody''s,S&amp;P)'!A8</f>
        <v>Aruba</v>
      </c>
      <c r="B15" s="47" t="str">
        <f aca="false">VLOOKUP(A15,'Regional lookup table'!$A$2:$B$162,2,FALSE())</f>
        <v>Caribbean</v>
      </c>
      <c r="C15" s="48" t="str">
        <f aca="false">VLOOKUP(A15,'Sovereign Ratings (Moody''s,S&amp;P)'!$A$2:$D$158,4,FALSE())</f>
        <v>Baa3</v>
      </c>
      <c r="D15" s="49" t="n">
        <f aca="false">VLOOKUP(C15,$J$10:$K$32,2,FALSE())/10000</f>
        <v>0.0186779540873986</v>
      </c>
      <c r="E15" s="49" t="n">
        <f aca="false">$E$3+F15</f>
        <v>0.0707535868000589</v>
      </c>
      <c r="F15" s="50" t="n">
        <f aca="false">IF($E$5="Yes",D15*$E$6,D15)</f>
        <v>0.0284535868000589</v>
      </c>
      <c r="G15" s="51" t="str">
        <f aca="false">VLOOKUP(A15,'10-year CDS Spreads'!$A$2:$D$158,4,FALSE())</f>
        <v>NA</v>
      </c>
      <c r="H15" s="50" t="str">
        <f aca="false">IF(I15="NA","NA",$E$3+I15)</f>
        <v>NA</v>
      </c>
      <c r="I15" s="52" t="str">
        <f aca="false">IF(G15="NA","NA",G15*$E$6)</f>
        <v>NA</v>
      </c>
      <c r="J15" s="54" t="s">
        <v>114</v>
      </c>
      <c r="K15" s="55" t="n">
        <f aca="false">C196</f>
        <v>50.9398747838143</v>
      </c>
    </row>
    <row r="16" customFormat="false" ht="15.75" hidden="false" customHeight="false" outlineLevel="0" collapsed="false">
      <c r="A16" s="46" t="str">
        <f aca="false">'Sovereign Ratings (Moody''s,S&amp;P)'!A9</f>
        <v>Australia</v>
      </c>
      <c r="B16" s="47" t="str">
        <f aca="false">VLOOKUP(A16,'Regional lookup table'!$A$2:$B$162,2,FALSE())</f>
        <v>Australia &amp; New Zealand</v>
      </c>
      <c r="C16" s="48" t="str">
        <f aca="false">VLOOKUP(A16,'Sovereign Ratings (Moody''s,S&amp;P)'!$A$2:$D$158,4,FALSE())</f>
        <v>Aaa</v>
      </c>
      <c r="D16" s="49" t="n">
        <f aca="false">VLOOKUP(C16,$J$10:$K$32,2,FALSE())/10000</f>
        <v>0</v>
      </c>
      <c r="E16" s="49" t="n">
        <f aca="false">$E$3+F16</f>
        <v>0.0423</v>
      </c>
      <c r="F16" s="50" t="n">
        <f aca="false">IF($E$5="Yes",D16*$E$6,D16)</f>
        <v>0</v>
      </c>
      <c r="G16" s="51" t="n">
        <f aca="false">VLOOKUP(A16,'10-year CDS Spreads'!$A$2:$D$158,4,FALSE())</f>
        <v>0.0005</v>
      </c>
      <c r="H16" s="50" t="n">
        <f aca="false">IF(I16="NA","NA",$E$3+I16)</f>
        <v>0.0430616890658077</v>
      </c>
      <c r="I16" s="52" t="n">
        <f aca="false">IF(G16="NA","NA",G16*$E$6)</f>
        <v>0.000761689065807686</v>
      </c>
      <c r="J16" s="54" t="s">
        <v>115</v>
      </c>
      <c r="K16" s="55" t="n">
        <f aca="false">C197</f>
        <v>0</v>
      </c>
    </row>
    <row r="17" customFormat="false" ht="15.75" hidden="false" customHeight="false" outlineLevel="0" collapsed="false">
      <c r="A17" s="46" t="str">
        <f aca="false">'Sovereign Ratings (Moody''s,S&amp;P)'!A10</f>
        <v>Austria</v>
      </c>
      <c r="B17" s="47" t="str">
        <f aca="false">VLOOKUP(A17,'Regional lookup table'!$A$2:$B$162,2,FALSE())</f>
        <v>Western Europe</v>
      </c>
      <c r="C17" s="48" t="str">
        <f aca="false">VLOOKUP(A17,'Sovereign Ratings (Moody''s,S&amp;P)'!$A$2:$D$158,4,FALSE())</f>
        <v>Aa1</v>
      </c>
      <c r="D17" s="49" t="n">
        <f aca="false">VLOOKUP(C17,$J$10:$K$32,2,FALSE())/10000</f>
        <v>0.00233367916999202</v>
      </c>
      <c r="E17" s="49" t="n">
        <f aca="false">$E$3+F17</f>
        <v>0.0458550758137721</v>
      </c>
      <c r="F17" s="50" t="n">
        <f aca="false">IF($E$5="Yes",D17*$E$6,D17)</f>
        <v>0.00355507581377215</v>
      </c>
      <c r="G17" s="51" t="n">
        <f aca="false">VLOOKUP(A17,'10-year CDS Spreads'!$A$2:$D$158,4,FALSE())</f>
        <v>0.0014</v>
      </c>
      <c r="H17" s="50" t="n">
        <f aca="false">IF(I17="NA","NA",$E$3+I17)</f>
        <v>0.0444327293842615</v>
      </c>
      <c r="I17" s="52" t="n">
        <f aca="false">IF(G17="NA","NA",G17*$E$6)</f>
        <v>0.00213272938426152</v>
      </c>
      <c r="J17" s="54" t="s">
        <v>116</v>
      </c>
      <c r="K17" s="55" t="n">
        <f aca="false">C198</f>
        <v>382.548471415703</v>
      </c>
    </row>
    <row r="18" customFormat="false" ht="15.75" hidden="false" customHeight="false" outlineLevel="0" collapsed="false">
      <c r="A18" s="46" t="str">
        <f aca="false">'Sovereign Ratings (Moody''s,S&amp;P)'!A11</f>
        <v>Azerbaijan</v>
      </c>
      <c r="B18" s="47" t="str">
        <f aca="false">VLOOKUP(A18,'Regional lookup table'!$A$2:$B$162,2,FALSE())</f>
        <v>Eastern Europe &amp; Russia</v>
      </c>
      <c r="C18" s="48" t="str">
        <f aca="false">VLOOKUP(A18,'Sovereign Ratings (Moody''s,S&amp;P)'!$A$2:$D$158,4,FALSE())</f>
        <v>Baa3</v>
      </c>
      <c r="D18" s="49" t="n">
        <f aca="false">VLOOKUP(C18,$J$10:$K$32,2,FALSE())/10000</f>
        <v>0.0186779540873986</v>
      </c>
      <c r="E18" s="49" t="n">
        <f aca="false">$E$3+F18</f>
        <v>0.0707535868000589</v>
      </c>
      <c r="F18" s="50" t="n">
        <f aca="false">IF($E$5="Yes",D18*$E$6,D18)</f>
        <v>0.0284535868000589</v>
      </c>
      <c r="G18" s="51" t="str">
        <f aca="false">VLOOKUP(A18,'10-year CDS Spreads'!$A$2:$D$158,4,FALSE())</f>
        <v>NA</v>
      </c>
      <c r="H18" s="50" t="str">
        <f aca="false">IF(I18="NA","NA",$E$3+I18)</f>
        <v>NA</v>
      </c>
      <c r="I18" s="52" t="str">
        <f aca="false">IF(G18="NA","NA",G18*$E$6)</f>
        <v>NA</v>
      </c>
      <c r="J18" s="54" t="s">
        <v>117</v>
      </c>
      <c r="K18" s="55" t="n">
        <f aca="false">C199</f>
        <v>467.44826272206</v>
      </c>
    </row>
    <row r="19" customFormat="false" ht="15.75" hidden="false" customHeight="false" outlineLevel="0" collapsed="false">
      <c r="A19" s="46" t="str">
        <f aca="false">'Sovereign Ratings (Moody''s,S&amp;P)'!A12</f>
        <v>Bahamas</v>
      </c>
      <c r="B19" s="47" t="str">
        <f aca="false">VLOOKUP(A19,'Regional lookup table'!$A$2:$B$162,2,FALSE())</f>
        <v>Caribbean</v>
      </c>
      <c r="C19" s="48" t="str">
        <f aca="false">VLOOKUP(A19,'Sovereign Ratings (Moody''s,S&amp;P)'!$A$2:$D$158,4,FALSE())</f>
        <v>B1</v>
      </c>
      <c r="D19" s="49" t="n">
        <f aca="false">VLOOKUP(C19,$J$10:$K$32,2,FALSE())/10000</f>
        <v>0.0382548471415703</v>
      </c>
      <c r="E19" s="49" t="n">
        <f aca="false">$E$3+F19</f>
        <v>0.100576597563757</v>
      </c>
      <c r="F19" s="50" t="n">
        <f aca="false">IF($E$5="Yes",D19*$E$6,D19)</f>
        <v>0.058276597563757</v>
      </c>
      <c r="G19" s="51" t="str">
        <f aca="false">VLOOKUP(A19,'10-year CDS Spreads'!$A$2:$D$158,4,FALSE())</f>
        <v>NA</v>
      </c>
      <c r="H19" s="50" t="str">
        <f aca="false">IF(I19="NA","NA",$E$3+I19)</f>
        <v>NA</v>
      </c>
      <c r="I19" s="52" t="str">
        <f aca="false">IF(G19="NA","NA",G19*$E$6)</f>
        <v>NA</v>
      </c>
      <c r="J19" s="54" t="s">
        <v>118</v>
      </c>
      <c r="K19" s="55" t="n">
        <f aca="false">C200</f>
        <v>552.348054028417</v>
      </c>
    </row>
    <row r="20" customFormat="false" ht="15.75" hidden="false" customHeight="false" outlineLevel="0" collapsed="false">
      <c r="A20" s="46" t="str">
        <f aca="false">'Sovereign Ratings (Moody''s,S&amp;P)'!A13</f>
        <v>Bahrain</v>
      </c>
      <c r="B20" s="47" t="str">
        <f aca="false">VLOOKUP(A20,'Regional lookup table'!$A$2:$B$162,2,FALSE())</f>
        <v>Middle East</v>
      </c>
      <c r="C20" s="48" t="str">
        <f aca="false">VLOOKUP(A20,'Sovereign Ratings (Moody''s,S&amp;P)'!$A$2:$D$158,4,FALSE())</f>
        <v>B2</v>
      </c>
      <c r="D20" s="49" t="n">
        <f aca="false">VLOOKUP(C20,$J$10:$K$32,2,FALSE())/10000</f>
        <v>0.046744826272206</v>
      </c>
      <c r="E20" s="49" t="n">
        <f aca="false">$E$3+F20</f>
        <v>0.113510046109238</v>
      </c>
      <c r="F20" s="50" t="n">
        <f aca="false">IF($E$5="Yes",D20*$E$6,D20)</f>
        <v>0.0712100461092384</v>
      </c>
      <c r="G20" s="51" t="n">
        <f aca="false">VLOOKUP(A20,'10-year CDS Spreads'!$A$2:$D$158,4,FALSE())</f>
        <v>0.0233</v>
      </c>
      <c r="H20" s="50" t="n">
        <f aca="false">IF(I20="NA","NA",$E$3+I20)</f>
        <v>0.0777947104666382</v>
      </c>
      <c r="I20" s="52" t="n">
        <f aca="false">IF(G20="NA","NA",G20*$E$6)</f>
        <v>0.0354947104666382</v>
      </c>
      <c r="J20" s="54" t="s">
        <v>119</v>
      </c>
      <c r="K20" s="55" t="n">
        <f aca="false">C201</f>
        <v>212.748888802989</v>
      </c>
    </row>
    <row r="21" customFormat="false" ht="15.75" hidden="false" customHeight="false" outlineLevel="0" collapsed="false">
      <c r="A21" s="46" t="str">
        <f aca="false">'Sovereign Ratings (Moody''s,S&amp;P)'!A14</f>
        <v>Bangladesh</v>
      </c>
      <c r="B21" s="47" t="str">
        <f aca="false">VLOOKUP(A21,'Regional lookup table'!$A$2:$B$162,2,FALSE())</f>
        <v>Asia</v>
      </c>
      <c r="C21" s="48" t="str">
        <f aca="false">VLOOKUP(A21,'Sovereign Ratings (Moody''s,S&amp;P)'!$A$2:$D$158,4,FALSE())</f>
        <v>B2</v>
      </c>
      <c r="D21" s="49" t="n">
        <f aca="false">VLOOKUP(C21,$J$10:$K$32,2,FALSE())/10000</f>
        <v>0.046744826272206</v>
      </c>
      <c r="E21" s="49" t="n">
        <f aca="false">$E$3+F21</f>
        <v>0.113510046109238</v>
      </c>
      <c r="F21" s="50" t="n">
        <f aca="false">IF($E$5="Yes",D21*$E$6,D21)</f>
        <v>0.0712100461092384</v>
      </c>
      <c r="G21" s="51" t="str">
        <f aca="false">VLOOKUP(A21,'10-year CDS Spreads'!$A$2:$D$158,4,FALSE())</f>
        <v>NA</v>
      </c>
      <c r="H21" s="50" t="str">
        <f aca="false">IF(I21="NA","NA",$E$3+I21)</f>
        <v>NA</v>
      </c>
      <c r="I21" s="52" t="str">
        <f aca="false">IF(G21="NA","NA",G21*$E$6)</f>
        <v>NA</v>
      </c>
      <c r="J21" s="54" t="s">
        <v>120</v>
      </c>
      <c r="K21" s="55" t="n">
        <f aca="false">C202</f>
        <v>255.698194993264</v>
      </c>
    </row>
    <row r="22" customFormat="false" ht="15.75" hidden="false" customHeight="false" outlineLevel="0" collapsed="false">
      <c r="A22" s="46" t="str">
        <f aca="false">'Sovereign Ratings (Moody''s,S&amp;P)'!A15</f>
        <v>Barbados</v>
      </c>
      <c r="B22" s="47" t="str">
        <f aca="false">VLOOKUP(A22,'Regional lookup table'!$A$2:$B$162,2,FALSE())</f>
        <v>Caribbean</v>
      </c>
      <c r="C22" s="48" t="str">
        <f aca="false">VLOOKUP(A22,'Sovereign Ratings (Moody''s,S&amp;P)'!$A$2:$D$158,4,FALSE())</f>
        <v>B2</v>
      </c>
      <c r="D22" s="49" t="n">
        <f aca="false">VLOOKUP(C22,$J$10:$K$32,2,FALSE())/10000</f>
        <v>0.046744826272206</v>
      </c>
      <c r="E22" s="49" t="n">
        <f aca="false">$E$3+F22</f>
        <v>0.113510046109238</v>
      </c>
      <c r="F22" s="50" t="n">
        <f aca="false">IF($E$5="Yes",D22*$E$6,D22)</f>
        <v>0.0712100461092384</v>
      </c>
      <c r="G22" s="51" t="str">
        <f aca="false">VLOOKUP(A22,'10-year CDS Spreads'!$A$2:$D$158,4,FALSE())</f>
        <v>NA</v>
      </c>
      <c r="H22" s="50" t="str">
        <f aca="false">IF(I22="NA","NA",$E$3+I22)</f>
        <v>NA</v>
      </c>
      <c r="I22" s="52" t="str">
        <f aca="false">IF(G22="NA","NA",G22*$E$6)</f>
        <v>NA</v>
      </c>
      <c r="J22" s="54" t="s">
        <v>121</v>
      </c>
      <c r="K22" s="55" t="n">
        <f aca="false">C203</f>
        <v>305.639248702886</v>
      </c>
    </row>
    <row r="23" customFormat="false" ht="15.75" hidden="false" customHeight="false" outlineLevel="0" collapsed="false">
      <c r="A23" s="46" t="str">
        <f aca="false">'Sovereign Ratings (Moody''s,S&amp;P)'!A16</f>
        <v>Belarus</v>
      </c>
      <c r="B23" s="47" t="str">
        <f aca="false">VLOOKUP(A23,'Regional lookup table'!$A$2:$B$162,2,FALSE())</f>
        <v>Eastern Europe &amp; Russia</v>
      </c>
      <c r="C23" s="48" t="str">
        <f aca="false">VLOOKUP(A23,'Sovereign Ratings (Moody''s,S&amp;P)'!$A$2:$D$158,4,FALSE())</f>
        <v>C</v>
      </c>
      <c r="D23" s="49" t="n">
        <f aca="false">VLOOKUP(C23,$J$10:$K$32,2,FALSE())/10000</f>
        <v>0.175</v>
      </c>
      <c r="E23" s="49" t="n">
        <f aca="false">$E$3+F23</f>
        <v>0.30889117303269</v>
      </c>
      <c r="F23" s="50" t="n">
        <f aca="false">IF($E$5="Yes",D23*$E$6,D23)</f>
        <v>0.26659117303269</v>
      </c>
      <c r="G23" s="51" t="str">
        <f aca="false">VLOOKUP(A23,'10-year CDS Spreads'!$A$2:$D$158,4,FALSE())</f>
        <v>NA</v>
      </c>
      <c r="H23" s="50" t="str">
        <f aca="false">IF(I23="NA","NA",$E$3+I23)</f>
        <v>NA</v>
      </c>
      <c r="I23" s="52" t="str">
        <f aca="false">IF(G23="NA","NA",G23*$E$6)</f>
        <v>NA</v>
      </c>
      <c r="J23" s="54" t="s">
        <v>122</v>
      </c>
      <c r="K23" s="55" t="n">
        <f aca="false">C204</f>
        <v>135.839666090171</v>
      </c>
    </row>
    <row r="24" customFormat="false" ht="15.75" hidden="false" customHeight="false" outlineLevel="0" collapsed="false">
      <c r="A24" s="46" t="str">
        <f aca="false">'Sovereign Ratings (Moody''s,S&amp;P)'!A17</f>
        <v>Belgium</v>
      </c>
      <c r="B24" s="47" t="str">
        <f aca="false">VLOOKUP(A24,'Regional lookup table'!$A$2:$B$162,2,FALSE())</f>
        <v>Western Europe</v>
      </c>
      <c r="C24" s="48" t="str">
        <f aca="false">VLOOKUP(A24,'Sovereign Ratings (Moody''s,S&amp;P)'!$A$2:$D$158,4,FALSE())</f>
        <v>Aa3</v>
      </c>
      <c r="D24" s="49" t="n">
        <f aca="false">VLOOKUP(C24,$J$10:$K$32,2,FALSE())/10000</f>
        <v>0.00509398747838143</v>
      </c>
      <c r="E24" s="49" t="n">
        <f aca="false">$E$3+F24</f>
        <v>0.0500600691272888</v>
      </c>
      <c r="F24" s="50" t="n">
        <f aca="false">IF($E$5="Yes",D24*$E$6,D24)</f>
        <v>0.0077600691272888</v>
      </c>
      <c r="G24" s="51" t="n">
        <f aca="false">VLOOKUP(A24,'10-year CDS Spreads'!$A$2:$D$158,4,FALSE())</f>
        <v>0.0026</v>
      </c>
      <c r="H24" s="50" t="n">
        <f aca="false">IF(I24="NA","NA",$E$3+I24)</f>
        <v>0.0462607831422</v>
      </c>
      <c r="I24" s="52" t="n">
        <f aca="false">IF(G24="NA","NA",G24*$E$6)</f>
        <v>0.00396078314219997</v>
      </c>
      <c r="J24" s="54" t="s">
        <v>123</v>
      </c>
      <c r="K24" s="55" t="n">
        <f aca="false">C205</f>
        <v>161.809014019175</v>
      </c>
    </row>
    <row r="25" customFormat="false" ht="15.75" hidden="false" customHeight="false" outlineLevel="0" collapsed="false">
      <c r="A25" s="46" t="str">
        <f aca="false">'Sovereign Ratings (Moody''s,S&amp;P)'!A18</f>
        <v>Belize</v>
      </c>
      <c r="B25" s="47" t="str">
        <f aca="false">VLOOKUP(A25,'Regional lookup table'!$A$2:$B$162,2,FALSE())</f>
        <v>Central and South America</v>
      </c>
      <c r="C25" s="48" t="str">
        <f aca="false">VLOOKUP(A25,'Sovereign Ratings (Moody''s,S&amp;P)'!$A$2:$D$158,4,FALSE())</f>
        <v>Caa1</v>
      </c>
      <c r="D25" s="49" t="n">
        <f aca="false">VLOOKUP(C25,$J$10:$K$32,2,FALSE())/10000</f>
        <v>0.0637247845334774</v>
      </c>
      <c r="E25" s="49" t="n">
        <f aca="false">$E$3+F25</f>
        <v>0.139376943200201</v>
      </c>
      <c r="F25" s="50" t="n">
        <f aca="false">IF($E$5="Yes",D25*$E$6,D25)</f>
        <v>0.097076943200201</v>
      </c>
      <c r="G25" s="51" t="str">
        <f aca="false">VLOOKUP(A25,'10-year CDS Spreads'!$A$2:$D$158,4,FALSE())</f>
        <v>NA</v>
      </c>
      <c r="H25" s="50" t="str">
        <f aca="false">IF(I25="NA","NA",$E$3+I25)</f>
        <v>NA</v>
      </c>
      <c r="I25" s="52" t="str">
        <f aca="false">IF(G25="NA","NA",G25*$E$6)</f>
        <v>NA</v>
      </c>
      <c r="J25" s="54" t="s">
        <v>124</v>
      </c>
      <c r="K25" s="55" t="n">
        <f aca="false">C206</f>
        <v>186.779540873986</v>
      </c>
    </row>
    <row r="26" customFormat="false" ht="15.75" hidden="false" customHeight="false" outlineLevel="0" collapsed="false">
      <c r="A26" s="46" t="str">
        <f aca="false">'Sovereign Ratings (Moody''s,S&amp;P)'!A19</f>
        <v>Benin</v>
      </c>
      <c r="B26" s="47" t="str">
        <f aca="false">VLOOKUP(A26,'Regional lookup table'!$A$2:$B$162,2,FALSE())</f>
        <v>Africa</v>
      </c>
      <c r="C26" s="48" t="str">
        <f aca="false">VLOOKUP(A26,'Sovereign Ratings (Moody''s,S&amp;P)'!$A$2:$D$158,4,FALSE())</f>
        <v>B1</v>
      </c>
      <c r="D26" s="49" t="n">
        <f aca="false">VLOOKUP(C26,$J$10:$K$32,2,FALSE())/10000</f>
        <v>0.0382548471415703</v>
      </c>
      <c r="E26" s="49" t="n">
        <f aca="false">$E$3+F26</f>
        <v>0.100576597563757</v>
      </c>
      <c r="F26" s="50" t="n">
        <f aca="false">IF($E$5="Yes",D26*$E$6,D26)</f>
        <v>0.058276597563757</v>
      </c>
      <c r="G26" s="51" t="str">
        <f aca="false">VLOOKUP(A26,'10-year CDS Spreads'!$A$2:$D$158,4,FALSE())</f>
        <v>NA</v>
      </c>
      <c r="H26" s="50" t="str">
        <f aca="false">IF(I26="NA","NA",$E$3+I26)</f>
        <v>NA</v>
      </c>
      <c r="I26" s="52" t="str">
        <f aca="false">IF(G26="NA","NA",G26*$E$6)</f>
        <v>NA</v>
      </c>
      <c r="J26" s="54" t="s">
        <v>125</v>
      </c>
      <c r="K26" s="55" t="n">
        <f aca="false">C207</f>
        <v>1750</v>
      </c>
    </row>
    <row r="27" customFormat="false" ht="15.75" hidden="false" customHeight="false" outlineLevel="0" collapsed="false">
      <c r="A27" s="46" t="str">
        <f aca="false">'Sovereign Ratings (Moody''s,S&amp;P)'!A20</f>
        <v>Bermuda</v>
      </c>
      <c r="B27" s="47" t="str">
        <f aca="false">VLOOKUP(A27,'Regional lookup table'!$A$2:$B$162,2,FALSE())</f>
        <v>Caribbean</v>
      </c>
      <c r="C27" s="48" t="str">
        <f aca="false">VLOOKUP(A27,'Sovereign Ratings (Moody''s,S&amp;P)'!$A$2:$D$158,4,FALSE())</f>
        <v>A2</v>
      </c>
      <c r="D27" s="49" t="n">
        <f aca="false">VLOOKUP(C27,$J$10:$K$32,2,FALSE())/10000</f>
        <v>0.00719151173418554</v>
      </c>
      <c r="E27" s="49" t="n">
        <f aca="false">$E$3+F27</f>
        <v>0.0532553917091136</v>
      </c>
      <c r="F27" s="50" t="n">
        <f aca="false">IF($E$5="Yes",D27*$E$6,D27)</f>
        <v>0.0109553917091136</v>
      </c>
      <c r="G27" s="51" t="str">
        <f aca="false">VLOOKUP(A27,'10-year CDS Spreads'!$A$2:$D$158,4,FALSE())</f>
        <v>NA</v>
      </c>
      <c r="H27" s="50" t="str">
        <f aca="false">IF(I27="NA","NA",$E$3+I27)</f>
        <v>NA</v>
      </c>
      <c r="I27" s="52" t="str">
        <f aca="false">IF(G27="NA","NA",G27*$E$6)</f>
        <v>NA</v>
      </c>
      <c r="J27" s="54" t="s">
        <v>126</v>
      </c>
      <c r="K27" s="55" t="n">
        <f aca="false">C208</f>
        <v>1019.79631675048</v>
      </c>
    </row>
    <row r="28" customFormat="false" ht="15.75" hidden="false" customHeight="false" outlineLevel="0" collapsed="false">
      <c r="A28" s="46" t="str">
        <f aca="false">'Sovereign Ratings (Moody''s,S&amp;P)'!A21</f>
        <v>Bolivia</v>
      </c>
      <c r="B28" s="47" t="str">
        <f aca="false">VLOOKUP(A28,'Regional lookup table'!$A$2:$B$162,2,FALSE())</f>
        <v>Central and South America</v>
      </c>
      <c r="C28" s="48" t="str">
        <f aca="false">VLOOKUP(A28,'Sovereign Ratings (Moody''s,S&amp;P)'!$A$2:$D$158,4,FALSE())</f>
        <v>Ca</v>
      </c>
      <c r="D28" s="49" t="n">
        <f aca="false">VLOOKUP(C28,$J$10:$K$32,2,FALSE())/10000</f>
        <v>0.101979631675048</v>
      </c>
      <c r="E28" s="49" t="n">
        <f aca="false">$E$3+F28</f>
        <v>0.197653540763958</v>
      </c>
      <c r="F28" s="50" t="n">
        <f aca="false">IF($E$5="Yes",D28*$E$6,D28)</f>
        <v>0.155353540763958</v>
      </c>
      <c r="G28" s="51" t="str">
        <f aca="false">VLOOKUP(A28,'10-year CDS Spreads'!$A$2:$D$158,4,FALSE())</f>
        <v>NA</v>
      </c>
      <c r="H28" s="50" t="str">
        <f aca="false">IF(I28="NA","NA",$E$3+I28)</f>
        <v>NA</v>
      </c>
      <c r="I28" s="52" t="str">
        <f aca="false">IF(G28="NA","NA",G28*$E$6)</f>
        <v>NA</v>
      </c>
      <c r="J28" s="54" t="str">
        <f aca="false">B209</f>
        <v>Caa1</v>
      </c>
      <c r="K28" s="55" t="n">
        <f aca="false">C209</f>
        <v>637.247845334774</v>
      </c>
    </row>
    <row r="29" customFormat="false" ht="15.75" hidden="false" customHeight="false" outlineLevel="0" collapsed="false">
      <c r="A29" s="46" t="str">
        <f aca="false">'Sovereign Ratings (Moody''s,S&amp;P)'!A22</f>
        <v>Bosnia and Herzegovina</v>
      </c>
      <c r="B29" s="47" t="str">
        <f aca="false">VLOOKUP(A29,'Regional lookup table'!$A$2:$B$162,2,FALSE())</f>
        <v>Eastern Europe &amp; Russia</v>
      </c>
      <c r="C29" s="48" t="str">
        <f aca="false">VLOOKUP(A29,'Sovereign Ratings (Moody''s,S&amp;P)'!$A$2:$D$158,4,FALSE())</f>
        <v>B3</v>
      </c>
      <c r="D29" s="49" t="n">
        <f aca="false">VLOOKUP(C29,$J$10:$K$32,2,FALSE())/10000</f>
        <v>0.0552348054028417</v>
      </c>
      <c r="E29" s="49" t="n">
        <f aca="false">$E$3+F29</f>
        <v>0.12644349465472</v>
      </c>
      <c r="F29" s="50" t="n">
        <f aca="false">IF($E$5="Yes",D29*$E$6,D29)</f>
        <v>0.0841434946547197</v>
      </c>
      <c r="G29" s="51" t="str">
        <f aca="false">VLOOKUP(A29,'10-year CDS Spreads'!$A$2:$D$158,4,FALSE())</f>
        <v>NA</v>
      </c>
      <c r="H29" s="50" t="str">
        <f aca="false">IF(I29="NA","NA",$E$3+I29)</f>
        <v>NA</v>
      </c>
      <c r="I29" s="52" t="str">
        <f aca="false">IF(G29="NA","NA",G29*$E$6)</f>
        <v>NA</v>
      </c>
      <c r="J29" s="54" t="str">
        <f aca="false">B210</f>
        <v>Caa2</v>
      </c>
      <c r="K29" s="55" t="n">
        <f aca="false">C210</f>
        <v>765.096942831406</v>
      </c>
    </row>
    <row r="30" customFormat="false" ht="15.75" hidden="false" customHeight="false" outlineLevel="0" collapsed="false">
      <c r="A30" s="46" t="str">
        <f aca="false">'Sovereign Ratings (Moody''s,S&amp;P)'!A23</f>
        <v>Botswana</v>
      </c>
      <c r="B30" s="47" t="str">
        <f aca="false">VLOOKUP(A30,'Regional lookup table'!$A$2:$B$162,2,FALSE())</f>
        <v>Africa</v>
      </c>
      <c r="C30" s="48" t="str">
        <f aca="false">VLOOKUP(A30,'Sovereign Ratings (Moody''s,S&amp;P)'!$A$2:$D$158,4,FALSE())</f>
        <v>Baa1</v>
      </c>
      <c r="D30" s="49" t="n">
        <f aca="false">VLOOKUP(C30,$J$10:$K$32,2,FALSE())/10000</f>
        <v>0.0135839666090171</v>
      </c>
      <c r="E30" s="49" t="n">
        <f aca="false">$E$3+F30</f>
        <v>0.0629935176727701</v>
      </c>
      <c r="F30" s="50" t="n">
        <f aca="false">IF($E$5="Yes",D30*$E$6,D30)</f>
        <v>0.0206935176727701</v>
      </c>
      <c r="G30" s="51" t="str">
        <f aca="false">VLOOKUP(A30,'10-year CDS Spreads'!$A$2:$D$158,4,FALSE())</f>
        <v>NA</v>
      </c>
      <c r="H30" s="50" t="str">
        <f aca="false">IF(I30="NA","NA",$E$3+I30)</f>
        <v>NA</v>
      </c>
      <c r="I30" s="52" t="str">
        <f aca="false">IF(G30="NA","NA",G30*$E$6)</f>
        <v>NA</v>
      </c>
      <c r="J30" s="54" t="str">
        <f aca="false">B211</f>
        <v>Caa3</v>
      </c>
      <c r="K30" s="55" t="n">
        <f aca="false">C211</f>
        <v>849.996734137764</v>
      </c>
    </row>
    <row r="31" customFormat="false" ht="15.75" hidden="false" customHeight="false" outlineLevel="0" collapsed="false">
      <c r="A31" s="46" t="str">
        <f aca="false">'Sovereign Ratings (Moody''s,S&amp;P)'!A24</f>
        <v>Brazil</v>
      </c>
      <c r="B31" s="47" t="str">
        <f aca="false">VLOOKUP(A31,'Regional lookup table'!$A$2:$B$162,2,FALSE())</f>
        <v>Central and South America</v>
      </c>
      <c r="C31" s="48" t="str">
        <f aca="false">VLOOKUP(A31,'Sovereign Ratings (Moody''s,S&amp;P)'!$A$2:$D$158,4,FALSE())</f>
        <v>Ba1</v>
      </c>
      <c r="D31" s="49" t="n">
        <f aca="false">VLOOKUP(C31,$J$10:$K$32,2,FALSE())/10000</f>
        <v>0.0212748888802989</v>
      </c>
      <c r="E31" s="49" t="n">
        <f aca="false">$E$3+F31</f>
        <v>0.0747097004727944</v>
      </c>
      <c r="F31" s="50" t="n">
        <f aca="false">IF($E$5="Yes",D31*$E$6,D31)</f>
        <v>0.0324097004727944</v>
      </c>
      <c r="G31" s="51" t="n">
        <f aca="false">VLOOKUP(A31,'10-year CDS Spreads'!$A$2:$D$158,4,FALSE())</f>
        <v>0.0221</v>
      </c>
      <c r="H31" s="50" t="n">
        <f aca="false">IF(I31="NA","NA",$E$3+I31)</f>
        <v>0.0759666567086997</v>
      </c>
      <c r="I31" s="52" t="n">
        <f aca="false">IF(G31="NA","NA",G31*$E$6)</f>
        <v>0.0336666567086997</v>
      </c>
      <c r="J31" s="54" t="s">
        <v>127</v>
      </c>
      <c r="K31" s="56" t="str">
        <f aca="false">C212</f>
        <v>NA</v>
      </c>
    </row>
    <row r="32" customFormat="false" ht="15.75" hidden="false" customHeight="false" outlineLevel="0" collapsed="false">
      <c r="A32" s="46" t="str">
        <f aca="false">'Sovereign Ratings (Moody''s,S&amp;P)'!A25</f>
        <v>Bulgaria</v>
      </c>
      <c r="B32" s="47" t="str">
        <f aca="false">VLOOKUP(A32,'Regional lookup table'!$A$2:$B$162,2,FALSE())</f>
        <v>Eastern Europe &amp; Russia</v>
      </c>
      <c r="C32" s="48" t="str">
        <f aca="false">VLOOKUP(A32,'Sovereign Ratings (Moody''s,S&amp;P)'!$A$2:$D$158,4,FALSE())</f>
        <v>Baa1</v>
      </c>
      <c r="D32" s="49" t="n">
        <f aca="false">VLOOKUP(C32,$J$10:$K$32,2,FALSE())/10000</f>
        <v>0.0135839666090171</v>
      </c>
      <c r="E32" s="49" t="n">
        <f aca="false">$E$3+F32</f>
        <v>0.0629935176727701</v>
      </c>
      <c r="F32" s="50" t="n">
        <f aca="false">IF($E$5="Yes",D32*$E$6,D32)</f>
        <v>0.0206935176727701</v>
      </c>
      <c r="G32" s="51" t="n">
        <f aca="false">VLOOKUP(A32,'10-year CDS Spreads'!$A$2:$D$158,4,FALSE())</f>
        <v>0.0063</v>
      </c>
      <c r="H32" s="50" t="n">
        <f aca="false">IF(I32="NA","NA",$E$3+I32)</f>
        <v>0.0518972822291768</v>
      </c>
      <c r="I32" s="52" t="n">
        <f aca="false">IF(G32="NA","NA",G32*$E$6)</f>
        <v>0.00959728222917684</v>
      </c>
    </row>
    <row r="33" customFormat="false" ht="15.75" hidden="false" customHeight="false" outlineLevel="0" collapsed="false">
      <c r="A33" s="46" t="str">
        <f aca="false">'Sovereign Ratings (Moody''s,S&amp;P)'!A26</f>
        <v>Burkina Faso</v>
      </c>
      <c r="B33" s="47" t="str">
        <f aca="false">VLOOKUP(A33,'Regional lookup table'!$A$2:$B$162,2,FALSE())</f>
        <v>Africa</v>
      </c>
      <c r="C33" s="48" t="str">
        <f aca="false">VLOOKUP(A33,'Sovereign Ratings (Moody''s,S&amp;P)'!$A$2:$D$158,4,FALSE())</f>
        <v>Caa1</v>
      </c>
      <c r="D33" s="49" t="n">
        <f aca="false">VLOOKUP(C33,$J$10:$K$32,2,FALSE())/10000</f>
        <v>0.0637247845334774</v>
      </c>
      <c r="E33" s="49" t="n">
        <f aca="false">$E$3+F33</f>
        <v>0.139376943200201</v>
      </c>
      <c r="F33" s="50" t="n">
        <f aca="false">IF($E$5="Yes",D33*$E$6,D33)</f>
        <v>0.097076943200201</v>
      </c>
      <c r="G33" s="51" t="str">
        <f aca="false">VLOOKUP(A33,'10-year CDS Spreads'!$A$2:$D$158,4,FALSE())</f>
        <v>NA</v>
      </c>
      <c r="H33" s="50" t="str">
        <f aca="false">IF(I33="NA","NA",$E$3+I33)</f>
        <v>NA</v>
      </c>
      <c r="I33" s="52" t="str">
        <f aca="false">IF(G33="NA","NA",G33*$E$6)</f>
        <v>NA</v>
      </c>
    </row>
    <row r="34" customFormat="false" ht="15.75" hidden="false" customHeight="false" outlineLevel="0" collapsed="false">
      <c r="A34" s="46" t="str">
        <f aca="false">'Sovereign Ratings (Moody''s,S&amp;P)'!A27</f>
        <v>Cambodia</v>
      </c>
      <c r="B34" s="47" t="str">
        <f aca="false">VLOOKUP(A34,'Regional lookup table'!$A$2:$B$162,2,FALSE())</f>
        <v>Asia</v>
      </c>
      <c r="C34" s="48" t="str">
        <f aca="false">VLOOKUP(A34,'Sovereign Ratings (Moody''s,S&amp;P)'!$A$2:$D$158,4,FALSE())</f>
        <v>B2</v>
      </c>
      <c r="D34" s="49" t="n">
        <f aca="false">VLOOKUP(C34,$J$10:$K$32,2,FALSE())/10000</f>
        <v>0.046744826272206</v>
      </c>
      <c r="E34" s="49" t="n">
        <f aca="false">$E$3+F34</f>
        <v>0.113510046109238</v>
      </c>
      <c r="F34" s="50" t="n">
        <f aca="false">IF($E$5="Yes",D34*$E$6,D34)</f>
        <v>0.0712100461092384</v>
      </c>
      <c r="G34" s="51" t="str">
        <f aca="false">VLOOKUP(A34,'10-year CDS Spreads'!$A$2:$D$158,4,FALSE())</f>
        <v>NA</v>
      </c>
      <c r="H34" s="50" t="str">
        <f aca="false">IF(I34="NA","NA",$E$3+I34)</f>
        <v>NA</v>
      </c>
      <c r="I34" s="52" t="str">
        <f aca="false">IF(G34="NA","NA",G34*$E$6)</f>
        <v>NA</v>
      </c>
    </row>
    <row r="35" customFormat="false" ht="15.75" hidden="false" customHeight="false" outlineLevel="0" collapsed="false">
      <c r="A35" s="46" t="str">
        <f aca="false">'Sovereign Ratings (Moody''s,S&amp;P)'!A28</f>
        <v>Cameroon</v>
      </c>
      <c r="B35" s="47" t="str">
        <f aca="false">VLOOKUP(A35,'Regional lookup table'!$A$2:$B$162,2,FALSE())</f>
        <v>Africa</v>
      </c>
      <c r="C35" s="48" t="str">
        <f aca="false">VLOOKUP(A35,'Sovereign Ratings (Moody''s,S&amp;P)'!$A$2:$D$158,4,FALSE())</f>
        <v>Caa1</v>
      </c>
      <c r="D35" s="49" t="n">
        <f aca="false">VLOOKUP(C35,$J$10:$K$32,2,FALSE())/10000</f>
        <v>0.0637247845334774</v>
      </c>
      <c r="E35" s="49" t="n">
        <f aca="false">$E$3+F35</f>
        <v>0.139376943200201</v>
      </c>
      <c r="F35" s="50" t="n">
        <f aca="false">IF($E$5="Yes",D35*$E$6,D35)</f>
        <v>0.097076943200201</v>
      </c>
      <c r="G35" s="51" t="n">
        <f aca="false">VLOOKUP(A35,'10-year CDS Spreads'!$A$2:$D$158,4,FALSE())</f>
        <v>0.0673</v>
      </c>
      <c r="H35" s="50" t="n">
        <f aca="false">IF(I35="NA","NA",$E$3+I35)</f>
        <v>0.144823348257715</v>
      </c>
      <c r="I35" s="52" t="n">
        <f aca="false">IF(G35="NA","NA",G35*$E$6)</f>
        <v>0.102523348257715</v>
      </c>
    </row>
    <row r="36" customFormat="false" ht="15.75" hidden="false" customHeight="false" outlineLevel="0" collapsed="false">
      <c r="A36" s="46" t="str">
        <f aca="false">'Sovereign Ratings (Moody''s,S&amp;P)'!A29</f>
        <v>Canada</v>
      </c>
      <c r="B36" s="47" t="str">
        <f aca="false">VLOOKUP(A36,'Regional lookup table'!$A$2:$B$162,2,FALSE())</f>
        <v>North America</v>
      </c>
      <c r="C36" s="48" t="str">
        <f aca="false">VLOOKUP(A36,'Sovereign Ratings (Moody''s,S&amp;P)'!$A$2:$D$158,4,FALSE())</f>
        <v>Aaa</v>
      </c>
      <c r="D36" s="49" t="n">
        <f aca="false">VLOOKUP(C36,$J$10:$K$32,2,FALSE())/10000</f>
        <v>0</v>
      </c>
      <c r="E36" s="49" t="n">
        <f aca="false">$E$3+F36</f>
        <v>0.0423</v>
      </c>
      <c r="F36" s="50" t="n">
        <f aca="false">IF($E$5="Yes",D36*$E$6,D36)</f>
        <v>0</v>
      </c>
      <c r="G36" s="51" t="n">
        <f aca="false">VLOOKUP(A36,'10-year CDS Spreads'!$A$2:$D$158,4,FALSE())</f>
        <v>0.0019</v>
      </c>
      <c r="H36" s="50" t="n">
        <f aca="false">IF(I36="NA","NA",$E$3+I36)</f>
        <v>0.0451944184500692</v>
      </c>
      <c r="I36" s="52" t="n">
        <f aca="false">IF(G36="NA","NA",G36*$E$6)</f>
        <v>0.00289441845006921</v>
      </c>
    </row>
    <row r="37" customFormat="false" ht="15.75" hidden="false" customHeight="false" outlineLevel="0" collapsed="false">
      <c r="A37" s="46" t="str">
        <f aca="false">'Sovereign Ratings (Moody''s,S&amp;P)'!A30</f>
        <v>Cape Verde</v>
      </c>
      <c r="B37" s="47" t="str">
        <f aca="false">VLOOKUP(A37,'Regional lookup table'!$A$2:$B$162,2,FALSE())</f>
        <v>Africa</v>
      </c>
      <c r="C37" s="48" t="str">
        <f aca="false">VLOOKUP(A37,'Sovereign Ratings (Moody''s,S&amp;P)'!$A$2:$D$158,4,FALSE())</f>
        <v>B2</v>
      </c>
      <c r="D37" s="49" t="n">
        <f aca="false">VLOOKUP(C37,$J$10:$K$32,2,FALSE())/10000</f>
        <v>0.046744826272206</v>
      </c>
      <c r="E37" s="49" t="n">
        <f aca="false">$E$3+F37</f>
        <v>0.113510046109238</v>
      </c>
      <c r="F37" s="50" t="n">
        <f aca="false">IF($E$5="Yes",D37*$E$6,D37)</f>
        <v>0.0712100461092384</v>
      </c>
      <c r="G37" s="51" t="str">
        <f aca="false">VLOOKUP(A37,'10-year CDS Spreads'!$A$2:$D$158,4,FALSE())</f>
        <v>NA</v>
      </c>
      <c r="H37" s="50" t="str">
        <f aca="false">IF(I37="NA","NA",$E$3+I37)</f>
        <v>NA</v>
      </c>
      <c r="I37" s="52" t="str">
        <f aca="false">IF(G37="NA","NA",G37*$E$6)</f>
        <v>NA</v>
      </c>
    </row>
    <row r="38" customFormat="false" ht="15.75" hidden="false" customHeight="false" outlineLevel="0" collapsed="false">
      <c r="A38" s="46" t="str">
        <f aca="false">'Sovereign Ratings (Moody''s,S&amp;P)'!A31</f>
        <v>Cayman Islands</v>
      </c>
      <c r="B38" s="47" t="str">
        <f aca="false">VLOOKUP(A38,'Regional lookup table'!$A$2:$B$162,2,FALSE())</f>
        <v>Caribbean</v>
      </c>
      <c r="C38" s="48" t="str">
        <f aca="false">VLOOKUP(A38,'Sovereign Ratings (Moody''s,S&amp;P)'!$A$2:$D$158,4,FALSE())</f>
        <v>Aa3</v>
      </c>
      <c r="D38" s="49" t="n">
        <f aca="false">VLOOKUP(C38,$J$10:$K$32,2,FALSE())/10000</f>
        <v>0.00509398747838143</v>
      </c>
      <c r="E38" s="49" t="n">
        <f aca="false">$E$3+F38</f>
        <v>0.0500600691272888</v>
      </c>
      <c r="F38" s="50" t="n">
        <f aca="false">IF($E$5="Yes",D38*$E$6,D38)</f>
        <v>0.0077600691272888</v>
      </c>
      <c r="G38" s="51" t="str">
        <f aca="false">VLOOKUP(A38,'10-year CDS Spreads'!$A$2:$D$158,4,FALSE())</f>
        <v>NA</v>
      </c>
      <c r="H38" s="50" t="str">
        <f aca="false">IF(I38="NA","NA",$E$3+I38)</f>
        <v>NA</v>
      </c>
      <c r="I38" s="52" t="str">
        <f aca="false">IF(G38="NA","NA",G38*$E$6)</f>
        <v>NA</v>
      </c>
    </row>
    <row r="39" customFormat="false" ht="15.75" hidden="false" customHeight="false" outlineLevel="0" collapsed="false">
      <c r="A39" s="46" t="str">
        <f aca="false">'Sovereign Ratings (Moody''s,S&amp;P)'!A32</f>
        <v>Chile</v>
      </c>
      <c r="B39" s="47" t="str">
        <f aca="false">VLOOKUP(A39,'Regional lookup table'!$A$2:$B$162,2,FALSE())</f>
        <v>Central and South America</v>
      </c>
      <c r="C39" s="48" t="str">
        <f aca="false">VLOOKUP(A39,'Sovereign Ratings (Moody''s,S&amp;P)'!$A$2:$D$158,4,FALSE())</f>
        <v>A2</v>
      </c>
      <c r="D39" s="49" t="n">
        <f aca="false">VLOOKUP(C39,$J$10:$K$32,2,FALSE())/10000</f>
        <v>0.00719151173418554</v>
      </c>
      <c r="E39" s="49" t="n">
        <f aca="false">$E$3+F39</f>
        <v>0.0532553917091136</v>
      </c>
      <c r="F39" s="50" t="n">
        <f aca="false">IF($E$5="Yes",D39*$E$6,D39)</f>
        <v>0.0109553917091136</v>
      </c>
      <c r="G39" s="51" t="n">
        <f aca="false">VLOOKUP(A39,'10-year CDS Spreads'!$A$2:$D$158,4,FALSE())</f>
        <v>0.0073</v>
      </c>
      <c r="H39" s="50" t="n">
        <f aca="false">IF(I39="NA","NA",$E$3+I39)</f>
        <v>0.0534206603607922</v>
      </c>
      <c r="I39" s="52" t="n">
        <f aca="false">IF(G39="NA","NA",G39*$E$6)</f>
        <v>0.0111206603607922</v>
      </c>
    </row>
    <row r="40" customFormat="false" ht="15.75" hidden="false" customHeight="false" outlineLevel="0" collapsed="false">
      <c r="A40" s="46" t="str">
        <f aca="false">'Sovereign Ratings (Moody''s,S&amp;P)'!A33</f>
        <v>China</v>
      </c>
      <c r="B40" s="47" t="str">
        <f aca="false">VLOOKUP(A40,'Regional lookup table'!$A$2:$B$162,2,FALSE())</f>
        <v>Asia</v>
      </c>
      <c r="C40" s="48" t="str">
        <f aca="false">VLOOKUP(A40,'Sovereign Ratings (Moody''s,S&amp;P)'!$A$2:$D$158,4,FALSE())</f>
        <v>A1</v>
      </c>
      <c r="D40" s="49" t="n">
        <f aca="false">VLOOKUP(C40,$J$10:$K$32,2,FALSE())/10000</f>
        <v>0.00599292644515462</v>
      </c>
      <c r="E40" s="49" t="n">
        <f aca="false">$E$3+F40</f>
        <v>0.051429493090928</v>
      </c>
      <c r="F40" s="50" t="n">
        <f aca="false">IF($E$5="Yes",D40*$E$6,D40)</f>
        <v>0.009129493090928</v>
      </c>
      <c r="G40" s="51" t="n">
        <f aca="false">VLOOKUP(A40,'10-year CDS Spreads'!$A$2:$D$158,4,FALSE())</f>
        <v>0.005</v>
      </c>
      <c r="H40" s="50" t="n">
        <f aca="false">IF(I40="NA","NA",$E$3+I40)</f>
        <v>0.0499168906580769</v>
      </c>
      <c r="I40" s="52" t="n">
        <f aca="false">IF(G40="NA","NA",G40*$E$6)</f>
        <v>0.00761689065807686</v>
      </c>
    </row>
    <row r="41" customFormat="false" ht="15.75" hidden="false" customHeight="false" outlineLevel="0" collapsed="false">
      <c r="A41" s="46" t="str">
        <f aca="false">'Sovereign Ratings (Moody''s,S&amp;P)'!A34</f>
        <v>Colombia</v>
      </c>
      <c r="B41" s="47" t="str">
        <f aca="false">VLOOKUP(A41,'Regional lookup table'!$A$2:$B$162,2,FALSE())</f>
        <v>Central and South America</v>
      </c>
      <c r="C41" s="48" t="str">
        <f aca="false">VLOOKUP(A41,'Sovereign Ratings (Moody''s,S&amp;P)'!$A$2:$D$158,4,FALSE())</f>
        <v>Baa3</v>
      </c>
      <c r="D41" s="49" t="n">
        <f aca="false">VLOOKUP(C41,$J$10:$K$32,2,FALSE())/10000</f>
        <v>0.0186779540873986</v>
      </c>
      <c r="E41" s="49" t="n">
        <f aca="false">$E$3+F41</f>
        <v>0.0707535868000589</v>
      </c>
      <c r="F41" s="50" t="n">
        <f aca="false">IF($E$5="Yes",D41*$E$6,D41)</f>
        <v>0.0284535868000589</v>
      </c>
      <c r="G41" s="51" t="n">
        <f aca="false">VLOOKUP(A41,'10-year CDS Spreads'!$A$2:$D$158,4,FALSE())</f>
        <v>0.032</v>
      </c>
      <c r="H41" s="50" t="n">
        <f aca="false">IF(I41="NA","NA",$E$3+I41)</f>
        <v>0.0910481002116919</v>
      </c>
      <c r="I41" s="52" t="n">
        <f aca="false">IF(G41="NA","NA",G41*$E$6)</f>
        <v>0.0487481002116919</v>
      </c>
    </row>
    <row r="42" customFormat="false" ht="15.75" hidden="false" customHeight="false" outlineLevel="0" collapsed="false">
      <c r="A42" s="46" t="str">
        <f aca="false">'Sovereign Ratings (Moody''s,S&amp;P)'!A35</f>
        <v>Congo (Democratic Republic of)</v>
      </c>
      <c r="B42" s="47" t="str">
        <f aca="false">VLOOKUP(A42,'Regional lookup table'!$A$2:$B$162,2,FALSE())</f>
        <v>Africa</v>
      </c>
      <c r="C42" s="48" t="str">
        <f aca="false">VLOOKUP(A42,'Sovereign Ratings (Moody''s,S&amp;P)'!$A$2:$D$158,4,FALSE())</f>
        <v>B3</v>
      </c>
      <c r="D42" s="49" t="n">
        <f aca="false">VLOOKUP(C42,$J$10:$K$32,2,FALSE())/10000</f>
        <v>0.0552348054028417</v>
      </c>
      <c r="E42" s="49" t="n">
        <f aca="false">$E$3+F42</f>
        <v>0.12644349465472</v>
      </c>
      <c r="F42" s="50" t="n">
        <f aca="false">IF($E$5="Yes",D42*$E$6,D42)</f>
        <v>0.0841434946547197</v>
      </c>
      <c r="G42" s="51" t="str">
        <f aca="false">VLOOKUP(A42,'10-year CDS Spreads'!$A$2:$D$158,4,FALSE())</f>
        <v>NA</v>
      </c>
      <c r="H42" s="50" t="str">
        <f aca="false">IF(I42="NA","NA",$E$3+I42)</f>
        <v>NA</v>
      </c>
      <c r="I42" s="52" t="str">
        <f aca="false">IF(G42="NA","NA",G42*$E$6)</f>
        <v>NA</v>
      </c>
    </row>
    <row r="43" customFormat="false" ht="15.75" hidden="false" customHeight="false" outlineLevel="0" collapsed="false">
      <c r="A43" s="46" t="str">
        <f aca="false">'Sovereign Ratings (Moody''s,S&amp;P)'!A36</f>
        <v>Congo (Republic of)</v>
      </c>
      <c r="B43" s="47" t="str">
        <f aca="false">VLOOKUP(A43,'Regional lookup table'!$A$2:$B$162,2,FALSE())</f>
        <v>Africa</v>
      </c>
      <c r="C43" s="48" t="str">
        <f aca="false">VLOOKUP(A43,'Sovereign Ratings (Moody''s,S&amp;P)'!$A$2:$D$158,4,FALSE())</f>
        <v>Caa2</v>
      </c>
      <c r="D43" s="49" t="n">
        <f aca="false">VLOOKUP(C43,$J$10:$K$32,2,FALSE())/10000</f>
        <v>0.0765096942831406</v>
      </c>
      <c r="E43" s="49" t="n">
        <f aca="false">$E$3+F43</f>
        <v>0.158853195127514</v>
      </c>
      <c r="F43" s="50" t="n">
        <f aca="false">IF($E$5="Yes",D43*$E$6,D43)</f>
        <v>0.116553195127514</v>
      </c>
      <c r="G43" s="51" t="str">
        <f aca="false">VLOOKUP(A43,'10-year CDS Spreads'!$A$2:$D$158,4,FALSE())</f>
        <v>NA</v>
      </c>
      <c r="H43" s="50" t="str">
        <f aca="false">IF(I43="NA","NA",$E$3+I43)</f>
        <v>NA</v>
      </c>
      <c r="I43" s="52" t="str">
        <f aca="false">IF(G43="NA","NA",G43*$E$6)</f>
        <v>NA</v>
      </c>
    </row>
    <row r="44" customFormat="false" ht="15.75" hidden="false" customHeight="false" outlineLevel="0" collapsed="false">
      <c r="A44" s="46" t="str">
        <f aca="false">'Sovereign Ratings (Moody''s,S&amp;P)'!A37</f>
        <v>Cook Islands</v>
      </c>
      <c r="B44" s="47" t="str">
        <f aca="false">VLOOKUP(A44,'Regional lookup table'!$A$2:$B$162,2,FALSE())</f>
        <v>Australia &amp; New Zealand</v>
      </c>
      <c r="C44" s="48" t="str">
        <f aca="false">VLOOKUP(A44,'Sovereign Ratings (Moody''s,S&amp;P)'!$A$2:$D$158,4,FALSE())</f>
        <v>B1</v>
      </c>
      <c r="D44" s="49" t="n">
        <f aca="false">VLOOKUP(C44,$J$10:$K$32,2,FALSE())/10000</f>
        <v>0.0382548471415703</v>
      </c>
      <c r="E44" s="49" t="n">
        <f aca="false">$E$3+F44</f>
        <v>0.100576597563757</v>
      </c>
      <c r="F44" s="50" t="n">
        <f aca="false">IF($E$5="Yes",D44*$E$6,D44)</f>
        <v>0.058276597563757</v>
      </c>
      <c r="G44" s="51" t="str">
        <f aca="false">VLOOKUP(A44,'10-year CDS Spreads'!$A$2:$D$158,4,FALSE())</f>
        <v>NA</v>
      </c>
      <c r="H44" s="50" t="str">
        <f aca="false">IF(I44="NA","NA",$E$3+I44)</f>
        <v>NA</v>
      </c>
      <c r="I44" s="52" t="str">
        <f aca="false">IF(G44="NA","NA",G44*$E$6)</f>
        <v>NA</v>
      </c>
    </row>
    <row r="45" customFormat="false" ht="15.75" hidden="false" customHeight="false" outlineLevel="0" collapsed="false">
      <c r="A45" s="46" t="str">
        <f aca="false">'Sovereign Ratings (Moody''s,S&amp;P)'!A38</f>
        <v>Costa Rica</v>
      </c>
      <c r="B45" s="47" t="str">
        <f aca="false">VLOOKUP(A45,'Regional lookup table'!$A$2:$B$162,2,FALSE())</f>
        <v>Central and South America</v>
      </c>
      <c r="C45" s="48" t="str">
        <f aca="false">VLOOKUP(A45,'Sovereign Ratings (Moody''s,S&amp;P)'!$A$2:$D$158,4,FALSE())</f>
        <v>Ba2</v>
      </c>
      <c r="D45" s="49" t="n">
        <f aca="false">VLOOKUP(C45,$J$10:$K$32,2,FALSE())/10000</f>
        <v>0.0255698194993264</v>
      </c>
      <c r="E45" s="49" t="n">
        <f aca="false">$E$3+F45</f>
        <v>0.0812525038546261</v>
      </c>
      <c r="F45" s="50" t="n">
        <f aca="false">IF($E$5="Yes",D45*$E$6,D45)</f>
        <v>0.0389525038546261</v>
      </c>
      <c r="G45" s="51" t="n">
        <f aca="false">VLOOKUP(A45,'10-year CDS Spreads'!$A$2:$D$158,4,FALSE())</f>
        <v>0.0161</v>
      </c>
      <c r="H45" s="50" t="n">
        <f aca="false">IF(I45="NA","NA",$E$3+I45)</f>
        <v>0.0668263879190075</v>
      </c>
      <c r="I45" s="52" t="n">
        <f aca="false">IF(G45="NA","NA",G45*$E$6)</f>
        <v>0.0245263879190075</v>
      </c>
    </row>
    <row r="46" customFormat="false" ht="15.75" hidden="false" customHeight="false" outlineLevel="0" collapsed="false">
      <c r="A46" s="46" t="str">
        <f aca="false">'Sovereign Ratings (Moody''s,S&amp;P)'!A39</f>
        <v>Côte d'Ivoire</v>
      </c>
      <c r="B46" s="47" t="str">
        <f aca="false">VLOOKUP(A46,'Regional lookup table'!$A$2:$B$162,2,FALSE())</f>
        <v>Africa</v>
      </c>
      <c r="C46" s="48" t="str">
        <f aca="false">VLOOKUP(A46,'Sovereign Ratings (Moody''s,S&amp;P)'!$A$2:$D$158,4,FALSE())</f>
        <v>Ba2</v>
      </c>
      <c r="D46" s="49" t="n">
        <f aca="false">VLOOKUP(C46,$J$10:$K$32,2,FALSE())/10000</f>
        <v>0.0255698194993264</v>
      </c>
      <c r="E46" s="49" t="n">
        <f aca="false">$E$3+F46</f>
        <v>0.0812525038546261</v>
      </c>
      <c r="F46" s="50" t="n">
        <f aca="false">IF($E$5="Yes",D46*$E$6,D46)</f>
        <v>0.0389525038546261</v>
      </c>
      <c r="G46" s="51" t="str">
        <f aca="false">VLOOKUP(A46,'10-year CDS Spreads'!$A$2:$D$158,4,FALSE())</f>
        <v>NA</v>
      </c>
      <c r="H46" s="50" t="str">
        <f aca="false">IF(I46="NA","NA",$E$3+I46)</f>
        <v>NA</v>
      </c>
      <c r="I46" s="52" t="str">
        <f aca="false">IF(G46="NA","NA",G46*$E$6)</f>
        <v>NA</v>
      </c>
    </row>
    <row r="47" customFormat="false" ht="15.75" hidden="false" customHeight="false" outlineLevel="0" collapsed="false">
      <c r="A47" s="46" t="str">
        <f aca="false">'Sovereign Ratings (Moody''s,S&amp;P)'!A40</f>
        <v>Croatia</v>
      </c>
      <c r="B47" s="47" t="str">
        <f aca="false">VLOOKUP(A47,'Regional lookup table'!$A$2:$B$162,2,FALSE())</f>
        <v>Eastern Europe &amp; Russia</v>
      </c>
      <c r="C47" s="48" t="str">
        <f aca="false">VLOOKUP(A47,'Sovereign Ratings (Moody''s,S&amp;P)'!$A$2:$D$158,4,FALSE())</f>
        <v>A3</v>
      </c>
      <c r="D47" s="49" t="n">
        <f aca="false">VLOOKUP(C47,$J$10:$K$32,2,FALSE())/10000</f>
        <v>0.0101879749567629</v>
      </c>
      <c r="E47" s="49" t="n">
        <f aca="false">$E$3+F47</f>
        <v>0.0578201382545776</v>
      </c>
      <c r="F47" s="50" t="n">
        <f aca="false">IF($E$5="Yes",D47*$E$6,D47)</f>
        <v>0.0155201382545776</v>
      </c>
      <c r="G47" s="51" t="n">
        <f aca="false">VLOOKUP(A47,'10-year CDS Spreads'!$A$2:$D$158,4,FALSE())</f>
        <v>0.0088</v>
      </c>
      <c r="H47" s="50" t="n">
        <f aca="false">IF(I47="NA","NA",$E$3+I47)</f>
        <v>0.0557057275582153</v>
      </c>
      <c r="I47" s="52" t="n">
        <f aca="false">IF(G47="NA","NA",G47*$E$6)</f>
        <v>0.0134057275582153</v>
      </c>
    </row>
    <row r="48" customFormat="false" ht="15.75" hidden="false" customHeight="false" outlineLevel="0" collapsed="false">
      <c r="A48" s="46" t="str">
        <f aca="false">'Sovereign Ratings (Moody''s,S&amp;P)'!A41</f>
        <v>Cuba</v>
      </c>
      <c r="B48" s="47" t="str">
        <f aca="false">VLOOKUP(A48,'Regional lookup table'!$A$2:$B$162,2,FALSE())</f>
        <v>Caribbean</v>
      </c>
      <c r="C48" s="48" t="str">
        <f aca="false">VLOOKUP(A48,'Sovereign Ratings (Moody''s,S&amp;P)'!$A$2:$D$158,4,FALSE())</f>
        <v>Ca</v>
      </c>
      <c r="D48" s="49" t="n">
        <f aca="false">VLOOKUP(C48,$J$10:$K$32,2,FALSE())/10000</f>
        <v>0.101979631675048</v>
      </c>
      <c r="E48" s="49" t="n">
        <f aca="false">$E$3+F48</f>
        <v>0.197653540763958</v>
      </c>
      <c r="F48" s="50" t="n">
        <f aca="false">IF($E$5="Yes",D48*$E$6,D48)</f>
        <v>0.155353540763958</v>
      </c>
      <c r="G48" s="51" t="str">
        <f aca="false">VLOOKUP(A48,'10-year CDS Spreads'!$A$2:$D$158,4,FALSE())</f>
        <v>NA</v>
      </c>
      <c r="H48" s="50" t="str">
        <f aca="false">IF(I48="NA","NA",$E$3+I48)</f>
        <v>NA</v>
      </c>
      <c r="I48" s="52" t="str">
        <f aca="false">IF(G48="NA","NA",G48*$E$6)</f>
        <v>NA</v>
      </c>
    </row>
    <row r="49" customFormat="false" ht="15.75" hidden="false" customHeight="false" outlineLevel="0" collapsed="false">
      <c r="A49" s="46" t="str">
        <f aca="false">'Sovereign Ratings (Moody''s,S&amp;P)'!A42</f>
        <v>Curacao</v>
      </c>
      <c r="B49" s="47" t="str">
        <f aca="false">VLOOKUP(A49,'Regional lookup table'!$A$2:$B$162,2,FALSE())</f>
        <v>Caribbean</v>
      </c>
      <c r="C49" s="48" t="str">
        <f aca="false">VLOOKUP(A49,'Sovereign Ratings (Moody''s,S&amp;P)'!$A$2:$D$158,4,FALSE())</f>
        <v>Baa3</v>
      </c>
      <c r="D49" s="49" t="n">
        <f aca="false">VLOOKUP(C49,$J$10:$K$32,2,FALSE())/10000</f>
        <v>0.0186779540873986</v>
      </c>
      <c r="E49" s="49" t="n">
        <f aca="false">$E$3+F49</f>
        <v>0.0707535868000589</v>
      </c>
      <c r="F49" s="50" t="n">
        <f aca="false">IF($E$5="Yes",D49*$E$6,D49)</f>
        <v>0.0284535868000589</v>
      </c>
      <c r="G49" s="51" t="str">
        <f aca="false">VLOOKUP(A49,'10-year CDS Spreads'!$A$2:$D$158,4,FALSE())</f>
        <v>NA</v>
      </c>
      <c r="H49" s="50" t="str">
        <f aca="false">IF(I49="NA","NA",$E$3+I49)</f>
        <v>NA</v>
      </c>
      <c r="I49" s="52" t="str">
        <f aca="false">IF(G49="NA","NA",G49*$E$6)</f>
        <v>NA</v>
      </c>
    </row>
    <row r="50" customFormat="false" ht="15.75" hidden="false" customHeight="false" outlineLevel="0" collapsed="false">
      <c r="A50" s="46" t="str">
        <f aca="false">'Sovereign Ratings (Moody''s,S&amp;P)'!A43</f>
        <v>Cyprus</v>
      </c>
      <c r="B50" s="47" t="str">
        <f aca="false">VLOOKUP(A50,'Regional lookup table'!$A$2:$B$162,2,FALSE())</f>
        <v>Western Europe</v>
      </c>
      <c r="C50" s="48" t="str">
        <f aca="false">VLOOKUP(A50,'Sovereign Ratings (Moody''s,S&amp;P)'!$A$2:$D$158,4,FALSE())</f>
        <v>A3</v>
      </c>
      <c r="D50" s="49" t="n">
        <f aca="false">VLOOKUP(C50,$J$10:$K$32,2,FALSE())/10000</f>
        <v>0.0101879749567629</v>
      </c>
      <c r="E50" s="49" t="n">
        <f aca="false">$E$3+F50</f>
        <v>0.0578201382545776</v>
      </c>
      <c r="F50" s="50" t="n">
        <f aca="false">IF($E$5="Yes",D50*$E$6,D50)</f>
        <v>0.0155201382545776</v>
      </c>
      <c r="G50" s="51" t="n">
        <f aca="false">VLOOKUP(A50,'10-year CDS Spreads'!$A$2:$D$158,4,FALSE())</f>
        <v>0.0061</v>
      </c>
      <c r="H50" s="50" t="n">
        <f aca="false">IF(I50="NA","NA",$E$3+I50)</f>
        <v>0.0515926066028538</v>
      </c>
      <c r="I50" s="52" t="n">
        <f aca="false">IF(G50="NA","NA",G50*$E$6)</f>
        <v>0.00929260660285377</v>
      </c>
    </row>
    <row r="51" customFormat="false" ht="15.75" hidden="false" customHeight="false" outlineLevel="0" collapsed="false">
      <c r="A51" s="46" t="str">
        <f aca="false">'Sovereign Ratings (Moody''s,S&amp;P)'!A44</f>
        <v>Czech Republic</v>
      </c>
      <c r="B51" s="47" t="str">
        <f aca="false">VLOOKUP(A51,'Regional lookup table'!$A$2:$B$162,2,FALSE())</f>
        <v>Eastern Europe &amp; Russia</v>
      </c>
      <c r="C51" s="48" t="str">
        <f aca="false">VLOOKUP(A51,'Sovereign Ratings (Moody''s,S&amp;P)'!$A$2:$D$158,4,FALSE())</f>
        <v>Aa3</v>
      </c>
      <c r="D51" s="49" t="n">
        <f aca="false">VLOOKUP(C51,$J$10:$K$32,2,FALSE())/10000</f>
        <v>0.00509398747838143</v>
      </c>
      <c r="E51" s="49" t="n">
        <f aca="false">$E$3+F51</f>
        <v>0.0500600691272888</v>
      </c>
      <c r="F51" s="50" t="n">
        <f aca="false">IF($E$5="Yes",D51*$E$6,D51)</f>
        <v>0.0077600691272888</v>
      </c>
      <c r="G51" s="51" t="n">
        <f aca="false">VLOOKUP(A51,'10-year CDS Spreads'!$A$2:$D$158,4,FALSE())</f>
        <v>0.0034</v>
      </c>
      <c r="H51" s="50" t="n">
        <f aca="false">IF(I51="NA","NA",$E$3+I51)</f>
        <v>0.0474794856474923</v>
      </c>
      <c r="I51" s="52" t="n">
        <f aca="false">IF(G51="NA","NA",G51*$E$6)</f>
        <v>0.00517948564749227</v>
      </c>
    </row>
    <row r="52" customFormat="false" ht="15.75" hidden="false" customHeight="false" outlineLevel="0" collapsed="false">
      <c r="A52" s="46" t="str">
        <f aca="false">'Sovereign Ratings (Moody''s,S&amp;P)'!A45</f>
        <v>Denmark</v>
      </c>
      <c r="B52" s="47" t="str">
        <f aca="false">VLOOKUP(A52,'Regional lookup table'!$A$2:$B$162,2,FALSE())</f>
        <v>Western Europe</v>
      </c>
      <c r="C52" s="48" t="str">
        <f aca="false">VLOOKUP(A52,'Sovereign Ratings (Moody''s,S&amp;P)'!$A$2:$D$158,4,FALSE())</f>
        <v>Aaa</v>
      </c>
      <c r="D52" s="49" t="n">
        <f aca="false">VLOOKUP(C52,$J$10:$K$32,2,FALSE())/10000</f>
        <v>0</v>
      </c>
      <c r="E52" s="49" t="n">
        <f aca="false">$E$3+F52</f>
        <v>0.0423</v>
      </c>
      <c r="F52" s="50" t="n">
        <f aca="false">IF($E$5="Yes",D52*$E$6,D52)</f>
        <v>0</v>
      </c>
      <c r="G52" s="51" t="n">
        <f aca="false">VLOOKUP(A52,'10-year CDS Spreads'!$A$2:$D$158,4,FALSE())</f>
        <v>0.0004</v>
      </c>
      <c r="H52" s="50" t="n">
        <f aca="false">IF(I52="NA","NA",$E$3+I52)</f>
        <v>0.0429093512526462</v>
      </c>
      <c r="I52" s="52" t="n">
        <f aca="false">IF(G52="NA","NA",G52*$E$6)</f>
        <v>0.000609351252646149</v>
      </c>
    </row>
    <row r="53" customFormat="false" ht="15.75" hidden="false" customHeight="false" outlineLevel="0" collapsed="false">
      <c r="A53" s="46" t="str">
        <f aca="false">'Sovereign Ratings (Moody''s,S&amp;P)'!A46</f>
        <v>Dominican Republic</v>
      </c>
      <c r="B53" s="47" t="str">
        <f aca="false">VLOOKUP(A53,'Regional lookup table'!$A$2:$B$162,2,FALSE())</f>
        <v>Caribbean</v>
      </c>
      <c r="C53" s="48" t="str">
        <f aca="false">VLOOKUP(A53,'Sovereign Ratings (Moody''s,S&amp;P)'!$A$2:$D$158,4,FALSE())</f>
        <v>Ba2</v>
      </c>
      <c r="D53" s="49" t="n">
        <f aca="false">VLOOKUP(C53,$J$10:$K$32,2,FALSE())/10000</f>
        <v>0.0255698194993264</v>
      </c>
      <c r="E53" s="49" t="n">
        <f aca="false">$E$3+F53</f>
        <v>0.0812525038546261</v>
      </c>
      <c r="F53" s="50" t="n">
        <f aca="false">IF($E$5="Yes",D53*$E$6,D53)</f>
        <v>0.0389525038546261</v>
      </c>
      <c r="G53" s="51" t="str">
        <f aca="false">VLOOKUP(A53,'10-year CDS Spreads'!$A$2:$D$158,4,FALSE())</f>
        <v>NA</v>
      </c>
      <c r="H53" s="50" t="str">
        <f aca="false">IF(I53="NA","NA",$E$3+I53)</f>
        <v>NA</v>
      </c>
      <c r="I53" s="52" t="str">
        <f aca="false">IF(G53="NA","NA",G53*$E$6)</f>
        <v>NA</v>
      </c>
    </row>
    <row r="54" customFormat="false" ht="15.75" hidden="false" customHeight="false" outlineLevel="0" collapsed="false">
      <c r="A54" s="46" t="str">
        <f aca="false">'Sovereign Ratings (Moody''s,S&amp;P)'!A47</f>
        <v>Ecuador</v>
      </c>
      <c r="B54" s="47" t="str">
        <f aca="false">VLOOKUP(A54,'Regional lookup table'!$A$2:$B$162,2,FALSE())</f>
        <v>Central and South America</v>
      </c>
      <c r="C54" s="48" t="str">
        <f aca="false">VLOOKUP(A54,'Sovereign Ratings (Moody''s,S&amp;P)'!$A$2:$D$158,4,FALSE())</f>
        <v>Caa3</v>
      </c>
      <c r="D54" s="49" t="n">
        <f aca="false">VLOOKUP(C54,$J$10:$K$32,2,FALSE())/10000</f>
        <v>0.0849996734137763</v>
      </c>
      <c r="E54" s="49" t="n">
        <f aca="false">$E$3+F54</f>
        <v>0.171786643672995</v>
      </c>
      <c r="F54" s="50" t="n">
        <f aca="false">IF($E$5="Yes",D54*$E$6,D54)</f>
        <v>0.129486643672995</v>
      </c>
      <c r="G54" s="51" t="n">
        <f aca="false">VLOOKUP(A54,'10-year CDS Spreads'!$A$2:$D$158,4,FALSE())</f>
        <v>0.0553</v>
      </c>
      <c r="H54" s="50" t="n">
        <f aca="false">IF(I54="NA","NA",$E$3+I54)</f>
        <v>0.12654281067833</v>
      </c>
      <c r="I54" s="52" t="n">
        <f aca="false">IF(G54="NA","NA",G54*$E$6)</f>
        <v>0.0842428106783301</v>
      </c>
    </row>
    <row r="55" customFormat="false" ht="15.75" hidden="false" customHeight="false" outlineLevel="0" collapsed="false">
      <c r="A55" s="46" t="str">
        <f aca="false">'Sovereign Ratings (Moody''s,S&amp;P)'!A48</f>
        <v>Egypt</v>
      </c>
      <c r="B55" s="47" t="str">
        <f aca="false">VLOOKUP(A55,'Regional lookup table'!$A$2:$B$162,2,FALSE())</f>
        <v>Africa</v>
      </c>
      <c r="C55" s="48" t="str">
        <f aca="false">VLOOKUP(A55,'Sovereign Ratings (Moody''s,S&amp;P)'!$A$2:$D$158,4,FALSE())</f>
        <v>Caa1</v>
      </c>
      <c r="D55" s="49" t="n">
        <f aca="false">VLOOKUP(C55,$J$10:$K$32,2,FALSE())/10000</f>
        <v>0.0637247845334774</v>
      </c>
      <c r="E55" s="49" t="n">
        <f aca="false">$E$3+F55</f>
        <v>0.139376943200201</v>
      </c>
      <c r="F55" s="50" t="n">
        <f aca="false">IF($E$5="Yes",D55*$E$6,D55)</f>
        <v>0.097076943200201</v>
      </c>
      <c r="G55" s="51" t="n">
        <f aca="false">VLOOKUP(A55,'10-year CDS Spreads'!$A$2:$D$158,4,FALSE())</f>
        <v>0.0341</v>
      </c>
      <c r="H55" s="50" t="n">
        <f aca="false">IF(I55="NA","NA",$E$3+I55)</f>
        <v>0.0942471942880842</v>
      </c>
      <c r="I55" s="52" t="n">
        <f aca="false">IF(G55="NA","NA",G55*$E$6)</f>
        <v>0.0519471942880842</v>
      </c>
    </row>
    <row r="56" customFormat="false" ht="15.75" hidden="false" customHeight="false" outlineLevel="0" collapsed="false">
      <c r="A56" s="46" t="str">
        <f aca="false">'Sovereign Ratings (Moody''s,S&amp;P)'!A49</f>
        <v>El Salvador</v>
      </c>
      <c r="B56" s="47" t="str">
        <f aca="false">VLOOKUP(A56,'Regional lookup table'!$A$2:$B$162,2,FALSE())</f>
        <v>Central and South America</v>
      </c>
      <c r="C56" s="48" t="str">
        <f aca="false">VLOOKUP(A56,'Sovereign Ratings (Moody''s,S&amp;P)'!$A$2:$D$158,4,FALSE())</f>
        <v>B3</v>
      </c>
      <c r="D56" s="49" t="n">
        <f aca="false">VLOOKUP(C56,$J$10:$K$32,2,FALSE())/10000</f>
        <v>0.0552348054028417</v>
      </c>
      <c r="E56" s="49" t="n">
        <f aca="false">$E$3+F56</f>
        <v>0.12644349465472</v>
      </c>
      <c r="F56" s="50" t="n">
        <f aca="false">IF($E$5="Yes",D56*$E$6,D56)</f>
        <v>0.0841434946547197</v>
      </c>
      <c r="G56" s="51" t="n">
        <f aca="false">VLOOKUP(A56,'10-year CDS Spreads'!$A$2:$D$158,4,FALSE())</f>
        <v>0.0326</v>
      </c>
      <c r="H56" s="50" t="n">
        <f aca="false">IF(I56="NA","NA",$E$3+I56)</f>
        <v>0.0919621270906612</v>
      </c>
      <c r="I56" s="52" t="n">
        <f aca="false">IF(G56="NA","NA",G56*$E$6)</f>
        <v>0.0496621270906612</v>
      </c>
    </row>
    <row r="57" customFormat="false" ht="15.75" hidden="false" customHeight="false" outlineLevel="0" collapsed="false">
      <c r="A57" s="46" t="str">
        <f aca="false">'Sovereign Ratings (Moody''s,S&amp;P)'!A50</f>
        <v>Estonia</v>
      </c>
      <c r="B57" s="47" t="str">
        <f aca="false">VLOOKUP(A57,'Regional lookup table'!$A$2:$B$162,2,FALSE())</f>
        <v>Eastern Europe &amp; Russia</v>
      </c>
      <c r="C57" s="48" t="str">
        <f aca="false">VLOOKUP(A57,'Sovereign Ratings (Moody''s,S&amp;P)'!$A$2:$D$158,4,FALSE())</f>
        <v>A1</v>
      </c>
      <c r="D57" s="49" t="n">
        <f aca="false">VLOOKUP(C57,$J$10:$K$32,2,FALSE())/10000</f>
        <v>0.00599292644515462</v>
      </c>
      <c r="E57" s="49" t="n">
        <f aca="false">$E$3+F57</f>
        <v>0.051429493090928</v>
      </c>
      <c r="F57" s="50" t="n">
        <f aca="false">IF($E$5="Yes",D57*$E$6,D57)</f>
        <v>0.009129493090928</v>
      </c>
      <c r="G57" s="51" t="n">
        <f aca="false">VLOOKUP(A57,'10-year CDS Spreads'!$A$2:$D$158,4,FALSE())</f>
        <v>0.0086</v>
      </c>
      <c r="H57" s="50" t="n">
        <f aca="false">IF(I57="NA","NA",$E$3+I57)</f>
        <v>0.0554010519318922</v>
      </c>
      <c r="I57" s="52" t="n">
        <f aca="false">IF(G57="NA","NA",G57*$E$6)</f>
        <v>0.0131010519318922</v>
      </c>
    </row>
    <row r="58" customFormat="false" ht="15.75" hidden="false" customHeight="false" outlineLevel="0" collapsed="false">
      <c r="A58" s="46" t="str">
        <f aca="false">'Sovereign Ratings (Moody''s,S&amp;P)'!A51</f>
        <v>Ethiopia</v>
      </c>
      <c r="B58" s="47" t="str">
        <f aca="false">VLOOKUP(A58,'Regional lookup table'!$A$2:$B$162,2,FALSE())</f>
        <v>Africa</v>
      </c>
      <c r="C58" s="48" t="str">
        <f aca="false">VLOOKUP(A58,'Sovereign Ratings (Moody''s,S&amp;P)'!$A$2:$D$158,4,FALSE())</f>
        <v>Caa2</v>
      </c>
      <c r="D58" s="49" t="n">
        <f aca="false">VLOOKUP(C58,$J$10:$K$32,2,FALSE())/10000</f>
        <v>0.0765096942831406</v>
      </c>
      <c r="E58" s="49" t="n">
        <f aca="false">$E$3+F58</f>
        <v>0.158853195127514</v>
      </c>
      <c r="F58" s="50" t="n">
        <f aca="false">IF($E$5="Yes",D58*$E$6,D58)</f>
        <v>0.116553195127514</v>
      </c>
      <c r="G58" s="51" t="str">
        <f aca="false">VLOOKUP(A58,'10-year CDS Spreads'!$A$2:$D$158,4,FALSE())</f>
        <v>NA</v>
      </c>
      <c r="H58" s="50" t="str">
        <f aca="false">IF(I58="NA","NA",$E$3+I58)</f>
        <v>NA</v>
      </c>
      <c r="I58" s="52" t="str">
        <f aca="false">IF(G58="NA","NA",G58*$E$6)</f>
        <v>NA</v>
      </c>
    </row>
    <row r="59" customFormat="false" ht="15.75" hidden="false" customHeight="false" outlineLevel="0" collapsed="false">
      <c r="A59" s="46" t="str">
        <f aca="false">'Sovereign Ratings (Moody''s,S&amp;P)'!A52</f>
        <v>Fiji</v>
      </c>
      <c r="B59" s="47" t="str">
        <f aca="false">VLOOKUP(A59,'Regional lookup table'!$A$2:$B$162,2,FALSE())</f>
        <v>Asia</v>
      </c>
      <c r="C59" s="48" t="str">
        <f aca="false">VLOOKUP(A59,'Sovereign Ratings (Moody''s,S&amp;P)'!$A$2:$D$158,4,FALSE())</f>
        <v>B1</v>
      </c>
      <c r="D59" s="49" t="n">
        <f aca="false">VLOOKUP(C59,$J$10:$K$32,2,FALSE())/10000</f>
        <v>0.0382548471415703</v>
      </c>
      <c r="E59" s="49" t="n">
        <f aca="false">$E$3+F59</f>
        <v>0.100576597563757</v>
      </c>
      <c r="F59" s="50" t="n">
        <f aca="false">IF($E$5="Yes",D59*$E$6,D59)</f>
        <v>0.058276597563757</v>
      </c>
      <c r="G59" s="51" t="str">
        <f aca="false">VLOOKUP(A59,'10-year CDS Spreads'!$A$2:$D$158,4,FALSE())</f>
        <v>NA</v>
      </c>
      <c r="H59" s="50" t="str">
        <f aca="false">IF(I59="NA","NA",$E$3+I59)</f>
        <v>NA</v>
      </c>
      <c r="I59" s="52" t="str">
        <f aca="false">IF(G59="NA","NA",G59*$E$6)</f>
        <v>NA</v>
      </c>
    </row>
    <row r="60" customFormat="false" ht="15.75" hidden="false" customHeight="false" outlineLevel="0" collapsed="false">
      <c r="A60" s="46" t="str">
        <f aca="false">'Sovereign Ratings (Moody''s,S&amp;P)'!A53</f>
        <v>Finland</v>
      </c>
      <c r="B60" s="47" t="str">
        <f aca="false">VLOOKUP(A60,'Regional lookup table'!$A$2:$B$162,2,FALSE())</f>
        <v>Western Europe</v>
      </c>
      <c r="C60" s="48" t="str">
        <f aca="false">VLOOKUP(A60,'Sovereign Ratings (Moody''s,S&amp;P)'!$A$2:$D$158,4,FALSE())</f>
        <v>Aa1</v>
      </c>
      <c r="D60" s="49" t="n">
        <f aca="false">VLOOKUP(C60,$J$10:$K$32,2,FALSE())/10000</f>
        <v>0.00233367916999202</v>
      </c>
      <c r="E60" s="49" t="n">
        <f aca="false">$E$3+F60</f>
        <v>0.0458550758137721</v>
      </c>
      <c r="F60" s="50" t="n">
        <f aca="false">IF($E$5="Yes",D60*$E$6,D60)</f>
        <v>0.00355507581377215</v>
      </c>
      <c r="G60" s="51" t="n">
        <f aca="false">VLOOKUP(A60,'10-year CDS Spreads'!$A$2:$D$158,4,FALSE())</f>
        <v>0.0012</v>
      </c>
      <c r="H60" s="50" t="n">
        <f aca="false">IF(I60="NA","NA",$E$3+I60)</f>
        <v>0.0441280537579384</v>
      </c>
      <c r="I60" s="52" t="n">
        <f aca="false">IF(G60="NA","NA",G60*$E$6)</f>
        <v>0.00182805375793845</v>
      </c>
    </row>
    <row r="61" customFormat="false" ht="15.75" hidden="false" customHeight="false" outlineLevel="0" collapsed="false">
      <c r="A61" s="46" t="str">
        <f aca="false">'Sovereign Ratings (Moody''s,S&amp;P)'!A54</f>
        <v>France</v>
      </c>
      <c r="B61" s="47" t="str">
        <f aca="false">VLOOKUP(A61,'Regional lookup table'!$A$2:$B$162,2,FALSE())</f>
        <v>Western Europe</v>
      </c>
      <c r="C61" s="48" t="str">
        <f aca="false">VLOOKUP(A61,'Sovereign Ratings (Moody''s,S&amp;P)'!$A$2:$D$158,4,FALSE())</f>
        <v>Aa3</v>
      </c>
      <c r="D61" s="49" t="n">
        <f aca="false">VLOOKUP(C61,$J$10:$K$32,2,FALSE())/10000</f>
        <v>0.00509398747838143</v>
      </c>
      <c r="E61" s="49" t="n">
        <f aca="false">$E$3+F61</f>
        <v>0.0500600691272888</v>
      </c>
      <c r="F61" s="50" t="n">
        <f aca="false">IF($E$5="Yes",D61*$E$6,D61)</f>
        <v>0.0077600691272888</v>
      </c>
      <c r="G61" s="51" t="n">
        <f aca="false">VLOOKUP(A61,'10-year CDS Spreads'!$A$2:$D$158,4,FALSE())</f>
        <v>0.005</v>
      </c>
      <c r="H61" s="50" t="n">
        <f aca="false">IF(I61="NA","NA",$E$3+I61)</f>
        <v>0.0499168906580769</v>
      </c>
      <c r="I61" s="52" t="n">
        <f aca="false">IF(G61="NA","NA",G61*$E$6)</f>
        <v>0.00761689065807686</v>
      </c>
    </row>
    <row r="62" customFormat="false" ht="15.75" hidden="false" customHeight="false" outlineLevel="0" collapsed="false">
      <c r="A62" s="46" t="str">
        <f aca="false">'Sovereign Ratings (Moody''s,S&amp;P)'!A55</f>
        <v>Gabon</v>
      </c>
      <c r="B62" s="47" t="str">
        <f aca="false">VLOOKUP(A62,'Regional lookup table'!$A$2:$B$162,2,FALSE())</f>
        <v>Africa</v>
      </c>
      <c r="C62" s="48" t="str">
        <f aca="false">VLOOKUP(A62,'Sovereign Ratings (Moody''s,S&amp;P)'!$A$2:$D$158,4,FALSE())</f>
        <v>Caa2</v>
      </c>
      <c r="D62" s="49" t="n">
        <f aca="false">VLOOKUP(C62,$J$10:$K$32,2,FALSE())/10000</f>
        <v>0.0765096942831406</v>
      </c>
      <c r="E62" s="49" t="n">
        <f aca="false">$E$3+F62</f>
        <v>0.158853195127514</v>
      </c>
      <c r="F62" s="50" t="n">
        <f aca="false">IF($E$5="Yes",D62*$E$6,D62)</f>
        <v>0.116553195127514</v>
      </c>
      <c r="G62" s="51" t="str">
        <f aca="false">VLOOKUP(A62,'10-year CDS Spreads'!$A$2:$D$158,4,FALSE())</f>
        <v>NA</v>
      </c>
      <c r="H62" s="50" t="str">
        <f aca="false">IF(I62="NA","NA",$E$3+I62)</f>
        <v>NA</v>
      </c>
      <c r="I62" s="52" t="str">
        <f aca="false">IF(G62="NA","NA",G62*$E$6)</f>
        <v>NA</v>
      </c>
    </row>
    <row r="63" customFormat="false" ht="15.75" hidden="false" customHeight="false" outlineLevel="0" collapsed="false">
      <c r="A63" s="46" t="str">
        <f aca="false">'Sovereign Ratings (Moody''s,S&amp;P)'!A56</f>
        <v>Georgia</v>
      </c>
      <c r="B63" s="47" t="str">
        <f aca="false">VLOOKUP(A63,'Regional lookup table'!$A$2:$B$162,2,FALSE())</f>
        <v>Eastern Europe &amp; Russia</v>
      </c>
      <c r="C63" s="48" t="str">
        <f aca="false">VLOOKUP(A63,'Sovereign Ratings (Moody''s,S&amp;P)'!$A$2:$D$158,4,FALSE())</f>
        <v>Ba2</v>
      </c>
      <c r="D63" s="49" t="n">
        <f aca="false">VLOOKUP(C63,$J$10:$K$32,2,FALSE())/10000</f>
        <v>0.0255698194993264</v>
      </c>
      <c r="E63" s="49" t="n">
        <f aca="false">$E$3+F63</f>
        <v>0.0812525038546261</v>
      </c>
      <c r="F63" s="50" t="n">
        <f aca="false">IF($E$5="Yes",D63*$E$6,D63)</f>
        <v>0.0389525038546261</v>
      </c>
      <c r="G63" s="51" t="str">
        <f aca="false">VLOOKUP(A63,'10-year CDS Spreads'!$A$2:$D$158,4,FALSE())</f>
        <v>NA</v>
      </c>
      <c r="H63" s="50" t="str">
        <f aca="false">IF(I63="NA","NA",$E$3+I63)</f>
        <v>NA</v>
      </c>
      <c r="I63" s="52" t="str">
        <f aca="false">IF(G63="NA","NA",G63*$E$6)</f>
        <v>NA</v>
      </c>
    </row>
    <row r="64" customFormat="false" ht="15.75" hidden="false" customHeight="false" outlineLevel="0" collapsed="false">
      <c r="A64" s="46" t="str">
        <f aca="false">'Sovereign Ratings (Moody''s,S&amp;P)'!A57</f>
        <v>Germany</v>
      </c>
      <c r="B64" s="47" t="str">
        <f aca="false">VLOOKUP(A64,'Regional lookup table'!$A$2:$B$162,2,FALSE())</f>
        <v>Western Europe</v>
      </c>
      <c r="C64" s="48" t="str">
        <f aca="false">VLOOKUP(A64,'Sovereign Ratings (Moody''s,S&amp;P)'!$A$2:$D$158,4,FALSE())</f>
        <v>Aaa</v>
      </c>
      <c r="D64" s="49" t="n">
        <f aca="false">VLOOKUP(C64,$J$10:$K$32,2,FALSE())/10000</f>
        <v>0</v>
      </c>
      <c r="E64" s="49" t="n">
        <f aca="false">$E$3+F64</f>
        <v>0.0423</v>
      </c>
      <c r="F64" s="50" t="n">
        <f aca="false">IF($E$5="Yes",D64*$E$6,D64)</f>
        <v>0</v>
      </c>
      <c r="G64" s="51" t="n">
        <f aca="false">VLOOKUP(A64,'10-year CDS Spreads'!$A$2:$D$158,4,FALSE())</f>
        <v>0.0007</v>
      </c>
      <c r="H64" s="50" t="n">
        <f aca="false">IF(I64="NA","NA",$E$3+I64)</f>
        <v>0.0433663646921308</v>
      </c>
      <c r="I64" s="52" t="n">
        <f aca="false">IF(G64="NA","NA",G64*$E$6)</f>
        <v>0.00106636469213076</v>
      </c>
    </row>
    <row r="65" customFormat="false" ht="15.75" hidden="false" customHeight="false" outlineLevel="0" collapsed="false">
      <c r="A65" s="46" t="str">
        <f aca="false">'Sovereign Ratings (Moody''s,S&amp;P)'!A58</f>
        <v>Ghana</v>
      </c>
      <c r="B65" s="47" t="str">
        <f aca="false">VLOOKUP(A65,'Regional lookup table'!$A$2:$B$162,2,FALSE())</f>
        <v>Africa</v>
      </c>
      <c r="C65" s="48" t="str">
        <f aca="false">VLOOKUP(A65,'Sovereign Ratings (Moody''s,S&amp;P)'!$A$2:$D$158,4,FALSE())</f>
        <v>Caa1</v>
      </c>
      <c r="D65" s="49" t="n">
        <f aca="false">VLOOKUP(C65,$J$10:$K$32,2,FALSE())/10000</f>
        <v>0.0637247845334774</v>
      </c>
      <c r="E65" s="49" t="n">
        <f aca="false">$E$3+F65</f>
        <v>0.139376943200201</v>
      </c>
      <c r="F65" s="50" t="n">
        <f aca="false">IF($E$5="Yes",D65*$E$6,D65)</f>
        <v>0.097076943200201</v>
      </c>
      <c r="G65" s="51" t="str">
        <f aca="false">VLOOKUP(A65,'10-year CDS Spreads'!$A$2:$D$158,4,FALSE())</f>
        <v>NA</v>
      </c>
      <c r="H65" s="50" t="str">
        <f aca="false">IF(I65="NA","NA",$E$3+I65)</f>
        <v>NA</v>
      </c>
      <c r="I65" s="52" t="str">
        <f aca="false">IF(G65="NA","NA",G65*$E$6)</f>
        <v>NA</v>
      </c>
    </row>
    <row r="66" customFormat="false" ht="15.75" hidden="false" customHeight="false" outlineLevel="0" collapsed="false">
      <c r="A66" s="46" t="str">
        <f aca="false">'Sovereign Ratings (Moody''s,S&amp;P)'!A59</f>
        <v>Greece</v>
      </c>
      <c r="B66" s="47" t="str">
        <f aca="false">VLOOKUP(A66,'Regional lookup table'!$A$2:$B$162,2,FALSE())</f>
        <v>Western Europe</v>
      </c>
      <c r="C66" s="48" t="str">
        <f aca="false">VLOOKUP(A66,'Sovereign Ratings (Moody''s,S&amp;P)'!$A$2:$D$158,4,FALSE())</f>
        <v>Baa3</v>
      </c>
      <c r="D66" s="49" t="n">
        <f aca="false">VLOOKUP(C66,$J$10:$K$32,2,FALSE())/10000</f>
        <v>0.0186779540873986</v>
      </c>
      <c r="E66" s="49" t="n">
        <f aca="false">$E$3+F66</f>
        <v>0.0707535868000589</v>
      </c>
      <c r="F66" s="50" t="n">
        <f aca="false">IF($E$5="Yes",D66*$E$6,D66)</f>
        <v>0.0284535868000589</v>
      </c>
      <c r="G66" s="51" t="n">
        <f aca="false">VLOOKUP(A66,'10-year CDS Spreads'!$A$2:$D$158,4,FALSE())</f>
        <v>0.0061</v>
      </c>
      <c r="H66" s="50" t="n">
        <f aca="false">IF(I66="NA","NA",$E$3+I66)</f>
        <v>0.0515926066028538</v>
      </c>
      <c r="I66" s="52" t="n">
        <f aca="false">IF(G66="NA","NA",G66*$E$6)</f>
        <v>0.00929260660285377</v>
      </c>
    </row>
    <row r="67" customFormat="false" ht="15.75" hidden="false" customHeight="false" outlineLevel="0" collapsed="false">
      <c r="A67" s="46" t="str">
        <f aca="false">'Sovereign Ratings (Moody''s,S&amp;P)'!A60</f>
        <v>Guatemala</v>
      </c>
      <c r="B67" s="47" t="str">
        <f aca="false">VLOOKUP(A67,'Regional lookup table'!$A$2:$B$162,2,FALSE())</f>
        <v>Central and South America</v>
      </c>
      <c r="C67" s="48" t="str">
        <f aca="false">VLOOKUP(A67,'Sovereign Ratings (Moody''s,S&amp;P)'!$A$2:$D$158,4,FALSE())</f>
        <v>Ba1</v>
      </c>
      <c r="D67" s="49" t="n">
        <f aca="false">VLOOKUP(C67,$J$10:$K$32,2,FALSE())/10000</f>
        <v>0.0212748888802989</v>
      </c>
      <c r="E67" s="49" t="n">
        <f aca="false">$E$3+F67</f>
        <v>0.0747097004727944</v>
      </c>
      <c r="F67" s="50" t="n">
        <f aca="false">IF($E$5="Yes",D67*$E$6,D67)</f>
        <v>0.0324097004727944</v>
      </c>
      <c r="G67" s="51" t="str">
        <f aca="false">VLOOKUP(A67,'10-year CDS Spreads'!$A$2:$D$158,4,FALSE())</f>
        <v>NA</v>
      </c>
      <c r="H67" s="50" t="str">
        <f aca="false">IF(I67="NA","NA",$E$3+I67)</f>
        <v>NA</v>
      </c>
      <c r="I67" s="52" t="str">
        <f aca="false">IF(G67="NA","NA",G67*$E$6)</f>
        <v>NA</v>
      </c>
    </row>
    <row r="68" customFormat="false" ht="15.75" hidden="false" customHeight="false" outlineLevel="0" collapsed="false">
      <c r="A68" s="46" t="str">
        <f aca="false">'Sovereign Ratings (Moody''s,S&amp;P)'!A61</f>
        <v>Guernsey (States of)</v>
      </c>
      <c r="B68" s="47" t="str">
        <f aca="false">VLOOKUP(A68,'Regional lookup table'!$A$2:$B$162,2,FALSE())</f>
        <v>Western Europe</v>
      </c>
      <c r="C68" s="48" t="str">
        <f aca="false">VLOOKUP(A68,'Sovereign Ratings (Moody''s,S&amp;P)'!$A$2:$D$158,4,FALSE())</f>
        <v>A1</v>
      </c>
      <c r="D68" s="49" t="n">
        <f aca="false">VLOOKUP(C68,$J$10:$K$32,2,FALSE())/10000</f>
        <v>0.00599292644515462</v>
      </c>
      <c r="E68" s="49" t="n">
        <f aca="false">$E$3+F68</f>
        <v>0.051429493090928</v>
      </c>
      <c r="F68" s="50" t="n">
        <f aca="false">IF($E$5="Yes",D68*$E$6,D68)</f>
        <v>0.009129493090928</v>
      </c>
      <c r="G68" s="51" t="str">
        <f aca="false">VLOOKUP(A68,'10-year CDS Spreads'!$A$2:$D$158,4,FALSE())</f>
        <v>NA</v>
      </c>
      <c r="H68" s="50" t="str">
        <f aca="false">IF(I68="NA","NA",$E$3+I68)</f>
        <v>NA</v>
      </c>
      <c r="I68" s="52" t="str">
        <f aca="false">IF(G68="NA","NA",G68*$E$6)</f>
        <v>NA</v>
      </c>
    </row>
    <row r="69" customFormat="false" ht="15.75" hidden="false" customHeight="false" outlineLevel="0" collapsed="false">
      <c r="A69" s="46" t="str">
        <f aca="false">'Sovereign Ratings (Moody''s,S&amp;P)'!A62</f>
        <v>Honduras</v>
      </c>
      <c r="B69" s="47" t="str">
        <f aca="false">VLOOKUP(A69,'Regional lookup table'!$A$2:$B$162,2,FALSE())</f>
        <v>Central and South America</v>
      </c>
      <c r="C69" s="48" t="str">
        <f aca="false">VLOOKUP(A69,'Sovereign Ratings (Moody''s,S&amp;P)'!$A$2:$D$158,4,FALSE())</f>
        <v>B1</v>
      </c>
      <c r="D69" s="49" t="n">
        <f aca="false">VLOOKUP(C69,$J$10:$K$32,2,FALSE())/10000</f>
        <v>0.0382548471415703</v>
      </c>
      <c r="E69" s="49" t="n">
        <f aca="false">$E$3+F69</f>
        <v>0.100576597563757</v>
      </c>
      <c r="F69" s="50" t="n">
        <f aca="false">IF($E$5="Yes",D69*$E$6,D69)</f>
        <v>0.058276597563757</v>
      </c>
      <c r="G69" s="51" t="str">
        <f aca="false">VLOOKUP(A69,'10-year CDS Spreads'!$A$2:$D$158,4,FALSE())</f>
        <v>NA</v>
      </c>
      <c r="H69" s="50" t="str">
        <f aca="false">IF(I69="NA","NA",$E$3+I69)</f>
        <v>NA</v>
      </c>
      <c r="I69" s="52" t="str">
        <f aca="false">IF(G69="NA","NA",G69*$E$6)</f>
        <v>NA</v>
      </c>
    </row>
    <row r="70" customFormat="false" ht="15.75" hidden="false" customHeight="false" outlineLevel="0" collapsed="false">
      <c r="A70" s="46" t="str">
        <f aca="false">'Sovereign Ratings (Moody''s,S&amp;P)'!A63</f>
        <v>Hong Kong</v>
      </c>
      <c r="B70" s="47" t="str">
        <f aca="false">VLOOKUP(A70,'Regional lookup table'!$A$2:$B$162,2,FALSE())</f>
        <v>Asia</v>
      </c>
      <c r="C70" s="48" t="str">
        <f aca="false">VLOOKUP(A70,'Sovereign Ratings (Moody''s,S&amp;P)'!$A$2:$D$158,4,FALSE())</f>
        <v>Aa3</v>
      </c>
      <c r="D70" s="49" t="n">
        <f aca="false">VLOOKUP(C70,$J$10:$K$32,2,FALSE())/10000</f>
        <v>0.00509398747838143</v>
      </c>
      <c r="E70" s="49" t="n">
        <f aca="false">$E$3+F70</f>
        <v>0.0500600691272888</v>
      </c>
      <c r="F70" s="50" t="n">
        <f aca="false">IF($E$5="Yes",D70*$E$6,D70)</f>
        <v>0.0077600691272888</v>
      </c>
      <c r="G70" s="51" t="n">
        <f aca="false">VLOOKUP(A70,'10-year CDS Spreads'!$A$2:$D$158,4,FALSE())</f>
        <v>0.003</v>
      </c>
      <c r="H70" s="50" t="n">
        <f aca="false">IF(I70="NA","NA",$E$3+I70)</f>
        <v>0.0468701343948461</v>
      </c>
      <c r="I70" s="52" t="n">
        <f aca="false">IF(G70="NA","NA",G70*$E$6)</f>
        <v>0.00457013439484612</v>
      </c>
    </row>
    <row r="71" customFormat="false" ht="15.75" hidden="false" customHeight="false" outlineLevel="0" collapsed="false">
      <c r="A71" s="46" t="str">
        <f aca="false">'Sovereign Ratings (Moody''s,S&amp;P)'!A64</f>
        <v>Hungary</v>
      </c>
      <c r="B71" s="47" t="str">
        <f aca="false">VLOOKUP(A71,'Regional lookup table'!$A$2:$B$162,2,FALSE())</f>
        <v>Eastern Europe &amp; Russia</v>
      </c>
      <c r="C71" s="48" t="str">
        <f aca="false">VLOOKUP(A71,'Sovereign Ratings (Moody''s,S&amp;P)'!$A$2:$D$158,4,FALSE())</f>
        <v>Baa2</v>
      </c>
      <c r="D71" s="49" t="n">
        <f aca="false">VLOOKUP(C71,$J$10:$K$32,2,FALSE())/10000</f>
        <v>0.0161809014019175</v>
      </c>
      <c r="E71" s="49" t="n">
        <f aca="false">$E$3+F71</f>
        <v>0.0669496313455056</v>
      </c>
      <c r="F71" s="50" t="n">
        <f aca="false">IF($E$5="Yes",D71*$E$6,D71)</f>
        <v>0.0246496313455056</v>
      </c>
      <c r="G71" s="51" t="n">
        <f aca="false">VLOOKUP(A71,'10-year CDS Spreads'!$A$2:$D$158,4,FALSE())</f>
        <v>0.0146</v>
      </c>
      <c r="H71" s="50" t="n">
        <f aca="false">IF(I71="NA","NA",$E$3+I71)</f>
        <v>0.0645413207215844</v>
      </c>
      <c r="I71" s="52" t="n">
        <f aca="false">IF(G71="NA","NA",G71*$E$6)</f>
        <v>0.0222413207215844</v>
      </c>
    </row>
    <row r="72" customFormat="false" ht="15.75" hidden="false" customHeight="false" outlineLevel="0" collapsed="false">
      <c r="A72" s="46" t="str">
        <f aca="false">'Sovereign Ratings (Moody''s,S&amp;P)'!A65</f>
        <v>Iceland</v>
      </c>
      <c r="B72" s="47" t="str">
        <f aca="false">VLOOKUP(A72,'Regional lookup table'!$A$2:$B$162,2,FALSE())</f>
        <v>Western Europe</v>
      </c>
      <c r="C72" s="48" t="str">
        <f aca="false">VLOOKUP(A72,'Sovereign Ratings (Moody''s,S&amp;P)'!$A$2:$D$158,4,FALSE())</f>
        <v>A1</v>
      </c>
      <c r="D72" s="49" t="n">
        <f aca="false">VLOOKUP(C72,$J$10:$K$32,2,FALSE())/10000</f>
        <v>0.00599292644515462</v>
      </c>
      <c r="E72" s="49" t="n">
        <f aca="false">$E$3+F72</f>
        <v>0.051429493090928</v>
      </c>
      <c r="F72" s="50" t="n">
        <f aca="false">IF($E$5="Yes",D72*$E$6,D72)</f>
        <v>0.009129493090928</v>
      </c>
      <c r="G72" s="51" t="n">
        <f aca="false">VLOOKUP(A72,'10-year CDS Spreads'!$A$2:$D$158,4,FALSE())</f>
        <v>0.0031</v>
      </c>
      <c r="H72" s="50" t="n">
        <f aca="false">IF(I72="NA","NA",$E$3+I72)</f>
        <v>0.0470224722080077</v>
      </c>
      <c r="I72" s="52" t="n">
        <f aca="false">IF(G72="NA","NA",G72*$E$6)</f>
        <v>0.00472247220800765</v>
      </c>
    </row>
    <row r="73" customFormat="false" ht="15.75" hidden="false" customHeight="false" outlineLevel="0" collapsed="false">
      <c r="A73" s="46" t="str">
        <f aca="false">'Sovereign Ratings (Moody''s,S&amp;P)'!A66</f>
        <v>India</v>
      </c>
      <c r="B73" s="47" t="str">
        <f aca="false">VLOOKUP(A73,'Regional lookup table'!$A$2:$B$162,2,FALSE())</f>
        <v>Asia</v>
      </c>
      <c r="C73" s="48" t="str">
        <f aca="false">VLOOKUP(A73,'Sovereign Ratings (Moody''s,S&amp;P)'!$A$2:$D$158,4,FALSE())</f>
        <v>Baa3</v>
      </c>
      <c r="D73" s="49" t="n">
        <f aca="false">VLOOKUP(C73,$J$10:$K$32,2,FALSE())/10000</f>
        <v>0.0186779540873986</v>
      </c>
      <c r="E73" s="49" t="n">
        <f aca="false">$E$3+F73</f>
        <v>0.0707535868000589</v>
      </c>
      <c r="F73" s="50" t="n">
        <f aca="false">IF($E$5="Yes",D73*$E$6,D73)</f>
        <v>0.0284535868000589</v>
      </c>
      <c r="G73" s="51" t="n">
        <f aca="false">VLOOKUP(A73,'10-year CDS Spreads'!$A$2:$D$158,4,FALSE())</f>
        <v>0.0066</v>
      </c>
      <c r="H73" s="50" t="n">
        <f aca="false">IF(I73="NA","NA",$E$3+I73)</f>
        <v>0.0523542956686615</v>
      </c>
      <c r="I73" s="52" t="n">
        <f aca="false">IF(G73="NA","NA",G73*$E$6)</f>
        <v>0.0100542956686615</v>
      </c>
    </row>
    <row r="74" customFormat="false" ht="15.75" hidden="false" customHeight="false" outlineLevel="0" collapsed="false">
      <c r="A74" s="46" t="str">
        <f aca="false">'Sovereign Ratings (Moody''s,S&amp;P)'!A67</f>
        <v>Indonesia</v>
      </c>
      <c r="B74" s="47" t="str">
        <f aca="false">VLOOKUP(A74,'Regional lookup table'!$A$2:$B$162,2,FALSE())</f>
        <v>Asia</v>
      </c>
      <c r="C74" s="48" t="str">
        <f aca="false">VLOOKUP(A74,'Sovereign Ratings (Moody''s,S&amp;P)'!$A$2:$D$158,4,FALSE())</f>
        <v>Baa2</v>
      </c>
      <c r="D74" s="49" t="n">
        <f aca="false">VLOOKUP(C74,$J$10:$K$32,2,FALSE())/10000</f>
        <v>0.0161809014019175</v>
      </c>
      <c r="E74" s="49" t="n">
        <f aca="false">$E$3+F74</f>
        <v>0.0669496313455056</v>
      </c>
      <c r="F74" s="50" t="n">
        <f aca="false">IF($E$5="Yes",D74*$E$6,D74)</f>
        <v>0.0246496313455056</v>
      </c>
      <c r="G74" s="51" t="n">
        <f aca="false">VLOOKUP(A74,'10-year CDS Spreads'!$A$2:$D$158,4,FALSE())</f>
        <v>0.0105</v>
      </c>
      <c r="H74" s="50" t="n">
        <f aca="false">IF(I74="NA","NA",$E$3+I74)</f>
        <v>0.0582954703819614</v>
      </c>
      <c r="I74" s="52" t="n">
        <f aca="false">IF(G74="NA","NA",G74*$E$6)</f>
        <v>0.0159954703819614</v>
      </c>
    </row>
    <row r="75" customFormat="false" ht="15.75" hidden="false" customHeight="false" outlineLevel="0" collapsed="false">
      <c r="A75" s="46" t="str">
        <f aca="false">'Sovereign Ratings (Moody''s,S&amp;P)'!A68</f>
        <v>Iraq</v>
      </c>
      <c r="B75" s="47" t="str">
        <f aca="false">VLOOKUP(A75,'Regional lookup table'!$A$2:$B$162,2,FALSE())</f>
        <v>Middle East</v>
      </c>
      <c r="C75" s="48" t="str">
        <f aca="false">VLOOKUP(A75,'Sovereign Ratings (Moody''s,S&amp;P)'!$A$2:$D$158,4,FALSE())</f>
        <v>Caa1</v>
      </c>
      <c r="D75" s="49" t="n">
        <f aca="false">VLOOKUP(C75,$J$10:$K$32,2,FALSE())/10000</f>
        <v>0.0637247845334774</v>
      </c>
      <c r="E75" s="49" t="n">
        <f aca="false">$E$3+F75</f>
        <v>0.139376943200201</v>
      </c>
      <c r="F75" s="50" t="n">
        <f aca="false">IF($E$5="Yes",D75*$E$6,D75)</f>
        <v>0.097076943200201</v>
      </c>
      <c r="G75" s="51" t="n">
        <f aca="false">VLOOKUP(A75,'10-year CDS Spreads'!$A$2:$D$158,4,FALSE())</f>
        <v>0.0275</v>
      </c>
      <c r="H75" s="50" t="n">
        <f aca="false">IF(I75="NA","NA",$E$3+I75)</f>
        <v>0.0841928986194227</v>
      </c>
      <c r="I75" s="52" t="n">
        <f aca="false">IF(G75="NA","NA",G75*$E$6)</f>
        <v>0.0418928986194227</v>
      </c>
    </row>
    <row r="76" customFormat="false" ht="15.75" hidden="false" customHeight="false" outlineLevel="0" collapsed="false">
      <c r="A76" s="46" t="str">
        <f aca="false">'Sovereign Ratings (Moody''s,S&amp;P)'!A69</f>
        <v>Ireland</v>
      </c>
      <c r="B76" s="47" t="str">
        <f aca="false">VLOOKUP(A76,'Regional lookup table'!$A$2:$B$162,2,FALSE())</f>
        <v>Western Europe</v>
      </c>
      <c r="C76" s="48" t="str">
        <f aca="false">VLOOKUP(A76,'Sovereign Ratings (Moody''s,S&amp;P)'!$A$2:$D$158,4,FALSE())</f>
        <v>Aa3</v>
      </c>
      <c r="D76" s="49" t="n">
        <f aca="false">VLOOKUP(C76,$J$10:$K$32,2,FALSE())/10000</f>
        <v>0.00509398747838143</v>
      </c>
      <c r="E76" s="49" t="n">
        <f aca="false">$E$3+F76</f>
        <v>0.0500600691272888</v>
      </c>
      <c r="F76" s="50" t="n">
        <f aca="false">IF($E$5="Yes",D76*$E$6,D76)</f>
        <v>0.0077600691272888</v>
      </c>
      <c r="G76" s="51" t="n">
        <f aca="false">VLOOKUP(A76,'10-year CDS Spreads'!$A$2:$D$158,4,FALSE())</f>
        <v>0.002</v>
      </c>
      <c r="H76" s="50" t="n">
        <f aca="false">IF(I76="NA","NA",$E$3+I76)</f>
        <v>0.0453467562632307</v>
      </c>
      <c r="I76" s="52" t="n">
        <f aca="false">IF(G76="NA","NA",G76*$E$6)</f>
        <v>0.00304675626323074</v>
      </c>
    </row>
    <row r="77" customFormat="false" ht="15.75" hidden="false" customHeight="false" outlineLevel="0" collapsed="false">
      <c r="A77" s="46" t="str">
        <f aca="false">'Sovereign Ratings (Moody''s,S&amp;P)'!A70</f>
        <v>Isle of Man</v>
      </c>
      <c r="B77" s="47" t="str">
        <f aca="false">VLOOKUP(A77,'Regional lookup table'!$A$2:$B$162,2,FALSE())</f>
        <v>Western Europe</v>
      </c>
      <c r="C77" s="48" t="str">
        <f aca="false">VLOOKUP(A77,'Sovereign Ratings (Moody''s,S&amp;P)'!$A$2:$D$158,4,FALSE())</f>
        <v>Aa3</v>
      </c>
      <c r="D77" s="49" t="n">
        <f aca="false">VLOOKUP(C77,$J$10:$K$32,2,FALSE())/10000</f>
        <v>0.00509398747838143</v>
      </c>
      <c r="E77" s="49" t="n">
        <f aca="false">$E$3+F77</f>
        <v>0.0500600691272888</v>
      </c>
      <c r="F77" s="50" t="n">
        <f aca="false">IF($E$5="Yes",D77*$E$6,D77)</f>
        <v>0.0077600691272888</v>
      </c>
      <c r="G77" s="51" t="str">
        <f aca="false">VLOOKUP(A77,'10-year CDS Spreads'!$A$2:$D$158,4,FALSE())</f>
        <v>NA</v>
      </c>
      <c r="H77" s="50" t="str">
        <f aca="false">IF(I77="NA","NA",$E$3+I77)</f>
        <v>NA</v>
      </c>
      <c r="I77" s="52" t="str">
        <f aca="false">IF(G77="NA","NA",G77*$E$6)</f>
        <v>NA</v>
      </c>
    </row>
    <row r="78" customFormat="false" ht="15.75" hidden="false" customHeight="false" outlineLevel="0" collapsed="false">
      <c r="A78" s="46" t="str">
        <f aca="false">'Sovereign Ratings (Moody''s,S&amp;P)'!A71</f>
        <v>Israel</v>
      </c>
      <c r="B78" s="47" t="str">
        <f aca="false">VLOOKUP(A78,'Regional lookup table'!$A$2:$B$162,2,FALSE())</f>
        <v>Middle East</v>
      </c>
      <c r="C78" s="48" t="str">
        <f aca="false">VLOOKUP(A78,'Sovereign Ratings (Moody''s,S&amp;P)'!$A$2:$D$158,4,FALSE())</f>
        <v>Baa1</v>
      </c>
      <c r="D78" s="49" t="n">
        <f aca="false">VLOOKUP(C78,$J$10:$K$32,2,FALSE())/10000</f>
        <v>0.0135839666090171</v>
      </c>
      <c r="E78" s="49" t="n">
        <f aca="false">$E$3+F78</f>
        <v>0.0629935176727701</v>
      </c>
      <c r="F78" s="50" t="n">
        <f aca="false">IF($E$5="Yes",D78*$E$6,D78)</f>
        <v>0.0206935176727701</v>
      </c>
      <c r="G78" s="51" t="n">
        <f aca="false">VLOOKUP(A78,'10-year CDS Spreads'!$A$2:$D$158,4,FALSE())</f>
        <v>0.0099</v>
      </c>
      <c r="H78" s="50" t="n">
        <f aca="false">IF(I78="NA","NA",$E$3+I78)</f>
        <v>0.0573814435029922</v>
      </c>
      <c r="I78" s="52" t="n">
        <f aca="false">IF(G78="NA","NA",G78*$E$6)</f>
        <v>0.0150814435029922</v>
      </c>
    </row>
    <row r="79" customFormat="false" ht="15.75" hidden="false" customHeight="false" outlineLevel="0" collapsed="false">
      <c r="A79" s="46" t="str">
        <f aca="false">'Sovereign Ratings (Moody''s,S&amp;P)'!A72</f>
        <v>Italy</v>
      </c>
      <c r="B79" s="47" t="str">
        <f aca="false">VLOOKUP(A79,'Regional lookup table'!$A$2:$B$162,2,FALSE())</f>
        <v>Western Europe</v>
      </c>
      <c r="C79" s="48" t="str">
        <f aca="false">VLOOKUP(A79,'Sovereign Ratings (Moody''s,S&amp;P)'!$A$2:$D$158,4,FALSE())</f>
        <v>Baa2</v>
      </c>
      <c r="D79" s="49" t="n">
        <f aca="false">VLOOKUP(C79,$J$10:$K$32,2,FALSE())/10000</f>
        <v>0.0161809014019175</v>
      </c>
      <c r="E79" s="49" t="n">
        <f aca="false">$E$3+F79</f>
        <v>0.0669496313455056</v>
      </c>
      <c r="F79" s="50" t="n">
        <f aca="false">IF($E$5="Yes",D79*$E$6,D79)</f>
        <v>0.0246496313455056</v>
      </c>
      <c r="G79" s="51" t="n">
        <f aca="false">VLOOKUP(A79,'10-year CDS Spreads'!$A$2:$D$158,4,FALSE())</f>
        <v>0.0047</v>
      </c>
      <c r="H79" s="50" t="n">
        <f aca="false">IF(I79="NA","NA",$E$3+I79)</f>
        <v>0.0494598772185922</v>
      </c>
      <c r="I79" s="52" t="n">
        <f aca="false">IF(G79="NA","NA",G79*$E$6)</f>
        <v>0.00715987721859225</v>
      </c>
    </row>
    <row r="80" customFormat="false" ht="15.75" hidden="false" customHeight="false" outlineLevel="0" collapsed="false">
      <c r="A80" s="46" t="str">
        <f aca="false">'Sovereign Ratings (Moody''s,S&amp;P)'!A73</f>
        <v>Jamaica</v>
      </c>
      <c r="B80" s="47" t="str">
        <f aca="false">VLOOKUP(A80,'Regional lookup table'!$A$2:$B$162,2,FALSE())</f>
        <v>Caribbean</v>
      </c>
      <c r="C80" s="48" t="str">
        <f aca="false">VLOOKUP(A80,'Sovereign Ratings (Moody''s,S&amp;P)'!$A$2:$D$158,4,FALSE())</f>
        <v>Ba3</v>
      </c>
      <c r="D80" s="49" t="n">
        <f aca="false">VLOOKUP(C80,$J$10:$K$32,2,FALSE())/10000</f>
        <v>0.0305639248702886</v>
      </c>
      <c r="E80" s="49" t="n">
        <f aca="false">$E$3+F80</f>
        <v>0.0888604147637328</v>
      </c>
      <c r="F80" s="50" t="n">
        <f aca="false">IF($E$5="Yes",D80*$E$6,D80)</f>
        <v>0.0465604147637328</v>
      </c>
      <c r="G80" s="51" t="str">
        <f aca="false">VLOOKUP(A80,'10-year CDS Spreads'!$A$2:$D$158,4,FALSE())</f>
        <v>NA</v>
      </c>
      <c r="H80" s="50" t="str">
        <f aca="false">IF(I80="NA","NA",$E$3+I80)</f>
        <v>NA</v>
      </c>
      <c r="I80" s="52" t="str">
        <f aca="false">IF(G80="NA","NA",G80*$E$6)</f>
        <v>NA</v>
      </c>
    </row>
    <row r="81" customFormat="false" ht="15.75" hidden="false" customHeight="false" outlineLevel="0" collapsed="false">
      <c r="A81" s="46" t="str">
        <f aca="false">'Sovereign Ratings (Moody''s,S&amp;P)'!A74</f>
        <v>Japan</v>
      </c>
      <c r="B81" s="47" t="str">
        <f aca="false">VLOOKUP(A81,'Regional lookup table'!$A$2:$B$162,2,FALSE())</f>
        <v>Asia</v>
      </c>
      <c r="C81" s="48" t="str">
        <f aca="false">VLOOKUP(A81,'Sovereign Ratings (Moody''s,S&amp;P)'!$A$2:$D$158,4,FALSE())</f>
        <v>A1</v>
      </c>
      <c r="D81" s="49" t="n">
        <f aca="false">VLOOKUP(C81,$J$10:$K$32,2,FALSE())/10000</f>
        <v>0.00599292644515462</v>
      </c>
      <c r="E81" s="49" t="n">
        <f aca="false">$E$3+F81</f>
        <v>0.051429493090928</v>
      </c>
      <c r="F81" s="50" t="n">
        <f aca="false">IF($E$5="Yes",D81*$E$6,D81)</f>
        <v>0.009129493090928</v>
      </c>
      <c r="G81" s="51" t="n">
        <f aca="false">VLOOKUP(A81,'10-year CDS Spreads'!$A$2:$D$158,4,FALSE())</f>
        <v>0.003</v>
      </c>
      <c r="H81" s="50" t="n">
        <f aca="false">IF(I81="NA","NA",$E$3+I81)</f>
        <v>0.0468701343948461</v>
      </c>
      <c r="I81" s="52" t="n">
        <f aca="false">IF(G81="NA","NA",G81*$E$6)</f>
        <v>0.00457013439484612</v>
      </c>
    </row>
    <row r="82" customFormat="false" ht="15.75" hidden="false" customHeight="false" outlineLevel="0" collapsed="false">
      <c r="A82" s="46" t="str">
        <f aca="false">'Sovereign Ratings (Moody''s,S&amp;P)'!A75</f>
        <v>Jersey (States of)</v>
      </c>
      <c r="B82" s="47" t="str">
        <f aca="false">VLOOKUP(A82,'Regional lookup table'!$A$2:$B$162,2,FALSE())</f>
        <v>Western Europe</v>
      </c>
      <c r="C82" s="48" t="str">
        <f aca="false">VLOOKUP(A82,'Sovereign Ratings (Moody''s,S&amp;P)'!$A$2:$D$158,4,FALSE())</f>
        <v>Aa3</v>
      </c>
      <c r="D82" s="49" t="n">
        <f aca="false">VLOOKUP(C82,$J$10:$K$32,2,FALSE())/10000</f>
        <v>0.00509398747838143</v>
      </c>
      <c r="E82" s="49" t="n">
        <f aca="false">$E$3+F82</f>
        <v>0.0500600691272888</v>
      </c>
      <c r="F82" s="50" t="n">
        <f aca="false">IF($E$5="Yes",D82*$E$6,D82)</f>
        <v>0.0077600691272888</v>
      </c>
      <c r="G82" s="51" t="str">
        <f aca="false">VLOOKUP(A82,'10-year CDS Spreads'!$A$2:$D$158,4,FALSE())</f>
        <v>NA</v>
      </c>
      <c r="H82" s="50" t="str">
        <f aca="false">IF(I82="NA","NA",$E$3+I82)</f>
        <v>NA</v>
      </c>
      <c r="I82" s="52" t="str">
        <f aca="false">IF(G82="NA","NA",G82*$E$6)</f>
        <v>NA</v>
      </c>
    </row>
    <row r="83" customFormat="false" ht="15.75" hidden="false" customHeight="false" outlineLevel="0" collapsed="false">
      <c r="A83" s="46" t="str">
        <f aca="false">'Sovereign Ratings (Moody''s,S&amp;P)'!A76</f>
        <v>Jordan</v>
      </c>
      <c r="B83" s="47" t="str">
        <f aca="false">VLOOKUP(A83,'Regional lookup table'!$A$2:$B$162,2,FALSE())</f>
        <v>Middle East</v>
      </c>
      <c r="C83" s="48" t="str">
        <f aca="false">VLOOKUP(A83,'Sovereign Ratings (Moody''s,S&amp;P)'!$A$2:$D$158,4,FALSE())</f>
        <v>Ba3</v>
      </c>
      <c r="D83" s="49" t="n">
        <f aca="false">VLOOKUP(C83,$J$10:$K$32,2,FALSE())/10000</f>
        <v>0.0305639248702886</v>
      </c>
      <c r="E83" s="49" t="n">
        <f aca="false">$E$3+F83</f>
        <v>0.0888604147637328</v>
      </c>
      <c r="F83" s="50" t="n">
        <f aca="false">IF($E$5="Yes",D83*$E$6,D83)</f>
        <v>0.0465604147637328</v>
      </c>
      <c r="G83" s="51" t="str">
        <f aca="false">VLOOKUP(A83,'10-year CDS Spreads'!$A$2:$D$158,4,FALSE())</f>
        <v>NA</v>
      </c>
      <c r="H83" s="50" t="str">
        <f aca="false">IF(I83="NA","NA",$E$3+I83)</f>
        <v>NA</v>
      </c>
      <c r="I83" s="52" t="str">
        <f aca="false">IF(G83="NA","NA",G83*$E$6)</f>
        <v>NA</v>
      </c>
    </row>
    <row r="84" customFormat="false" ht="15.75" hidden="false" customHeight="false" outlineLevel="0" collapsed="false">
      <c r="A84" s="46" t="str">
        <f aca="false">'Sovereign Ratings (Moody''s,S&amp;P)'!A77</f>
        <v>Kazakhstan</v>
      </c>
      <c r="B84" s="47" t="str">
        <f aca="false">VLOOKUP(A84,'Regional lookup table'!$A$2:$B$162,2,FALSE())</f>
        <v>Eastern Europe &amp; Russia</v>
      </c>
      <c r="C84" s="48" t="str">
        <f aca="false">VLOOKUP(A84,'Sovereign Ratings (Moody''s,S&amp;P)'!$A$2:$D$158,4,FALSE())</f>
        <v>Baa1</v>
      </c>
      <c r="D84" s="49" t="n">
        <f aca="false">VLOOKUP(C84,$J$10:$K$32,2,FALSE())/10000</f>
        <v>0.0135839666090171</v>
      </c>
      <c r="E84" s="49" t="n">
        <f aca="false">$E$3+F84</f>
        <v>0.0629935176727701</v>
      </c>
      <c r="F84" s="50" t="n">
        <f aca="false">IF($E$5="Yes",D84*$E$6,D84)</f>
        <v>0.0206935176727701</v>
      </c>
      <c r="G84" s="51" t="n">
        <f aca="false">VLOOKUP(A84,'10-year CDS Spreads'!$A$2:$D$158,4,FALSE())</f>
        <v>0.0117</v>
      </c>
      <c r="H84" s="50" t="n">
        <f aca="false">IF(I84="NA","NA",$E$3+I84)</f>
        <v>0.0601235241398999</v>
      </c>
      <c r="I84" s="52" t="n">
        <f aca="false">IF(G84="NA","NA",G84*$E$6)</f>
        <v>0.0178235241398999</v>
      </c>
    </row>
    <row r="85" customFormat="false" ht="15.75" hidden="false" customHeight="false" outlineLevel="0" collapsed="false">
      <c r="A85" s="46" t="str">
        <f aca="false">'Sovereign Ratings (Moody''s,S&amp;P)'!A78</f>
        <v>Kenya</v>
      </c>
      <c r="B85" s="47" t="str">
        <f aca="false">VLOOKUP(A85,'Regional lookup table'!$A$2:$B$162,2,FALSE())</f>
        <v>Africa</v>
      </c>
      <c r="C85" s="48" t="str">
        <f aca="false">VLOOKUP(A85,'Sovereign Ratings (Moody''s,S&amp;P)'!$A$2:$D$158,4,FALSE())</f>
        <v>B3</v>
      </c>
      <c r="D85" s="49" t="n">
        <f aca="false">VLOOKUP(C85,$J$10:$K$32,2,FALSE())/10000</f>
        <v>0.0552348054028417</v>
      </c>
      <c r="E85" s="49" t="n">
        <f aca="false">$E$3+F85</f>
        <v>0.12644349465472</v>
      </c>
      <c r="F85" s="50" t="n">
        <f aca="false">IF($E$5="Yes",D85*$E$6,D85)</f>
        <v>0.0841434946547197</v>
      </c>
      <c r="G85" s="51" t="n">
        <f aca="false">VLOOKUP(A85,'10-year CDS Spreads'!$A$2:$D$158,4,FALSE())</f>
        <v>0.0437</v>
      </c>
      <c r="H85" s="50" t="n">
        <f aca="false">IF(I85="NA","NA",$E$3+I85)</f>
        <v>0.108871624351592</v>
      </c>
      <c r="I85" s="52" t="n">
        <f aca="false">IF(G85="NA","NA",G85*$E$6)</f>
        <v>0.0665716243515918</v>
      </c>
    </row>
    <row r="86" customFormat="false" ht="15.75" hidden="false" customHeight="false" outlineLevel="0" collapsed="false">
      <c r="A86" s="46" t="str">
        <f aca="false">'Sovereign Ratings (Moody''s,S&amp;P)'!A79</f>
        <v>Korea</v>
      </c>
      <c r="B86" s="47" t="str">
        <f aca="false">VLOOKUP(A86,'Regional lookup table'!$A$2:$B$162,2,FALSE())</f>
        <v>Asia</v>
      </c>
      <c r="C86" s="48" t="str">
        <f aca="false">VLOOKUP(A86,'Sovereign Ratings (Moody''s,S&amp;P)'!$A$2:$D$158,4,FALSE())</f>
        <v>Aa2</v>
      </c>
      <c r="D86" s="49" t="n">
        <f aca="false">VLOOKUP(C86,$J$10:$K$32,2,FALSE())/10000</f>
        <v>0.00419504851160823</v>
      </c>
      <c r="E86" s="49" t="n">
        <f aca="false">$E$3+F86</f>
        <v>0.0486906451636496</v>
      </c>
      <c r="F86" s="50" t="n">
        <f aca="false">IF($E$5="Yes",D86*$E$6,D86)</f>
        <v>0.0063906451636496</v>
      </c>
      <c r="G86" s="51" t="n">
        <f aca="false">VLOOKUP(A86,'10-year CDS Spreads'!$A$2:$D$158,4,FALSE())</f>
        <v>0.002</v>
      </c>
      <c r="H86" s="50" t="n">
        <f aca="false">IF(I86="NA","NA",$E$3+I86)</f>
        <v>0.0453467562632307</v>
      </c>
      <c r="I86" s="52" t="n">
        <f aca="false">IF(G86="NA","NA",G86*$E$6)</f>
        <v>0.00304675626323074</v>
      </c>
    </row>
    <row r="87" customFormat="false" ht="15.75" hidden="false" customHeight="false" outlineLevel="0" collapsed="false">
      <c r="A87" s="46" t="str">
        <f aca="false">'Sovereign Ratings (Moody''s,S&amp;P)'!A80</f>
        <v>Kuwait</v>
      </c>
      <c r="B87" s="47" t="str">
        <f aca="false">VLOOKUP(A87,'Regional lookup table'!$A$2:$B$162,2,FALSE())</f>
        <v>Middle East</v>
      </c>
      <c r="C87" s="48" t="str">
        <f aca="false">VLOOKUP(A87,'Sovereign Ratings (Moody''s,S&amp;P)'!$A$2:$D$158,4,FALSE())</f>
        <v>A1</v>
      </c>
      <c r="D87" s="49" t="n">
        <f aca="false">VLOOKUP(C87,$J$10:$K$32,2,FALSE())/10000</f>
        <v>0.00599292644515462</v>
      </c>
      <c r="E87" s="49" t="n">
        <f aca="false">$E$3+F87</f>
        <v>0.051429493090928</v>
      </c>
      <c r="F87" s="50" t="n">
        <f aca="false">IF($E$5="Yes",D87*$E$6,D87)</f>
        <v>0.009129493090928</v>
      </c>
      <c r="G87" s="51" t="n">
        <f aca="false">VLOOKUP(A87,'10-year CDS Spreads'!$A$2:$D$158,4,FALSE())</f>
        <v>0.0073</v>
      </c>
      <c r="H87" s="50" t="n">
        <f aca="false">IF(I87="NA","NA",$E$3+I87)</f>
        <v>0.0534206603607922</v>
      </c>
      <c r="I87" s="52" t="n">
        <f aca="false">IF(G87="NA","NA",G87*$E$6)</f>
        <v>0.0111206603607922</v>
      </c>
    </row>
    <row r="88" customFormat="false" ht="15.75" hidden="false" customHeight="false" outlineLevel="0" collapsed="false">
      <c r="A88" s="46" t="str">
        <f aca="false">'Sovereign Ratings (Moody''s,S&amp;P)'!A81</f>
        <v>Kyrgyzstan</v>
      </c>
      <c r="B88" s="47" t="str">
        <f aca="false">VLOOKUP(A88,'Regional lookup table'!$A$2:$B$162,2,FALSE())</f>
        <v>Eastern Europe &amp; Russia</v>
      </c>
      <c r="C88" s="48" t="str">
        <f aca="false">VLOOKUP(A88,'Sovereign Ratings (Moody''s,S&amp;P)'!$A$2:$D$158,4,FALSE())</f>
        <v>B3</v>
      </c>
      <c r="D88" s="49" t="n">
        <f aca="false">VLOOKUP(C88,$J$10:$K$32,2,FALSE())/10000</f>
        <v>0.0552348054028417</v>
      </c>
      <c r="E88" s="49" t="n">
        <f aca="false">$E$3+F88</f>
        <v>0.12644349465472</v>
      </c>
      <c r="F88" s="50" t="n">
        <f aca="false">IF($E$5="Yes",D88*$E$6,D88)</f>
        <v>0.0841434946547197</v>
      </c>
      <c r="G88" s="51" t="str">
        <f aca="false">VLOOKUP(A88,'10-year CDS Spreads'!$A$2:$D$158,4,FALSE())</f>
        <v>NA</v>
      </c>
      <c r="H88" s="50" t="str">
        <f aca="false">IF(I88="NA","NA",$E$3+I88)</f>
        <v>NA</v>
      </c>
      <c r="I88" s="52" t="str">
        <f aca="false">IF(G88="NA","NA",G88*$E$6)</f>
        <v>NA</v>
      </c>
    </row>
    <row r="89" customFormat="false" ht="15.75" hidden="false" customHeight="false" outlineLevel="0" collapsed="false">
      <c r="A89" s="46" t="str">
        <f aca="false">'Sovereign Ratings (Moody''s,S&amp;P)'!A82</f>
        <v>Laos</v>
      </c>
      <c r="B89" s="47" t="str">
        <f aca="false">VLOOKUP(A89,'Regional lookup table'!$A$2:$B$162,2,FALSE())</f>
        <v>Asia</v>
      </c>
      <c r="C89" s="48" t="str">
        <f aca="false">VLOOKUP(A89,'Sovereign Ratings (Moody''s,S&amp;P)'!$A$2:$D$158,4,FALSE())</f>
        <v>Caa2</v>
      </c>
      <c r="D89" s="49" t="n">
        <f aca="false">VLOOKUP(C89,$J$10:$K$32,2,FALSE())/10000</f>
        <v>0.0765096942831406</v>
      </c>
      <c r="E89" s="49" t="n">
        <f aca="false">$E$3+F89</f>
        <v>0.158853195127514</v>
      </c>
      <c r="F89" s="50" t="n">
        <f aca="false">IF($E$5="Yes",D89*$E$6,D89)</f>
        <v>0.116553195127514</v>
      </c>
      <c r="G89" s="51" t="str">
        <f aca="false">VLOOKUP(A89,'10-year CDS Spreads'!$A$2:$D$158,4,FALSE())</f>
        <v>NA</v>
      </c>
      <c r="H89" s="50" t="str">
        <f aca="false">IF(I89="NA","NA",$E$3+I89)</f>
        <v>NA</v>
      </c>
      <c r="I89" s="52" t="str">
        <f aca="false">IF(G89="NA","NA",G89*$E$6)</f>
        <v>NA</v>
      </c>
    </row>
    <row r="90" customFormat="false" ht="15.75" hidden="false" customHeight="false" outlineLevel="0" collapsed="false">
      <c r="A90" s="46" t="str">
        <f aca="false">'Sovereign Ratings (Moody''s,S&amp;P)'!A83</f>
        <v>Latvia</v>
      </c>
      <c r="B90" s="47" t="str">
        <f aca="false">VLOOKUP(A90,'Regional lookup table'!$A$2:$B$162,2,FALSE())</f>
        <v>Eastern Europe &amp; Russia</v>
      </c>
      <c r="C90" s="48" t="str">
        <f aca="false">VLOOKUP(A90,'Sovereign Ratings (Moody''s,S&amp;P)'!$A$2:$D$158,4,FALSE())</f>
        <v>A3</v>
      </c>
      <c r="D90" s="49" t="n">
        <f aca="false">VLOOKUP(C90,$J$10:$K$32,2,FALSE())/10000</f>
        <v>0.0101879749567629</v>
      </c>
      <c r="E90" s="49" t="n">
        <f aca="false">$E$3+F90</f>
        <v>0.0578201382545776</v>
      </c>
      <c r="F90" s="50" t="n">
        <f aca="false">IF($E$5="Yes",D90*$E$6,D90)</f>
        <v>0.0155201382545776</v>
      </c>
      <c r="G90" s="51" t="n">
        <f aca="false">VLOOKUP(A90,'10-year CDS Spreads'!$A$2:$D$158,4,FALSE())</f>
        <v>0.0068</v>
      </c>
      <c r="H90" s="50" t="n">
        <f aca="false">IF(I90="NA","NA",$E$3+I90)</f>
        <v>0.0526589712949845</v>
      </c>
      <c r="I90" s="52" t="n">
        <f aca="false">IF(G90="NA","NA",G90*$E$6)</f>
        <v>0.0103589712949845</v>
      </c>
    </row>
    <row r="91" customFormat="false" ht="15.75" hidden="false" customHeight="false" outlineLevel="0" collapsed="false">
      <c r="A91" s="46" t="str">
        <f aca="false">'Sovereign Ratings (Moody''s,S&amp;P)'!A84</f>
        <v>Lebanon</v>
      </c>
      <c r="B91" s="47" t="str">
        <f aca="false">VLOOKUP(A91,'Regional lookup table'!$A$2:$B$162,2,FALSE())</f>
        <v>Middle East</v>
      </c>
      <c r="C91" s="48" t="str">
        <f aca="false">VLOOKUP(A91,'Sovereign Ratings (Moody''s,S&amp;P)'!$A$2:$D$158,4,FALSE())</f>
        <v>C</v>
      </c>
      <c r="D91" s="49" t="n">
        <f aca="false">VLOOKUP(C91,$J$10:$K$32,2,FALSE())/10000</f>
        <v>0.175</v>
      </c>
      <c r="E91" s="49" t="n">
        <f aca="false">$E$3+F91</f>
        <v>0.30889117303269</v>
      </c>
      <c r="F91" s="50" t="n">
        <f aca="false">IF($E$5="Yes",D91*$E$6,D91)</f>
        <v>0.26659117303269</v>
      </c>
      <c r="G91" s="51" t="str">
        <f aca="false">VLOOKUP(A91,'10-year CDS Spreads'!$A$2:$D$158,4,FALSE())</f>
        <v>NA</v>
      </c>
      <c r="H91" s="50" t="str">
        <f aca="false">IF(I91="NA","NA",$E$3+I91)</f>
        <v>NA</v>
      </c>
      <c r="I91" s="52" t="str">
        <f aca="false">IF(G91="NA","NA",G91*$E$6)</f>
        <v>NA</v>
      </c>
    </row>
    <row r="92" customFormat="false" ht="15.75" hidden="false" customHeight="false" outlineLevel="0" collapsed="false">
      <c r="A92" s="46" t="str">
        <f aca="false">'Sovereign Ratings (Moody''s,S&amp;P)'!A85</f>
        <v>Liechtenstein</v>
      </c>
      <c r="B92" s="47" t="str">
        <f aca="false">VLOOKUP(A92,'Regional lookup table'!$A$2:$B$162,2,FALSE())</f>
        <v>Western Europe</v>
      </c>
      <c r="C92" s="48" t="str">
        <f aca="false">VLOOKUP(A92,'Sovereign Ratings (Moody''s,S&amp;P)'!$A$2:$D$158,4,FALSE())</f>
        <v>Aaa</v>
      </c>
      <c r="D92" s="49" t="n">
        <f aca="false">VLOOKUP(C92,$J$10:$K$32,2,FALSE())/10000</f>
        <v>0</v>
      </c>
      <c r="E92" s="49" t="n">
        <f aca="false">$E$3+F92</f>
        <v>0.0423</v>
      </c>
      <c r="F92" s="50" t="n">
        <f aca="false">IF($E$5="Yes",D92*$E$6,D92)</f>
        <v>0</v>
      </c>
      <c r="G92" s="51" t="str">
        <f aca="false">VLOOKUP(A92,'10-year CDS Spreads'!$A$2:$D$158,4,FALSE())</f>
        <v>NA</v>
      </c>
      <c r="H92" s="50" t="str">
        <f aca="false">IF(I92="NA","NA",$E$3+I92)</f>
        <v>NA</v>
      </c>
      <c r="I92" s="52" t="str">
        <f aca="false">IF(G92="NA","NA",G92*$E$6)</f>
        <v>NA</v>
      </c>
    </row>
    <row r="93" customFormat="false" ht="15.75" hidden="false" customHeight="false" outlineLevel="0" collapsed="false">
      <c r="A93" s="46" t="str">
        <f aca="false">'Sovereign Ratings (Moody''s,S&amp;P)'!A86</f>
        <v>Lithuania</v>
      </c>
      <c r="B93" s="47" t="str">
        <f aca="false">VLOOKUP(A93,'Regional lookup table'!$A$2:$B$162,2,FALSE())</f>
        <v>Eastern Europe &amp; Russia</v>
      </c>
      <c r="C93" s="48" t="str">
        <f aca="false">VLOOKUP(A93,'Sovereign Ratings (Moody''s,S&amp;P)'!$A$2:$D$158,4,FALSE())</f>
        <v>A2</v>
      </c>
      <c r="D93" s="49" t="n">
        <f aca="false">VLOOKUP(C93,$J$10:$K$32,2,FALSE())/10000</f>
        <v>0.00719151173418554</v>
      </c>
      <c r="E93" s="49" t="n">
        <f aca="false">$E$3+F93</f>
        <v>0.0532553917091136</v>
      </c>
      <c r="F93" s="50" t="n">
        <f aca="false">IF($E$5="Yes",D93*$E$6,D93)</f>
        <v>0.0109553917091136</v>
      </c>
      <c r="G93" s="51" t="n">
        <f aca="false">VLOOKUP(A93,'10-year CDS Spreads'!$A$2:$D$158,4,FALSE())</f>
        <v>0.0068</v>
      </c>
      <c r="H93" s="50" t="n">
        <f aca="false">IF(I93="NA","NA",$E$3+I93)</f>
        <v>0.0526589712949845</v>
      </c>
      <c r="I93" s="52" t="n">
        <f aca="false">IF(G93="NA","NA",G93*$E$6)</f>
        <v>0.0103589712949845</v>
      </c>
    </row>
    <row r="94" customFormat="false" ht="15.75" hidden="false" customHeight="false" outlineLevel="0" collapsed="false">
      <c r="A94" s="46" t="str">
        <f aca="false">'Sovereign Ratings (Moody''s,S&amp;P)'!A87</f>
        <v>Luxembourg</v>
      </c>
      <c r="B94" s="47" t="str">
        <f aca="false">VLOOKUP(A94,'Regional lookup table'!$A$2:$B$162,2,FALSE())</f>
        <v>Western Europe</v>
      </c>
      <c r="C94" s="48" t="str">
        <f aca="false">VLOOKUP(A94,'Sovereign Ratings (Moody''s,S&amp;P)'!$A$2:$D$158,4,FALSE())</f>
        <v>Aaa</v>
      </c>
      <c r="D94" s="49" t="n">
        <f aca="false">VLOOKUP(C94,$J$10:$K$32,2,FALSE())/10000</f>
        <v>0</v>
      </c>
      <c r="E94" s="49" t="n">
        <f aca="false">$E$3+F94</f>
        <v>0.0423</v>
      </c>
      <c r="F94" s="50" t="n">
        <f aca="false">IF($E$5="Yes",D94*$E$6,D94)</f>
        <v>0</v>
      </c>
      <c r="G94" s="51" t="str">
        <f aca="false">VLOOKUP(A94,'10-year CDS Spreads'!$A$2:$D$158,4,FALSE())</f>
        <v>NA</v>
      </c>
      <c r="H94" s="50" t="str">
        <f aca="false">IF(I94="NA","NA",$E$3+I94)</f>
        <v>NA</v>
      </c>
      <c r="I94" s="52" t="str">
        <f aca="false">IF(G94="NA","NA",G94*$E$6)</f>
        <v>NA</v>
      </c>
    </row>
    <row r="95" customFormat="false" ht="15.75" hidden="false" customHeight="false" outlineLevel="0" collapsed="false">
      <c r="A95" s="46" t="str">
        <f aca="false">'Sovereign Ratings (Moody''s,S&amp;P)'!A88</f>
        <v>Macao</v>
      </c>
      <c r="B95" s="47" t="str">
        <f aca="false">VLOOKUP(A95,'Regional lookup table'!$A$2:$B$162,2,FALSE())</f>
        <v>Asia</v>
      </c>
      <c r="C95" s="48" t="str">
        <f aca="false">VLOOKUP(A95,'Sovereign Ratings (Moody''s,S&amp;P)'!$A$2:$D$158,4,FALSE())</f>
        <v>Aa3</v>
      </c>
      <c r="D95" s="49" t="n">
        <f aca="false">VLOOKUP(C95,$J$10:$K$32,2,FALSE())/10000</f>
        <v>0.00509398747838143</v>
      </c>
      <c r="E95" s="49" t="n">
        <f aca="false">$E$3+F95</f>
        <v>0.0500600691272888</v>
      </c>
      <c r="F95" s="50" t="n">
        <f aca="false">IF($E$5="Yes",D95*$E$6,D95)</f>
        <v>0.0077600691272888</v>
      </c>
      <c r="G95" s="51" t="str">
        <f aca="false">VLOOKUP(A95,'10-year CDS Spreads'!$A$2:$D$158,4,FALSE())</f>
        <v>NA</v>
      </c>
      <c r="H95" s="50" t="str">
        <f aca="false">IF(I95="NA","NA",$E$3+I95)</f>
        <v>NA</v>
      </c>
      <c r="I95" s="52" t="str">
        <f aca="false">IF(G95="NA","NA",G95*$E$6)</f>
        <v>NA</v>
      </c>
    </row>
    <row r="96" customFormat="false" ht="15.75" hidden="false" customHeight="false" outlineLevel="0" collapsed="false">
      <c r="A96" s="46" t="str">
        <f aca="false">'Sovereign Ratings (Moody''s,S&amp;P)'!A89</f>
        <v>Macedonia</v>
      </c>
      <c r="B96" s="47" t="str">
        <f aca="false">VLOOKUP(A96,'Regional lookup table'!$A$2:$B$162,2,FALSE())</f>
        <v>Eastern Europe &amp; Russia</v>
      </c>
      <c r="C96" s="48" t="str">
        <f aca="false">VLOOKUP(A96,'Sovereign Ratings (Moody''s,S&amp;P)'!$A$2:$D$158,4,FALSE())</f>
        <v>Ba3</v>
      </c>
      <c r="D96" s="49" t="n">
        <f aca="false">VLOOKUP(C96,$J$10:$K$32,2,FALSE())/10000</f>
        <v>0.0305639248702886</v>
      </c>
      <c r="E96" s="49" t="n">
        <f aca="false">$E$3+F96</f>
        <v>0.0888604147637328</v>
      </c>
      <c r="F96" s="50" t="n">
        <f aca="false">IF($E$5="Yes",D96*$E$6,D96)</f>
        <v>0.0465604147637328</v>
      </c>
      <c r="G96" s="51" t="str">
        <f aca="false">VLOOKUP(A96,'10-year CDS Spreads'!$A$2:$D$158,4,FALSE())</f>
        <v>NA</v>
      </c>
      <c r="H96" s="50" t="str">
        <f aca="false">IF(I96="NA","NA",$E$3+I96)</f>
        <v>NA</v>
      </c>
      <c r="I96" s="52" t="str">
        <f aca="false">IF(G96="NA","NA",G96*$E$6)</f>
        <v>NA</v>
      </c>
    </row>
    <row r="97" customFormat="false" ht="15.75" hidden="false" customHeight="false" outlineLevel="0" collapsed="false">
      <c r="A97" s="46" t="str">
        <f aca="false">'Sovereign Ratings (Moody''s,S&amp;P)'!A90</f>
        <v>Malaysia</v>
      </c>
      <c r="B97" s="47" t="str">
        <f aca="false">VLOOKUP(A97,'Regional lookup table'!$A$2:$B$162,2,FALSE())</f>
        <v>Asia</v>
      </c>
      <c r="C97" s="48" t="str">
        <f aca="false">VLOOKUP(A97,'Sovereign Ratings (Moody''s,S&amp;P)'!$A$2:$D$158,4,FALSE())</f>
        <v>A3</v>
      </c>
      <c r="D97" s="49" t="n">
        <f aca="false">VLOOKUP(C97,$J$10:$K$32,2,FALSE())/10000</f>
        <v>0.0101879749567629</v>
      </c>
      <c r="E97" s="49" t="n">
        <f aca="false">$E$3+F97</f>
        <v>0.0578201382545776</v>
      </c>
      <c r="F97" s="50" t="n">
        <f aca="false">IF($E$5="Yes",D97*$E$6,D97)</f>
        <v>0.0155201382545776</v>
      </c>
      <c r="G97" s="51" t="n">
        <f aca="false">VLOOKUP(A97,'10-year CDS Spreads'!$A$2:$D$158,4,FALSE())</f>
        <v>0.0053</v>
      </c>
      <c r="H97" s="50" t="n">
        <f aca="false">IF(I97="NA","NA",$E$3+I97)</f>
        <v>0.0503739040975615</v>
      </c>
      <c r="I97" s="52" t="n">
        <f aca="false">IF(G97="NA","NA",G97*$E$6)</f>
        <v>0.00807390409756147</v>
      </c>
    </row>
    <row r="98" customFormat="false" ht="15.75" hidden="false" customHeight="false" outlineLevel="0" collapsed="false">
      <c r="A98" s="46" t="str">
        <f aca="false">'Sovereign Ratings (Moody''s,S&amp;P)'!A91</f>
        <v>Maldives</v>
      </c>
      <c r="B98" s="47" t="str">
        <f aca="false">VLOOKUP(A98,'Regional lookup table'!$A$2:$B$162,2,FALSE())</f>
        <v>Asia</v>
      </c>
      <c r="C98" s="48" t="str">
        <f aca="false">VLOOKUP(A98,'Sovereign Ratings (Moody''s,S&amp;P)'!$A$2:$D$158,4,FALSE())</f>
        <v>Caa2</v>
      </c>
      <c r="D98" s="49" t="n">
        <f aca="false">VLOOKUP(C98,$J$10:$K$32,2,FALSE())/10000</f>
        <v>0.0765096942831406</v>
      </c>
      <c r="E98" s="49" t="n">
        <f aca="false">$E$3+F98</f>
        <v>0.158853195127514</v>
      </c>
      <c r="F98" s="50" t="n">
        <f aca="false">IF($E$5="Yes",D98*$E$6,D98)</f>
        <v>0.116553195127514</v>
      </c>
      <c r="G98" s="51" t="str">
        <f aca="false">VLOOKUP(A98,'10-year CDS Spreads'!$A$2:$D$158,4,FALSE())</f>
        <v>NA</v>
      </c>
      <c r="H98" s="50" t="str">
        <f aca="false">IF(I98="NA","NA",$E$3+I98)</f>
        <v>NA</v>
      </c>
      <c r="I98" s="52" t="str">
        <f aca="false">IF(G98="NA","NA",G98*$E$6)</f>
        <v>NA</v>
      </c>
    </row>
    <row r="99" customFormat="false" ht="15.75" hidden="false" customHeight="false" outlineLevel="0" collapsed="false">
      <c r="A99" s="46" t="str">
        <f aca="false">'Sovereign Ratings (Moody''s,S&amp;P)'!A92</f>
        <v>Mali</v>
      </c>
      <c r="B99" s="47" t="str">
        <f aca="false">VLOOKUP(A99,'Regional lookup table'!$A$2:$B$162,2,FALSE())</f>
        <v>Africa</v>
      </c>
      <c r="C99" s="48" t="str">
        <f aca="false">VLOOKUP(A99,'Sovereign Ratings (Moody''s,S&amp;P)'!$A$2:$D$158,4,FALSE())</f>
        <v>Caa2</v>
      </c>
      <c r="D99" s="49" t="n">
        <f aca="false">VLOOKUP(C99,$J$10:$K$32,2,FALSE())/10000</f>
        <v>0.0765096942831406</v>
      </c>
      <c r="E99" s="49" t="n">
        <f aca="false">$E$3+F99</f>
        <v>0.158853195127514</v>
      </c>
      <c r="F99" s="50" t="n">
        <f aca="false">IF($E$5="Yes",D99*$E$6,D99)</f>
        <v>0.116553195127514</v>
      </c>
      <c r="G99" s="51" t="str">
        <f aca="false">VLOOKUP(A99,'10-year CDS Spreads'!$A$2:$D$158,4,FALSE())</f>
        <v>NA</v>
      </c>
      <c r="H99" s="50" t="str">
        <f aca="false">IF(I99="NA","NA",$E$3+I99)</f>
        <v>NA</v>
      </c>
      <c r="I99" s="52" t="str">
        <f aca="false">IF(G99="NA","NA",G99*$E$6)</f>
        <v>NA</v>
      </c>
    </row>
    <row r="100" customFormat="false" ht="15.75" hidden="false" customHeight="false" outlineLevel="0" collapsed="false">
      <c r="A100" s="46" t="str">
        <f aca="false">'Sovereign Ratings (Moody''s,S&amp;P)'!A93</f>
        <v>Malta</v>
      </c>
      <c r="B100" s="47" t="str">
        <f aca="false">VLOOKUP(A100,'Regional lookup table'!$A$2:$B$162,2,FALSE())</f>
        <v>Western Europe</v>
      </c>
      <c r="C100" s="48" t="str">
        <f aca="false">VLOOKUP(A100,'Sovereign Ratings (Moody''s,S&amp;P)'!$A$2:$D$158,4,FALSE())</f>
        <v>A2</v>
      </c>
      <c r="D100" s="49" t="n">
        <f aca="false">VLOOKUP(C100,$J$10:$K$32,2,FALSE())/10000</f>
        <v>0.00719151173418554</v>
      </c>
      <c r="E100" s="49" t="n">
        <f aca="false">$E$3+F100</f>
        <v>0.0532553917091136</v>
      </c>
      <c r="F100" s="50" t="n">
        <f aca="false">IF($E$5="Yes",D100*$E$6,D100)</f>
        <v>0.0109553917091136</v>
      </c>
      <c r="G100" s="51" t="str">
        <f aca="false">VLOOKUP(A100,'10-year CDS Spreads'!$A$2:$D$158,4,FALSE())</f>
        <v>NA</v>
      </c>
      <c r="H100" s="50" t="str">
        <f aca="false">IF(I100="NA","NA",$E$3+I100)</f>
        <v>NA</v>
      </c>
      <c r="I100" s="52" t="str">
        <f aca="false">IF(G100="NA","NA",G100*$E$6)</f>
        <v>NA</v>
      </c>
    </row>
    <row r="101" customFormat="false" ht="15.75" hidden="false" customHeight="false" outlineLevel="0" collapsed="false">
      <c r="A101" s="46" t="str">
        <f aca="false">'Sovereign Ratings (Moody''s,S&amp;P)'!A94</f>
        <v>Mauritius</v>
      </c>
      <c r="B101" s="47" t="str">
        <f aca="false">VLOOKUP(A101,'Regional lookup table'!$A$2:$B$162,2,FALSE())</f>
        <v>Africa</v>
      </c>
      <c r="C101" s="48" t="str">
        <f aca="false">VLOOKUP(A101,'Sovereign Ratings (Moody''s,S&amp;P)'!$A$2:$D$158,4,FALSE())</f>
        <v>Baa3</v>
      </c>
      <c r="D101" s="49" t="n">
        <f aca="false">VLOOKUP(C101,$J$10:$K$32,2,FALSE())/10000</f>
        <v>0.0186779540873986</v>
      </c>
      <c r="E101" s="49" t="n">
        <f aca="false">$E$3+F101</f>
        <v>0.0707535868000589</v>
      </c>
      <c r="F101" s="50" t="n">
        <f aca="false">IF($E$5="Yes",D101*$E$6,D101)</f>
        <v>0.0284535868000589</v>
      </c>
      <c r="G101" s="51" t="str">
        <f aca="false">VLOOKUP(A101,'10-year CDS Spreads'!$A$2:$D$158,4,FALSE())</f>
        <v>NA</v>
      </c>
      <c r="H101" s="50" t="str">
        <f aca="false">IF(I101="NA","NA",$E$3+I101)</f>
        <v>NA</v>
      </c>
      <c r="I101" s="52" t="str">
        <f aca="false">IF(G101="NA","NA",G101*$E$6)</f>
        <v>NA</v>
      </c>
    </row>
    <row r="102" customFormat="false" ht="15.75" hidden="false" customHeight="false" outlineLevel="0" collapsed="false">
      <c r="A102" s="46" t="str">
        <f aca="false">'Sovereign Ratings (Moody''s,S&amp;P)'!A95</f>
        <v>Mexico</v>
      </c>
      <c r="B102" s="47" t="str">
        <f aca="false">VLOOKUP(A102,'Regional lookup table'!$A$2:$B$162,2,FALSE())</f>
        <v>Central and South America</v>
      </c>
      <c r="C102" s="48" t="str">
        <f aca="false">VLOOKUP(A102,'Sovereign Ratings (Moody''s,S&amp;P)'!$A$2:$D$158,4,FALSE())</f>
        <v>Baa2</v>
      </c>
      <c r="D102" s="49" t="n">
        <f aca="false">VLOOKUP(C102,$J$10:$K$32,2,FALSE())/10000</f>
        <v>0.0161809014019175</v>
      </c>
      <c r="E102" s="49" t="n">
        <f aca="false">$E$3+F102</f>
        <v>0.0669496313455056</v>
      </c>
      <c r="F102" s="50" t="n">
        <f aca="false">IF($E$5="Yes",D102*$E$6,D102)</f>
        <v>0.0246496313455056</v>
      </c>
      <c r="G102" s="51" t="n">
        <f aca="false">VLOOKUP(A102,'10-year CDS Spreads'!$A$2:$D$158,4,FALSE())</f>
        <v>0.0152</v>
      </c>
      <c r="H102" s="50" t="n">
        <f aca="false">IF(I102="NA","NA",$E$3+I102)</f>
        <v>0.0654553476005537</v>
      </c>
      <c r="I102" s="52" t="n">
        <f aca="false">IF(G102="NA","NA",G102*$E$6)</f>
        <v>0.0231553476005537</v>
      </c>
    </row>
    <row r="103" customFormat="false" ht="15.75" hidden="false" customHeight="false" outlineLevel="0" collapsed="false">
      <c r="A103" s="46" t="str">
        <f aca="false">'Sovereign Ratings (Moody''s,S&amp;P)'!A96</f>
        <v>Moldova</v>
      </c>
      <c r="B103" s="47" t="str">
        <f aca="false">VLOOKUP(A103,'Regional lookup table'!$A$2:$B$162,2,FALSE())</f>
        <v>Eastern Europe &amp; Russia</v>
      </c>
      <c r="C103" s="48" t="str">
        <f aca="false">VLOOKUP(A103,'Sovereign Ratings (Moody''s,S&amp;P)'!$A$2:$D$158,4,FALSE())</f>
        <v>B3</v>
      </c>
      <c r="D103" s="49" t="n">
        <f aca="false">VLOOKUP(C103,$J$10:$K$32,2,FALSE())/10000</f>
        <v>0.0552348054028417</v>
      </c>
      <c r="E103" s="49" t="n">
        <f aca="false">$E$3+F103</f>
        <v>0.12644349465472</v>
      </c>
      <c r="F103" s="50" t="n">
        <f aca="false">IF($E$5="Yes",D103*$E$6,D103)</f>
        <v>0.0841434946547197</v>
      </c>
      <c r="G103" s="51" t="str">
        <f aca="false">VLOOKUP(A103,'10-year CDS Spreads'!$A$2:$D$158,4,FALSE())</f>
        <v>NA</v>
      </c>
      <c r="H103" s="50" t="str">
        <f aca="false">IF(I103="NA","NA",$E$3+I103)</f>
        <v>NA</v>
      </c>
      <c r="I103" s="52" t="str">
        <f aca="false">IF(G103="NA","NA",G103*$E$6)</f>
        <v>NA</v>
      </c>
    </row>
    <row r="104" customFormat="false" ht="15.75" hidden="false" customHeight="false" outlineLevel="0" collapsed="false">
      <c r="A104" s="46" t="str">
        <f aca="false">'Sovereign Ratings (Moody''s,S&amp;P)'!A97</f>
        <v>Mongolia</v>
      </c>
      <c r="B104" s="47" t="str">
        <f aca="false">VLOOKUP(A104,'Regional lookup table'!$A$2:$B$162,2,FALSE())</f>
        <v>Asia</v>
      </c>
      <c r="C104" s="48" t="str">
        <f aca="false">VLOOKUP(A104,'Sovereign Ratings (Moody''s,S&amp;P)'!$A$2:$D$158,4,FALSE())</f>
        <v>B1</v>
      </c>
      <c r="D104" s="49" t="n">
        <f aca="false">VLOOKUP(C104,$J$10:$K$32,2,FALSE())/10000</f>
        <v>0.0382548471415703</v>
      </c>
      <c r="E104" s="49" t="n">
        <f aca="false">$E$3+F104</f>
        <v>0.100576597563757</v>
      </c>
      <c r="F104" s="50" t="n">
        <f aca="false">IF($E$5="Yes",D104*$E$6,D104)</f>
        <v>0.058276597563757</v>
      </c>
      <c r="G104" s="51" t="str">
        <f aca="false">VLOOKUP(A104,'10-year CDS Spreads'!$A$2:$D$158,4,FALSE())</f>
        <v>NA</v>
      </c>
      <c r="H104" s="50" t="str">
        <f aca="false">IF(I104="NA","NA",$E$3+I104)</f>
        <v>NA</v>
      </c>
      <c r="I104" s="52" t="str">
        <f aca="false">IF(G104="NA","NA",G104*$E$6)</f>
        <v>NA</v>
      </c>
    </row>
    <row r="105" customFormat="false" ht="15.75" hidden="false" customHeight="false" outlineLevel="0" collapsed="false">
      <c r="A105" s="46" t="str">
        <f aca="false">'Sovereign Ratings (Moody''s,S&amp;P)'!A98</f>
        <v>Montenegro</v>
      </c>
      <c r="B105" s="47" t="str">
        <f aca="false">VLOOKUP(A105,'Regional lookup table'!$A$2:$B$162,2,FALSE())</f>
        <v>Eastern Europe &amp; Russia</v>
      </c>
      <c r="C105" s="48" t="str">
        <f aca="false">VLOOKUP(A105,'Sovereign Ratings (Moody''s,S&amp;P)'!$A$2:$D$158,4,FALSE())</f>
        <v>B1</v>
      </c>
      <c r="D105" s="49" t="n">
        <f aca="false">VLOOKUP(C105,$J$10:$K$32,2,FALSE())/10000</f>
        <v>0.0382548471415703</v>
      </c>
      <c r="E105" s="49" t="n">
        <f aca="false">$E$3+F105</f>
        <v>0.100576597563757</v>
      </c>
      <c r="F105" s="50" t="n">
        <f aca="false">IF($E$5="Yes",D105*$E$6,D105)</f>
        <v>0.058276597563757</v>
      </c>
      <c r="G105" s="51" t="str">
        <f aca="false">VLOOKUP(A105,'10-year CDS Spreads'!$A$2:$D$158,4,FALSE())</f>
        <v>NA</v>
      </c>
      <c r="H105" s="50" t="str">
        <f aca="false">IF(I105="NA","NA",$E$3+I105)</f>
        <v>NA</v>
      </c>
      <c r="I105" s="52" t="str">
        <f aca="false">IF(G105="NA","NA",G105*$E$6)</f>
        <v>NA</v>
      </c>
    </row>
    <row r="106" customFormat="false" ht="15.75" hidden="false" customHeight="false" outlineLevel="0" collapsed="false">
      <c r="A106" s="46" t="str">
        <f aca="false">'Sovereign Ratings (Moody''s,S&amp;P)'!A99</f>
        <v>Montserrat</v>
      </c>
      <c r="B106" s="47" t="str">
        <f aca="false">VLOOKUP(A106,'Regional lookup table'!$A$2:$B$162,2,FALSE())</f>
        <v>Caribbean</v>
      </c>
      <c r="C106" s="48" t="str">
        <f aca="false">VLOOKUP(A106,'Sovereign Ratings (Moody''s,S&amp;P)'!$A$2:$D$158,4,FALSE())</f>
        <v>Baa3</v>
      </c>
      <c r="D106" s="49" t="n">
        <f aca="false">VLOOKUP(C106,$J$10:$K$32,2,FALSE())/10000</f>
        <v>0.0186779540873986</v>
      </c>
      <c r="E106" s="49" t="n">
        <f aca="false">$E$3+F106</f>
        <v>0.0707535868000589</v>
      </c>
      <c r="F106" s="50" t="n">
        <f aca="false">IF($E$5="Yes",D106*$E$6,D106)</f>
        <v>0.0284535868000589</v>
      </c>
      <c r="G106" s="51" t="str">
        <f aca="false">VLOOKUP(A106,'10-year CDS Spreads'!$A$2:$D$158,4,FALSE())</f>
        <v>NA</v>
      </c>
      <c r="H106" s="50" t="str">
        <f aca="false">IF(I106="NA","NA",$E$3+I106)</f>
        <v>NA</v>
      </c>
      <c r="I106" s="52" t="str">
        <f aca="false">IF(G106="NA","NA",G106*$E$6)</f>
        <v>NA</v>
      </c>
    </row>
    <row r="107" customFormat="false" ht="15.75" hidden="false" customHeight="false" outlineLevel="0" collapsed="false">
      <c r="A107" s="46" t="str">
        <f aca="false">'Sovereign Ratings (Moody''s,S&amp;P)'!A100</f>
        <v>Morocco</v>
      </c>
      <c r="B107" s="47" t="str">
        <f aca="false">VLOOKUP(A107,'Regional lookup table'!$A$2:$B$162,2,FALSE())</f>
        <v>Africa</v>
      </c>
      <c r="C107" s="48" t="str">
        <f aca="false">VLOOKUP(A107,'Sovereign Ratings (Moody''s,S&amp;P)'!$A$2:$D$158,4,FALSE())</f>
        <v>Ba1</v>
      </c>
      <c r="D107" s="49" t="n">
        <f aca="false">VLOOKUP(C107,$J$10:$K$32,2,FALSE())/10000</f>
        <v>0.0212748888802989</v>
      </c>
      <c r="E107" s="49" t="n">
        <f aca="false">$E$3+F107</f>
        <v>0.0747097004727944</v>
      </c>
      <c r="F107" s="50" t="n">
        <f aca="false">IF($E$5="Yes",D107*$E$6,D107)</f>
        <v>0.0324097004727944</v>
      </c>
      <c r="G107" s="51" t="n">
        <f aca="false">VLOOKUP(A107,'10-year CDS Spreads'!$A$2:$D$158,4,FALSE())</f>
        <v>0.0116</v>
      </c>
      <c r="H107" s="50" t="n">
        <f aca="false">IF(I107="NA","NA",$E$3+I107)</f>
        <v>0.0599711863267383</v>
      </c>
      <c r="I107" s="52" t="n">
        <f aca="false">IF(G107="NA","NA",G107*$E$6)</f>
        <v>0.0176711863267383</v>
      </c>
    </row>
    <row r="108" customFormat="false" ht="15.75" hidden="false" customHeight="false" outlineLevel="0" collapsed="false">
      <c r="A108" s="46" t="str">
        <f aca="false">'Sovereign Ratings (Moody''s,S&amp;P)'!A101</f>
        <v>Mozambique</v>
      </c>
      <c r="B108" s="47" t="str">
        <f aca="false">VLOOKUP(A108,'Regional lookup table'!$A$2:$B$162,2,FALSE())</f>
        <v>Africa</v>
      </c>
      <c r="C108" s="48" t="str">
        <f aca="false">VLOOKUP(A108,'Sovereign Ratings (Moody''s,S&amp;P)'!$A$2:$D$158,4,FALSE())</f>
        <v>Caa3</v>
      </c>
      <c r="D108" s="49" t="n">
        <f aca="false">VLOOKUP(C108,$J$10:$K$32,2,FALSE())/10000</f>
        <v>0.0849996734137763</v>
      </c>
      <c r="E108" s="49" t="n">
        <f aca="false">$E$3+F108</f>
        <v>0.171786643672995</v>
      </c>
      <c r="F108" s="50" t="n">
        <f aca="false">IF($E$5="Yes",D108*$E$6,D108)</f>
        <v>0.129486643672995</v>
      </c>
      <c r="G108" s="51" t="str">
        <f aca="false">VLOOKUP(A108,'10-year CDS Spreads'!$A$2:$D$158,4,FALSE())</f>
        <v>NA</v>
      </c>
      <c r="H108" s="50" t="str">
        <f aca="false">IF(I108="NA","NA",$E$3+I108)</f>
        <v>NA</v>
      </c>
      <c r="I108" s="52" t="str">
        <f aca="false">IF(G108="NA","NA",G108*$E$6)</f>
        <v>NA</v>
      </c>
    </row>
    <row r="109" customFormat="false" ht="15.75" hidden="false" customHeight="false" outlineLevel="0" collapsed="false">
      <c r="A109" s="46" t="str">
        <f aca="false">'Sovereign Ratings (Moody''s,S&amp;P)'!A102</f>
        <v>Namibia</v>
      </c>
      <c r="B109" s="47" t="str">
        <f aca="false">VLOOKUP(A109,'Regional lookup table'!$A$2:$B$162,2,FALSE())</f>
        <v>Africa</v>
      </c>
      <c r="C109" s="48" t="str">
        <f aca="false">VLOOKUP(A109,'Sovereign Ratings (Moody''s,S&amp;P)'!$A$2:$D$158,4,FALSE())</f>
        <v>B1</v>
      </c>
      <c r="D109" s="49" t="n">
        <f aca="false">VLOOKUP(C109,$J$10:$K$32,2,FALSE())/10000</f>
        <v>0.0382548471415703</v>
      </c>
      <c r="E109" s="49" t="n">
        <f aca="false">$E$3+F109</f>
        <v>0.100576597563757</v>
      </c>
      <c r="F109" s="50" t="n">
        <f aca="false">IF($E$5="Yes",D109*$E$6,D109)</f>
        <v>0.058276597563757</v>
      </c>
      <c r="G109" s="51" t="str">
        <f aca="false">VLOOKUP(A109,'10-year CDS Spreads'!$A$2:$D$158,4,FALSE())</f>
        <v>NA</v>
      </c>
      <c r="H109" s="50" t="str">
        <f aca="false">IF(I109="NA","NA",$E$3+I109)</f>
        <v>NA</v>
      </c>
      <c r="I109" s="52" t="str">
        <f aca="false">IF(G109="NA","NA",G109*$E$6)</f>
        <v>NA</v>
      </c>
    </row>
    <row r="110" customFormat="false" ht="15.75" hidden="false" customHeight="false" outlineLevel="0" collapsed="false">
      <c r="A110" s="46" t="str">
        <f aca="false">'Sovereign Ratings (Moody''s,S&amp;P)'!A103</f>
        <v>Nepal</v>
      </c>
      <c r="B110" s="47" t="str">
        <f aca="false">VLOOKUP(A110,'Regional lookup table'!$A$2:$B$162,2,FALSE())</f>
        <v>Asia</v>
      </c>
      <c r="C110" s="48" t="str">
        <f aca="false">VLOOKUP(A110,'Sovereign Ratings (Moody''s,S&amp;P)'!$A$2:$D$158,4,FALSE())</f>
        <v>Ba3</v>
      </c>
      <c r="D110" s="49" t="n">
        <f aca="false">VLOOKUP(C110,$J$10:$K$32,2,FALSE())/10000</f>
        <v>0.0305639248702886</v>
      </c>
      <c r="E110" s="49" t="n">
        <f aca="false">$E$3+F110</f>
        <v>0.0888604147637328</v>
      </c>
      <c r="F110" s="50" t="n">
        <f aca="false">IF($E$5="Yes",D110*$E$6,D110)</f>
        <v>0.0465604147637328</v>
      </c>
      <c r="G110" s="51" t="str">
        <f aca="false">VLOOKUP(A110,'10-year CDS Spreads'!$A$2:$D$158,4,FALSE())</f>
        <v>NA</v>
      </c>
      <c r="H110" s="50" t="str">
        <f aca="false">IF(I110="NA","NA",$E$3+I110)</f>
        <v>NA</v>
      </c>
      <c r="I110" s="52" t="str">
        <f aca="false">IF(G110="NA","NA",G110*$E$6)</f>
        <v>NA</v>
      </c>
    </row>
    <row r="111" customFormat="false" ht="15.75" hidden="false" customHeight="false" outlineLevel="0" collapsed="false">
      <c r="A111" s="46" t="str">
        <f aca="false">'Sovereign Ratings (Moody''s,S&amp;P)'!A104</f>
        <v>Netherlands</v>
      </c>
      <c r="B111" s="47" t="str">
        <f aca="false">VLOOKUP(A111,'Regional lookup table'!$A$2:$B$162,2,FALSE())</f>
        <v>Western Europe</v>
      </c>
      <c r="C111" s="48" t="str">
        <f aca="false">VLOOKUP(A111,'Sovereign Ratings (Moody''s,S&amp;P)'!$A$2:$D$158,4,FALSE())</f>
        <v>Aaa</v>
      </c>
      <c r="D111" s="49" t="n">
        <f aca="false">VLOOKUP(C111,$J$10:$K$32,2,FALSE())/10000</f>
        <v>0</v>
      </c>
      <c r="E111" s="49" t="n">
        <f aca="false">$E$3+F111</f>
        <v>0.0423</v>
      </c>
      <c r="F111" s="50" t="n">
        <f aca="false">IF($E$5="Yes",D111*$E$6,D111)</f>
        <v>0</v>
      </c>
      <c r="G111" s="51" t="n">
        <f aca="false">VLOOKUP(A111,'10-year CDS Spreads'!$A$2:$D$158,4,FALSE())</f>
        <v>0.0006</v>
      </c>
      <c r="H111" s="50" t="n">
        <f aca="false">IF(I111="NA","NA",$E$3+I111)</f>
        <v>0.0432140268789692</v>
      </c>
      <c r="I111" s="52" t="n">
        <f aca="false">IF(G111="NA","NA",G111*$E$6)</f>
        <v>0.000914026878969223</v>
      </c>
    </row>
    <row r="112" customFormat="false" ht="15.75" hidden="false" customHeight="false" outlineLevel="0" collapsed="false">
      <c r="A112" s="46" t="str">
        <f aca="false">'Sovereign Ratings (Moody''s,S&amp;P)'!A105</f>
        <v>New Zealand</v>
      </c>
      <c r="B112" s="47" t="str">
        <f aca="false">VLOOKUP(A112,'Regional lookup table'!$A$2:$B$162,2,FALSE())</f>
        <v>Australia &amp; New Zealand</v>
      </c>
      <c r="C112" s="48" t="str">
        <f aca="false">VLOOKUP(A112,'Sovereign Ratings (Moody''s,S&amp;P)'!$A$2:$D$158,4,FALSE())</f>
        <v>Aaa</v>
      </c>
      <c r="D112" s="49" t="n">
        <f aca="false">VLOOKUP(C112,$J$10:$K$32,2,FALSE())/10000</f>
        <v>0</v>
      </c>
      <c r="E112" s="49" t="n">
        <f aca="false">$E$3+F112</f>
        <v>0.0423</v>
      </c>
      <c r="F112" s="50" t="n">
        <f aca="false">IF($E$5="Yes",D112*$E$6,D112)</f>
        <v>0</v>
      </c>
      <c r="G112" s="51" t="n">
        <f aca="false">VLOOKUP(A112,'10-year CDS Spreads'!$A$2:$D$158,4,FALSE())</f>
        <v>0.0009</v>
      </c>
      <c r="H112" s="50" t="n">
        <f aca="false">IF(I112="NA","NA",$E$3+I112)</f>
        <v>0.0436710403184538</v>
      </c>
      <c r="I112" s="52" t="n">
        <f aca="false">IF(G112="NA","NA",G112*$E$6)</f>
        <v>0.00137104031845384</v>
      </c>
    </row>
    <row r="113" customFormat="false" ht="15.75" hidden="false" customHeight="false" outlineLevel="0" collapsed="false">
      <c r="A113" s="46" t="str">
        <f aca="false">'Sovereign Ratings (Moody''s,S&amp;P)'!A106</f>
        <v>Nicaragua</v>
      </c>
      <c r="B113" s="47" t="str">
        <f aca="false">VLOOKUP(A113,'Regional lookup table'!$A$2:$B$162,2,FALSE())</f>
        <v>Central and South America</v>
      </c>
      <c r="C113" s="48" t="str">
        <f aca="false">VLOOKUP(A113,'Sovereign Ratings (Moody''s,S&amp;P)'!$A$2:$D$158,4,FALSE())</f>
        <v>B2</v>
      </c>
      <c r="D113" s="49" t="n">
        <f aca="false">VLOOKUP(C113,$J$10:$K$32,2,FALSE())/10000</f>
        <v>0.046744826272206</v>
      </c>
      <c r="E113" s="49" t="n">
        <f aca="false">$E$3+F113</f>
        <v>0.113510046109238</v>
      </c>
      <c r="F113" s="50" t="n">
        <f aca="false">IF($E$5="Yes",D113*$E$6,D113)</f>
        <v>0.0712100461092384</v>
      </c>
      <c r="G113" s="51" t="n">
        <f aca="false">VLOOKUP(A113,'10-year CDS Spreads'!$A$2:$D$158,4,FALSE())</f>
        <v>0.0515</v>
      </c>
      <c r="H113" s="50" t="n">
        <f aca="false">IF(I113="NA","NA",$E$3+I113)</f>
        <v>0.120753973778192</v>
      </c>
      <c r="I113" s="52" t="n">
        <f aca="false">IF(G113="NA","NA",G113*$E$6)</f>
        <v>0.0784539737781917</v>
      </c>
    </row>
    <row r="114" customFormat="false" ht="15.75" hidden="false" customHeight="false" outlineLevel="0" collapsed="false">
      <c r="A114" s="46" t="str">
        <f aca="false">'Sovereign Ratings (Moody''s,S&amp;P)'!A107</f>
        <v>Niger</v>
      </c>
      <c r="B114" s="47" t="str">
        <f aca="false">VLOOKUP(A114,'Regional lookup table'!$A$2:$B$162,2,FALSE())</f>
        <v>Africa</v>
      </c>
      <c r="C114" s="48" t="str">
        <f aca="false">VLOOKUP(A114,'Sovereign Ratings (Moody''s,S&amp;P)'!$A$2:$D$158,4,FALSE())</f>
        <v>Caa3</v>
      </c>
      <c r="D114" s="49" t="n">
        <f aca="false">VLOOKUP(C114,$J$10:$K$32,2,FALSE())/10000</f>
        <v>0.0849996734137763</v>
      </c>
      <c r="E114" s="49" t="n">
        <f aca="false">$E$3+F114</f>
        <v>0.171786643672995</v>
      </c>
      <c r="F114" s="50" t="n">
        <f aca="false">IF($E$5="Yes",D114*$E$6,D114)</f>
        <v>0.129486643672995</v>
      </c>
      <c r="G114" s="51" t="str">
        <f aca="false">VLOOKUP(A114,'10-year CDS Spreads'!$A$2:$D$158,4,FALSE())</f>
        <v>NA</v>
      </c>
      <c r="H114" s="50" t="str">
        <f aca="false">IF(I114="NA","NA",$E$3+I114)</f>
        <v>NA</v>
      </c>
      <c r="I114" s="52" t="str">
        <f aca="false">IF(G114="NA","NA",G114*$E$6)</f>
        <v>NA</v>
      </c>
    </row>
    <row r="115" customFormat="false" ht="15.75" hidden="false" customHeight="false" outlineLevel="0" collapsed="false">
      <c r="A115" s="46" t="str">
        <f aca="false">'Sovereign Ratings (Moody''s,S&amp;P)'!A108</f>
        <v>Nigeria</v>
      </c>
      <c r="B115" s="47" t="str">
        <f aca="false">VLOOKUP(A115,'Regional lookup table'!$A$2:$B$162,2,FALSE())</f>
        <v>Africa</v>
      </c>
      <c r="C115" s="48" t="str">
        <f aca="false">VLOOKUP(A115,'Sovereign Ratings (Moody''s,S&amp;P)'!$A$2:$D$158,4,FALSE())</f>
        <v>B3</v>
      </c>
      <c r="D115" s="49" t="n">
        <f aca="false">VLOOKUP(C115,$J$10:$K$32,2,FALSE())/10000</f>
        <v>0.0552348054028417</v>
      </c>
      <c r="E115" s="49" t="n">
        <f aca="false">$E$3+F115</f>
        <v>0.12644349465472</v>
      </c>
      <c r="F115" s="50" t="n">
        <f aca="false">IF($E$5="Yes",D115*$E$6,D115)</f>
        <v>0.0841434946547197</v>
      </c>
      <c r="G115" s="51" t="n">
        <f aca="false">VLOOKUP(A115,'10-year CDS Spreads'!$A$2:$D$158,4,FALSE())</f>
        <v>0.0377</v>
      </c>
      <c r="H115" s="50" t="n">
        <f aca="false">IF(I115="NA","NA",$E$3+I115)</f>
        <v>0.0997313555618996</v>
      </c>
      <c r="I115" s="52" t="n">
        <f aca="false">IF(G115="NA","NA",G115*$E$6)</f>
        <v>0.0574313555618995</v>
      </c>
    </row>
    <row r="116" customFormat="false" ht="15.75" hidden="false" customHeight="false" outlineLevel="0" collapsed="false">
      <c r="A116" s="46" t="str">
        <f aca="false">'Sovereign Ratings (Moody''s,S&amp;P)'!A109</f>
        <v>Norway</v>
      </c>
      <c r="B116" s="47" t="str">
        <f aca="false">VLOOKUP(A116,'Regional lookup table'!$A$2:$B$162,2,FALSE())</f>
        <v>Western Europe</v>
      </c>
      <c r="C116" s="48" t="str">
        <f aca="false">VLOOKUP(A116,'Sovereign Ratings (Moody''s,S&amp;P)'!$A$2:$D$158,4,FALSE())</f>
        <v>Aaa</v>
      </c>
      <c r="D116" s="49" t="n">
        <f aca="false">VLOOKUP(C116,$J$10:$K$32,2,FALSE())/10000</f>
        <v>0</v>
      </c>
      <c r="E116" s="49" t="n">
        <f aca="false">$E$3+F116</f>
        <v>0.0423</v>
      </c>
      <c r="F116" s="50" t="n">
        <f aca="false">IF($E$5="Yes",D116*$E$6,D116)</f>
        <v>0</v>
      </c>
      <c r="G116" s="51" t="n">
        <f aca="false">VLOOKUP(A116,'10-year CDS Spreads'!$A$2:$D$158,4,FALSE())</f>
        <v>0.0004</v>
      </c>
      <c r="H116" s="50" t="n">
        <f aca="false">IF(I116="NA","NA",$E$3+I116)</f>
        <v>0.0429093512526462</v>
      </c>
      <c r="I116" s="52" t="n">
        <f aca="false">IF(G116="NA","NA",G116*$E$6)</f>
        <v>0.000609351252646149</v>
      </c>
    </row>
    <row r="117" customFormat="false" ht="15.75" hidden="false" customHeight="false" outlineLevel="0" collapsed="false">
      <c r="A117" s="46" t="str">
        <f aca="false">'Sovereign Ratings (Moody''s,S&amp;P)'!A110</f>
        <v>Oman</v>
      </c>
      <c r="B117" s="47" t="str">
        <f aca="false">VLOOKUP(A117,'Regional lookup table'!$A$2:$B$162,2,FALSE())</f>
        <v>Middle East</v>
      </c>
      <c r="C117" s="48" t="str">
        <f aca="false">VLOOKUP(A117,'Sovereign Ratings (Moody''s,S&amp;P)'!$A$2:$D$158,4,FALSE())</f>
        <v>Baa3</v>
      </c>
      <c r="D117" s="49" t="n">
        <f aca="false">VLOOKUP(C117,$J$10:$K$32,2,FALSE())/10000</f>
        <v>0.0186779540873986</v>
      </c>
      <c r="E117" s="49" t="n">
        <f aca="false">$E$3+F117</f>
        <v>0.0707535868000589</v>
      </c>
      <c r="F117" s="50" t="n">
        <f aca="false">IF($E$5="Yes",D117*$E$6,D117)</f>
        <v>0.0284535868000589</v>
      </c>
      <c r="G117" s="51" t="n">
        <f aca="false">VLOOKUP(A117,'10-year CDS Spreads'!$A$2:$D$158,4,FALSE())</f>
        <v>0.0116</v>
      </c>
      <c r="H117" s="50" t="n">
        <f aca="false">IF(I117="NA","NA",$E$3+I117)</f>
        <v>0.0599711863267383</v>
      </c>
      <c r="I117" s="52" t="n">
        <f aca="false">IF(G117="NA","NA",G117*$E$6)</f>
        <v>0.0176711863267383</v>
      </c>
    </row>
    <row r="118" customFormat="false" ht="15.75" hidden="false" customHeight="false" outlineLevel="0" collapsed="false">
      <c r="A118" s="46" t="str">
        <f aca="false">'Sovereign Ratings (Moody''s,S&amp;P)'!A111</f>
        <v>Pakistan</v>
      </c>
      <c r="B118" s="47" t="str">
        <f aca="false">VLOOKUP(A118,'Regional lookup table'!$A$2:$B$162,2,FALSE())</f>
        <v>Asia</v>
      </c>
      <c r="C118" s="48" t="str">
        <f aca="false">VLOOKUP(A118,'Sovereign Ratings (Moody''s,S&amp;P)'!$A$2:$D$158,4,FALSE())</f>
        <v>Caa1</v>
      </c>
      <c r="D118" s="49" t="n">
        <f aca="false">VLOOKUP(C118,$J$10:$K$32,2,FALSE())/10000</f>
        <v>0.0637247845334774</v>
      </c>
      <c r="E118" s="49" t="n">
        <f aca="false">$E$3+F118</f>
        <v>0.139376943200201</v>
      </c>
      <c r="F118" s="50" t="n">
        <f aca="false">IF($E$5="Yes",D118*$E$6,D118)</f>
        <v>0.097076943200201</v>
      </c>
      <c r="G118" s="51" t="n">
        <f aca="false">VLOOKUP(A118,'10-year CDS Spreads'!$A$2:$D$158,4,FALSE())</f>
        <v>0.0509</v>
      </c>
      <c r="H118" s="50" t="n">
        <f aca="false">IF(I118="NA","NA",$E$3+I118)</f>
        <v>0.119839946899222</v>
      </c>
      <c r="I118" s="52" t="n">
        <f aca="false">IF(G118="NA","NA",G118*$E$6)</f>
        <v>0.0775399468992224</v>
      </c>
    </row>
    <row r="119" customFormat="false" ht="15.75" hidden="false" customHeight="false" outlineLevel="0" collapsed="false">
      <c r="A119" s="46" t="str">
        <f aca="false">'Sovereign Ratings (Moody''s,S&amp;P)'!A112</f>
        <v>Panama</v>
      </c>
      <c r="B119" s="47" t="str">
        <f aca="false">VLOOKUP(A119,'Regional lookup table'!$A$2:$B$162,2,FALSE())</f>
        <v>Central and South America</v>
      </c>
      <c r="C119" s="48" t="str">
        <f aca="false">VLOOKUP(A119,'Sovereign Ratings (Moody''s,S&amp;P)'!$A$2:$D$158,4,FALSE())</f>
        <v>Baa3</v>
      </c>
      <c r="D119" s="49" t="n">
        <f aca="false">VLOOKUP(C119,$J$10:$K$32,2,FALSE())/10000</f>
        <v>0.0186779540873986</v>
      </c>
      <c r="E119" s="49" t="n">
        <f aca="false">$E$3+F119</f>
        <v>0.0707535868000589</v>
      </c>
      <c r="F119" s="50" t="n">
        <f aca="false">IF($E$5="Yes",D119*$E$6,D119)</f>
        <v>0.0284535868000589</v>
      </c>
      <c r="G119" s="51" t="n">
        <f aca="false">VLOOKUP(A119,'10-year CDS Spreads'!$A$2:$D$158,4,FALSE())</f>
        <v>0.0208</v>
      </c>
      <c r="H119" s="50" t="n">
        <f aca="false">IF(I119="NA","NA",$E$3+I119)</f>
        <v>0.0739862651375997</v>
      </c>
      <c r="I119" s="52" t="n">
        <f aca="false">IF(G119="NA","NA",G119*$E$6)</f>
        <v>0.0316862651375997</v>
      </c>
    </row>
    <row r="120" customFormat="false" ht="15.75" hidden="false" customHeight="false" outlineLevel="0" collapsed="false">
      <c r="A120" s="46" t="str">
        <f aca="false">'Sovereign Ratings (Moody''s,S&amp;P)'!A113</f>
        <v>Papua New Guinea</v>
      </c>
      <c r="B120" s="47" t="str">
        <f aca="false">VLOOKUP(A120,'Regional lookup table'!$A$2:$B$162,2,FALSE())</f>
        <v>Asia</v>
      </c>
      <c r="C120" s="48" t="str">
        <f aca="false">VLOOKUP(A120,'Sovereign Ratings (Moody''s,S&amp;P)'!$A$2:$D$158,4,FALSE())</f>
        <v>B2</v>
      </c>
      <c r="D120" s="49" t="n">
        <f aca="false">VLOOKUP(C120,$J$10:$K$32,2,FALSE())/10000</f>
        <v>0.046744826272206</v>
      </c>
      <c r="E120" s="49" t="n">
        <f aca="false">$E$3+F120</f>
        <v>0.113510046109238</v>
      </c>
      <c r="F120" s="50" t="n">
        <f aca="false">IF($E$5="Yes",D120*$E$6,D120)</f>
        <v>0.0712100461092384</v>
      </c>
      <c r="G120" s="51" t="str">
        <f aca="false">VLOOKUP(A120,'10-year CDS Spreads'!$A$2:$D$158,4,FALSE())</f>
        <v>NA</v>
      </c>
      <c r="H120" s="50" t="str">
        <f aca="false">IF(I120="NA","NA",$E$3+I120)</f>
        <v>NA</v>
      </c>
      <c r="I120" s="52" t="str">
        <f aca="false">IF(G120="NA","NA",G120*$E$6)</f>
        <v>NA</v>
      </c>
    </row>
    <row r="121" customFormat="false" ht="15.75" hidden="false" customHeight="false" outlineLevel="0" collapsed="false">
      <c r="A121" s="46" t="str">
        <f aca="false">'Sovereign Ratings (Moody''s,S&amp;P)'!A114</f>
        <v>Paraguay</v>
      </c>
      <c r="B121" s="47" t="str">
        <f aca="false">VLOOKUP(A121,'Regional lookup table'!$A$2:$B$162,2,FALSE())</f>
        <v>Central and South America</v>
      </c>
      <c r="C121" s="48" t="str">
        <f aca="false">VLOOKUP(A121,'Sovereign Ratings (Moody''s,S&amp;P)'!$A$2:$D$158,4,FALSE())</f>
        <v>Baa3</v>
      </c>
      <c r="D121" s="49" t="n">
        <f aca="false">VLOOKUP(C121,$J$10:$K$32,2,FALSE())/10000</f>
        <v>0.0186779540873986</v>
      </c>
      <c r="E121" s="49" t="n">
        <f aca="false">$E$3+F121</f>
        <v>0.0707535868000589</v>
      </c>
      <c r="F121" s="50" t="n">
        <f aca="false">IF($E$5="Yes",D121*$E$6,D121)</f>
        <v>0.0284535868000589</v>
      </c>
      <c r="G121" s="51" t="str">
        <f aca="false">VLOOKUP(A121,'10-year CDS Spreads'!$A$2:$D$158,4,FALSE())</f>
        <v>NA</v>
      </c>
      <c r="H121" s="50" t="str">
        <f aca="false">IF(I121="NA","NA",$E$3+I121)</f>
        <v>NA</v>
      </c>
      <c r="I121" s="52" t="str">
        <f aca="false">IF(G121="NA","NA",G121*$E$6)</f>
        <v>NA</v>
      </c>
    </row>
    <row r="122" customFormat="false" ht="15.75" hidden="false" customHeight="false" outlineLevel="0" collapsed="false">
      <c r="A122" s="46" t="str">
        <f aca="false">'Sovereign Ratings (Moody''s,S&amp;P)'!A115</f>
        <v>Peru</v>
      </c>
      <c r="B122" s="47" t="str">
        <f aca="false">VLOOKUP(A122,'Regional lookup table'!$A$2:$B$162,2,FALSE())</f>
        <v>Central and South America</v>
      </c>
      <c r="C122" s="48" t="str">
        <f aca="false">VLOOKUP(A122,'Sovereign Ratings (Moody''s,S&amp;P)'!$A$2:$D$158,4,FALSE())</f>
        <v>Baa1</v>
      </c>
      <c r="D122" s="49" t="n">
        <f aca="false">VLOOKUP(C122,$J$10:$K$32,2,FALSE())/10000</f>
        <v>0.0135839666090171</v>
      </c>
      <c r="E122" s="49" t="n">
        <f aca="false">$E$3+F122</f>
        <v>0.0629935176727701</v>
      </c>
      <c r="F122" s="50" t="n">
        <f aca="false">IF($E$5="Yes",D122*$E$6,D122)</f>
        <v>0.0206935176727701</v>
      </c>
      <c r="G122" s="51" t="n">
        <f aca="false">VLOOKUP(A122,'10-year CDS Spreads'!$A$2:$D$158,4,FALSE())</f>
        <v>0.0112</v>
      </c>
      <c r="H122" s="50" t="n">
        <f aca="false">IF(I122="NA","NA",$E$3+I122)</f>
        <v>0.0593618350740922</v>
      </c>
      <c r="I122" s="52" t="n">
        <f aca="false">IF(G122="NA","NA",G122*$E$6)</f>
        <v>0.0170618350740922</v>
      </c>
    </row>
    <row r="123" customFormat="false" ht="15.75" hidden="false" customHeight="false" outlineLevel="0" collapsed="false">
      <c r="A123" s="46" t="str">
        <f aca="false">'Sovereign Ratings (Moody''s,S&amp;P)'!A116</f>
        <v>Philippines</v>
      </c>
      <c r="B123" s="47" t="str">
        <f aca="false">VLOOKUP(A123,'Regional lookup table'!$A$2:$B$162,2,FALSE())</f>
        <v>Asia</v>
      </c>
      <c r="C123" s="48" t="str">
        <f aca="false">VLOOKUP(A123,'Sovereign Ratings (Moody''s,S&amp;P)'!$A$2:$D$158,4,FALSE())</f>
        <v>Baa2</v>
      </c>
      <c r="D123" s="49" t="n">
        <f aca="false">VLOOKUP(C123,$J$10:$K$32,2,FALSE())/10000</f>
        <v>0.0161809014019175</v>
      </c>
      <c r="E123" s="49" t="n">
        <f aca="false">$E$3+F123</f>
        <v>0.0669496313455056</v>
      </c>
      <c r="F123" s="50" t="n">
        <f aca="false">IF($E$5="Yes",D123*$E$6,D123)</f>
        <v>0.0246496313455056</v>
      </c>
      <c r="G123" s="51" t="n">
        <f aca="false">VLOOKUP(A123,'10-year CDS Spreads'!$A$2:$D$158,4,FALSE())</f>
        <v>0.0088</v>
      </c>
      <c r="H123" s="50" t="n">
        <f aca="false">IF(I123="NA","NA",$E$3+I123)</f>
        <v>0.0557057275582153</v>
      </c>
      <c r="I123" s="52" t="n">
        <f aca="false">IF(G123="NA","NA",G123*$E$6)</f>
        <v>0.0134057275582153</v>
      </c>
    </row>
    <row r="124" customFormat="false" ht="15.75" hidden="false" customHeight="false" outlineLevel="0" collapsed="false">
      <c r="A124" s="46" t="str">
        <f aca="false">'Sovereign Ratings (Moody''s,S&amp;P)'!A117</f>
        <v>Poland</v>
      </c>
      <c r="B124" s="47" t="str">
        <f aca="false">VLOOKUP(A124,'Regional lookup table'!$A$2:$B$162,2,FALSE())</f>
        <v>Eastern Europe &amp; Russia</v>
      </c>
      <c r="C124" s="48" t="str">
        <f aca="false">VLOOKUP(A124,'Sovereign Ratings (Moody''s,S&amp;P)'!$A$2:$D$158,4,FALSE())</f>
        <v>A2</v>
      </c>
      <c r="D124" s="49" t="n">
        <f aca="false">VLOOKUP(C124,$J$10:$K$32,2,FALSE())/10000</f>
        <v>0.00719151173418554</v>
      </c>
      <c r="E124" s="49" t="n">
        <f aca="false">$E$3+F124</f>
        <v>0.0532553917091136</v>
      </c>
      <c r="F124" s="50" t="n">
        <f aca="false">IF($E$5="Yes",D124*$E$6,D124)</f>
        <v>0.0109553917091136</v>
      </c>
      <c r="G124" s="51" t="n">
        <f aca="false">VLOOKUP(A124,'10-year CDS Spreads'!$A$2:$D$158,4,FALSE())</f>
        <v>0.0086</v>
      </c>
      <c r="H124" s="50" t="n">
        <f aca="false">IF(I124="NA","NA",$E$3+I124)</f>
        <v>0.0554010519318922</v>
      </c>
      <c r="I124" s="52" t="n">
        <f aca="false">IF(G124="NA","NA",G124*$E$6)</f>
        <v>0.0131010519318922</v>
      </c>
    </row>
    <row r="125" customFormat="false" ht="15.75" hidden="false" customHeight="false" outlineLevel="0" collapsed="false">
      <c r="A125" s="46" t="str">
        <f aca="false">'Sovereign Ratings (Moody''s,S&amp;P)'!A118</f>
        <v>Portugal</v>
      </c>
      <c r="B125" s="47" t="str">
        <f aca="false">VLOOKUP(A125,'Regional lookup table'!$A$2:$B$162,2,FALSE())</f>
        <v>Western Europe</v>
      </c>
      <c r="C125" s="48" t="str">
        <f aca="false">VLOOKUP(A125,'Sovereign Ratings (Moody''s,S&amp;P)'!$A$2:$D$158,4,FALSE())</f>
        <v>A3</v>
      </c>
      <c r="D125" s="49" t="n">
        <f aca="false">VLOOKUP(C125,$J$10:$K$32,2,FALSE())/10000</f>
        <v>0.0101879749567629</v>
      </c>
      <c r="E125" s="49" t="n">
        <f aca="false">$E$3+F125</f>
        <v>0.0578201382545776</v>
      </c>
      <c r="F125" s="50" t="n">
        <f aca="false">IF($E$5="Yes",D125*$E$6,D125)</f>
        <v>0.0155201382545776</v>
      </c>
      <c r="G125" s="51" t="n">
        <f aca="false">VLOOKUP(A125,'10-year CDS Spreads'!$A$2:$D$158,4,FALSE())</f>
        <v>0.0031</v>
      </c>
      <c r="H125" s="50" t="n">
        <f aca="false">IF(I125="NA","NA",$E$3+I125)</f>
        <v>0.0470224722080077</v>
      </c>
      <c r="I125" s="52" t="n">
        <f aca="false">IF(G125="NA","NA",G125*$E$6)</f>
        <v>0.00472247220800765</v>
      </c>
    </row>
    <row r="126" customFormat="false" ht="15.75" hidden="false" customHeight="false" outlineLevel="0" collapsed="false">
      <c r="A126" s="46" t="str">
        <f aca="false">'Sovereign Ratings (Moody''s,S&amp;P)'!A119</f>
        <v>Qatar</v>
      </c>
      <c r="B126" s="47" t="str">
        <f aca="false">VLOOKUP(A126,'Regional lookup table'!$A$2:$B$162,2,FALSE())</f>
        <v>Middle East</v>
      </c>
      <c r="C126" s="48" t="str">
        <f aca="false">VLOOKUP(A126,'Sovereign Ratings (Moody''s,S&amp;P)'!$A$2:$D$158,4,FALSE())</f>
        <v>Aa2</v>
      </c>
      <c r="D126" s="49" t="n">
        <f aca="false">VLOOKUP(C126,$J$10:$K$32,2,FALSE())/10000</f>
        <v>0.00419504851160823</v>
      </c>
      <c r="E126" s="49" t="n">
        <f aca="false">$E$3+F126</f>
        <v>0.0486906451636496</v>
      </c>
      <c r="F126" s="50" t="n">
        <f aca="false">IF($E$5="Yes",D126*$E$6,D126)</f>
        <v>0.0063906451636496</v>
      </c>
      <c r="G126" s="51" t="n">
        <f aca="false">VLOOKUP(A126,'10-year CDS Spreads'!$A$2:$D$158,4,FALSE())</f>
        <v>0.0047</v>
      </c>
      <c r="H126" s="50" t="n">
        <f aca="false">IF(I126="NA","NA",$E$3+I126)</f>
        <v>0.0494598772185922</v>
      </c>
      <c r="I126" s="52" t="n">
        <f aca="false">IF(G126="NA","NA",G126*$E$6)</f>
        <v>0.00715987721859225</v>
      </c>
    </row>
    <row r="127" customFormat="false" ht="15.75" hidden="false" customHeight="false" outlineLevel="0" collapsed="false">
      <c r="A127" s="46" t="str">
        <f aca="false">'Sovereign Ratings (Moody''s,S&amp;P)'!A120</f>
        <v>Ras Al Khaimah (Emirate of)</v>
      </c>
      <c r="B127" s="47" t="str">
        <f aca="false">VLOOKUP(A127,'Regional lookup table'!$A$2:$B$162,2,FALSE())</f>
        <v>Middle East</v>
      </c>
      <c r="C127" s="48" t="str">
        <f aca="false">VLOOKUP(A127,'Sovereign Ratings (Moody''s,S&amp;P)'!$A$2:$D$158,4,FALSE())</f>
        <v>A3</v>
      </c>
      <c r="D127" s="49" t="n">
        <f aca="false">VLOOKUP(C127,$J$10:$K$32,2,FALSE())/10000</f>
        <v>0.0101879749567629</v>
      </c>
      <c r="E127" s="49" t="n">
        <f aca="false">$E$3+F127</f>
        <v>0.0578201382545776</v>
      </c>
      <c r="F127" s="50" t="n">
        <f aca="false">IF($E$5="Yes",D127*$E$6,D127)</f>
        <v>0.0155201382545776</v>
      </c>
      <c r="G127" s="51" t="str">
        <f aca="false">VLOOKUP(A127,'10-year CDS Spreads'!$A$2:$D$158,4,FALSE())</f>
        <v>NA</v>
      </c>
      <c r="H127" s="50" t="str">
        <f aca="false">IF(I127="NA","NA",$E$3+I127)</f>
        <v>NA</v>
      </c>
      <c r="I127" s="52" t="str">
        <f aca="false">IF(G127="NA","NA",G127*$E$6)</f>
        <v>NA</v>
      </c>
    </row>
    <row r="128" customFormat="false" ht="15.75" hidden="false" customHeight="false" outlineLevel="0" collapsed="false">
      <c r="A128" s="46" t="str">
        <f aca="false">'Sovereign Ratings (Moody''s,S&amp;P)'!A121</f>
        <v>Romania</v>
      </c>
      <c r="B128" s="47" t="str">
        <f aca="false">VLOOKUP(A128,'Regional lookup table'!$A$2:$B$162,2,FALSE())</f>
        <v>Eastern Europe &amp; Russia</v>
      </c>
      <c r="C128" s="48" t="str">
        <f aca="false">VLOOKUP(A128,'Sovereign Ratings (Moody''s,S&amp;P)'!$A$2:$D$158,4,FALSE())</f>
        <v>Baa3</v>
      </c>
      <c r="D128" s="49" t="n">
        <f aca="false">VLOOKUP(C128,$J$10:$K$32,2,FALSE())/10000</f>
        <v>0.0186779540873986</v>
      </c>
      <c r="E128" s="49" t="n">
        <f aca="false">$E$3+F128</f>
        <v>0.0707535868000589</v>
      </c>
      <c r="F128" s="50" t="n">
        <f aca="false">IF($E$5="Yes",D128*$E$6,D128)</f>
        <v>0.0284535868000589</v>
      </c>
      <c r="G128" s="51" t="n">
        <f aca="false">VLOOKUP(A128,'10-year CDS Spreads'!$A$2:$D$158,4,FALSE())</f>
        <v>0.0197</v>
      </c>
      <c r="H128" s="50" t="n">
        <f aca="false">IF(I128="NA","NA",$E$3+I128)</f>
        <v>0.0723105491928228</v>
      </c>
      <c r="I128" s="52" t="n">
        <f aca="false">IF(G128="NA","NA",G128*$E$6)</f>
        <v>0.0300105491928228</v>
      </c>
    </row>
    <row r="129" customFormat="false" ht="15.75" hidden="false" customHeight="false" outlineLevel="0" collapsed="false">
      <c r="A129" s="46" t="str">
        <f aca="false">'Sovereign Ratings (Moody''s,S&amp;P)'!A122</f>
        <v>Rwanda</v>
      </c>
      <c r="B129" s="47" t="str">
        <f aca="false">VLOOKUP(A129,'Regional lookup table'!$A$2:$B$162,2,FALSE())</f>
        <v>Africa</v>
      </c>
      <c r="C129" s="48" t="str">
        <f aca="false">VLOOKUP(A129,'Sovereign Ratings (Moody''s,S&amp;P)'!$A$2:$D$158,4,FALSE())</f>
        <v>B2</v>
      </c>
      <c r="D129" s="49" t="n">
        <f aca="false">VLOOKUP(C129,$J$10:$K$32,2,FALSE())/10000</f>
        <v>0.046744826272206</v>
      </c>
      <c r="E129" s="49" t="n">
        <f aca="false">$E$3+F129</f>
        <v>0.113510046109238</v>
      </c>
      <c r="F129" s="50" t="n">
        <f aca="false">IF($E$5="Yes",D129*$E$6,D129)</f>
        <v>0.0712100461092384</v>
      </c>
      <c r="G129" s="51" t="n">
        <f aca="false">VLOOKUP(A129,'10-year CDS Spreads'!$A$2:$D$158,4,FALSE())</f>
        <v>0.0389</v>
      </c>
      <c r="H129" s="50" t="n">
        <f aca="false">IF(I129="NA","NA",$E$3+I129)</f>
        <v>0.101559409319838</v>
      </c>
      <c r="I129" s="52" t="n">
        <f aca="false">IF(G129="NA","NA",G129*$E$6)</f>
        <v>0.059259409319838</v>
      </c>
    </row>
    <row r="130" customFormat="false" ht="15.75" hidden="false" customHeight="false" outlineLevel="0" collapsed="false">
      <c r="A130" s="46" t="str">
        <f aca="false">'Sovereign Ratings (Moody''s,S&amp;P)'!A123</f>
        <v>Saudi Arabia</v>
      </c>
      <c r="B130" s="47" t="str">
        <f aca="false">VLOOKUP(A130,'Regional lookup table'!$A$2:$B$162,2,FALSE())</f>
        <v>Middle East</v>
      </c>
      <c r="C130" s="48" t="str">
        <f aca="false">VLOOKUP(A130,'Sovereign Ratings (Moody''s,S&amp;P)'!$A$2:$D$158,4,FALSE())</f>
        <v>Aa3</v>
      </c>
      <c r="D130" s="49" t="n">
        <f aca="false">VLOOKUP(C130,$J$10:$K$32,2,FALSE())/10000</f>
        <v>0.00509398747838143</v>
      </c>
      <c r="E130" s="49" t="n">
        <f aca="false">$E$3+F130</f>
        <v>0.0500600691272888</v>
      </c>
      <c r="F130" s="50" t="n">
        <f aca="false">IF($E$5="Yes",D130*$E$6,D130)</f>
        <v>0.0077600691272888</v>
      </c>
      <c r="G130" s="51" t="n">
        <f aca="false">VLOOKUP(A130,'10-year CDS Spreads'!$A$2:$D$158,4,FALSE())</f>
        <v>0.0098</v>
      </c>
      <c r="H130" s="50" t="n">
        <f aca="false">IF(I130="NA","NA",$E$3+I130)</f>
        <v>0.0572291056898307</v>
      </c>
      <c r="I130" s="52" t="n">
        <f aca="false">IF(G130="NA","NA",G130*$E$6)</f>
        <v>0.0149291056898306</v>
      </c>
    </row>
    <row r="131" customFormat="false" ht="15.75" hidden="false" customHeight="false" outlineLevel="0" collapsed="false">
      <c r="A131" s="46" t="str">
        <f aca="false">'Sovereign Ratings (Moody''s,S&amp;P)'!A124</f>
        <v>Senegal</v>
      </c>
      <c r="B131" s="47" t="str">
        <f aca="false">VLOOKUP(A131,'Regional lookup table'!$A$2:$B$162,2,FALSE())</f>
        <v>Africa</v>
      </c>
      <c r="C131" s="48" t="str">
        <f aca="false">VLOOKUP(A131,'Sovereign Ratings (Moody''s,S&amp;P)'!$A$2:$D$158,4,FALSE())</f>
        <v>Caa1</v>
      </c>
      <c r="D131" s="49" t="n">
        <f aca="false">VLOOKUP(C131,$J$10:$K$32,2,FALSE())/10000</f>
        <v>0.0637247845334774</v>
      </c>
      <c r="E131" s="49" t="n">
        <f aca="false">$E$3+F131</f>
        <v>0.139376943200201</v>
      </c>
      <c r="F131" s="50" t="n">
        <f aca="false">IF($E$5="Yes",D131*$E$6,D131)</f>
        <v>0.097076943200201</v>
      </c>
      <c r="G131" s="51" t="n">
        <f aca="false">VLOOKUP(A131,'10-year CDS Spreads'!$A$2:$D$158,4,FALSE())</f>
        <v>0.0979</v>
      </c>
      <c r="H131" s="50" t="n">
        <f aca="false">IF(I131="NA","NA",$E$3+I131)</f>
        <v>0.191438719085145</v>
      </c>
      <c r="I131" s="52" t="n">
        <f aca="false">IF(G131="NA","NA",G131*$E$6)</f>
        <v>0.149138719085145</v>
      </c>
    </row>
    <row r="132" customFormat="false" ht="15.75" hidden="false" customHeight="false" outlineLevel="0" collapsed="false">
      <c r="A132" s="46" t="str">
        <f aca="false">'Sovereign Ratings (Moody''s,S&amp;P)'!A125</f>
        <v>Serbia</v>
      </c>
      <c r="B132" s="47" t="str">
        <f aca="false">VLOOKUP(A132,'Regional lookup table'!$A$2:$B$162,2,FALSE())</f>
        <v>Eastern Europe &amp; Russia</v>
      </c>
      <c r="C132" s="48" t="str">
        <f aca="false">VLOOKUP(A132,'Sovereign Ratings (Moody''s,S&amp;P)'!$A$2:$D$158,4,FALSE())</f>
        <v>Ba2</v>
      </c>
      <c r="D132" s="49" t="n">
        <f aca="false">VLOOKUP(C132,$J$10:$K$32,2,FALSE())/10000</f>
        <v>0.0255698194993264</v>
      </c>
      <c r="E132" s="49" t="n">
        <f aca="false">$E$3+F132</f>
        <v>0.0812525038546261</v>
      </c>
      <c r="F132" s="50" t="n">
        <f aca="false">IF($E$5="Yes",D132*$E$6,D132)</f>
        <v>0.0389525038546261</v>
      </c>
      <c r="G132" s="51" t="n">
        <f aca="false">VLOOKUP(A132,'10-year CDS Spreads'!$A$2:$D$158,4,FALSE())</f>
        <v>0.0182</v>
      </c>
      <c r="H132" s="50" t="n">
        <f aca="false">IF(I132="NA","NA",$E$3+I132)</f>
        <v>0.0700254819953998</v>
      </c>
      <c r="I132" s="52" t="n">
        <f aca="false">IF(G132="NA","NA",G132*$E$6)</f>
        <v>0.0277254819953998</v>
      </c>
    </row>
    <row r="133" customFormat="false" ht="15.75" hidden="false" customHeight="false" outlineLevel="0" collapsed="false">
      <c r="A133" s="46" t="str">
        <f aca="false">'Sovereign Ratings (Moody''s,S&amp;P)'!A126</f>
        <v>Sharjah</v>
      </c>
      <c r="B133" s="47" t="str">
        <f aca="false">VLOOKUP(A133,'Regional lookup table'!$A$2:$B$162,2,FALSE())</f>
        <v>Middle East</v>
      </c>
      <c r="C133" s="48" t="str">
        <f aca="false">VLOOKUP(A133,'Sovereign Ratings (Moody''s,S&amp;P)'!$A$2:$D$158,4,FALSE())</f>
        <v>Ba1</v>
      </c>
      <c r="D133" s="49" t="n">
        <f aca="false">VLOOKUP(C133,$J$10:$K$32,2,FALSE())/10000</f>
        <v>0.0212748888802989</v>
      </c>
      <c r="E133" s="49" t="n">
        <f aca="false">$E$3+F133</f>
        <v>0.0747097004727944</v>
      </c>
      <c r="F133" s="50" t="n">
        <f aca="false">IF($E$5="Yes",D133*$E$6,D133)</f>
        <v>0.0324097004727944</v>
      </c>
      <c r="G133" s="51" t="e">
        <f aca="false">VLOOKUP(A133,'10-year CDS Spreads'!$A$2:$D$158,4,FALSE())</f>
        <v>#N/A</v>
      </c>
      <c r="H133" s="50" t="e">
        <f aca="false">IF(I133="NA","NA",$E$3+I133)</f>
        <v>#N/A</v>
      </c>
      <c r="I133" s="52" t="e">
        <f aca="false">IF(G133="NA","NA",G133*$E$6)</f>
        <v>#N/A</v>
      </c>
    </row>
    <row r="134" customFormat="false" ht="15.75" hidden="false" customHeight="false" outlineLevel="0" collapsed="false">
      <c r="A134" s="46" t="str">
        <f aca="false">'Sovereign Ratings (Moody''s,S&amp;P)'!A127</f>
        <v>Singapore</v>
      </c>
      <c r="B134" s="47" t="str">
        <f aca="false">VLOOKUP(A134,'Regional lookup table'!$A$2:$B$162,2,FALSE())</f>
        <v>Asia</v>
      </c>
      <c r="C134" s="48" t="str">
        <f aca="false">VLOOKUP(A134,'Sovereign Ratings (Moody''s,S&amp;P)'!$A$2:$D$158,4,FALSE())</f>
        <v>Aaa</v>
      </c>
      <c r="D134" s="49" t="n">
        <f aca="false">VLOOKUP(C134,$J$10:$K$32,2,FALSE())/10000</f>
        <v>0</v>
      </c>
      <c r="E134" s="49" t="n">
        <f aca="false">$E$3+F134</f>
        <v>0.0423</v>
      </c>
      <c r="F134" s="50" t="n">
        <f aca="false">IF($E$5="Yes",D134*$E$6,D134)</f>
        <v>0</v>
      </c>
      <c r="G134" s="51" t="e">
        <f aca="false">VLOOKUP(A134,'10-year CDS Spreads'!$A$2:$D$158,4,FALSE())</f>
        <v>#N/A</v>
      </c>
      <c r="H134" s="50" t="e">
        <f aca="false">IF(I134="NA","NA",$E$3+I134)</f>
        <v>#N/A</v>
      </c>
      <c r="I134" s="52" t="e">
        <f aca="false">IF(G134="NA","NA",G134*$E$6)</f>
        <v>#N/A</v>
      </c>
    </row>
    <row r="135" customFormat="false" ht="15.75" hidden="false" customHeight="false" outlineLevel="0" collapsed="false">
      <c r="A135" s="46" t="str">
        <f aca="false">'Sovereign Ratings (Moody''s,S&amp;P)'!A128</f>
        <v>Slovakia</v>
      </c>
      <c r="B135" s="47" t="str">
        <f aca="false">VLOOKUP(A135,'Regional lookup table'!$A$2:$B$162,2,FALSE())</f>
        <v>Eastern Europe &amp; Russia</v>
      </c>
      <c r="C135" s="48" t="str">
        <f aca="false">VLOOKUP(A135,'Sovereign Ratings (Moody''s,S&amp;P)'!$A$2:$D$158,4,FALSE())</f>
        <v>A3</v>
      </c>
      <c r="D135" s="49" t="n">
        <f aca="false">VLOOKUP(C135,$J$10:$K$32,2,FALSE())/10000</f>
        <v>0.0101879749567629</v>
      </c>
      <c r="E135" s="49" t="n">
        <f aca="false">$E$3+F135</f>
        <v>0.0578201382545776</v>
      </c>
      <c r="F135" s="50" t="n">
        <f aca="false">IF($E$5="Yes",D135*$E$6,D135)</f>
        <v>0.0155201382545776</v>
      </c>
      <c r="G135" s="51" t="n">
        <f aca="false">VLOOKUP(A135,'10-year CDS Spreads'!$A$2:$D$158,4,FALSE())</f>
        <v>0.0043</v>
      </c>
      <c r="H135" s="50" t="n">
        <f aca="false">IF(I135="NA","NA",$E$3+I135)</f>
        <v>0.0488505259659461</v>
      </c>
      <c r="I135" s="52" t="n">
        <f aca="false">IF(G135="NA","NA",G135*$E$6)</f>
        <v>0.0065505259659461</v>
      </c>
    </row>
    <row r="136" customFormat="false" ht="15.75" hidden="false" customHeight="false" outlineLevel="0" collapsed="false">
      <c r="A136" s="46" t="str">
        <f aca="false">'Sovereign Ratings (Moody''s,S&amp;P)'!A129</f>
        <v>Slovenia</v>
      </c>
      <c r="B136" s="47" t="str">
        <f aca="false">VLOOKUP(A136,'Regional lookup table'!$A$2:$B$162,2,FALSE())</f>
        <v>Eastern Europe &amp; Russia</v>
      </c>
      <c r="C136" s="48" t="str">
        <f aca="false">VLOOKUP(A136,'Sovereign Ratings (Moody''s,S&amp;P)'!$A$2:$D$158,4,FALSE())</f>
        <v>A3</v>
      </c>
      <c r="D136" s="49" t="n">
        <f aca="false">VLOOKUP(C136,$J$10:$K$32,2,FALSE())/10000</f>
        <v>0.0101879749567629</v>
      </c>
      <c r="E136" s="49" t="n">
        <f aca="false">$E$3+F136</f>
        <v>0.0578201382545776</v>
      </c>
      <c r="F136" s="50" t="n">
        <f aca="false">IF($E$5="Yes",D136*$E$6,D136)</f>
        <v>0.0155201382545776</v>
      </c>
      <c r="G136" s="51" t="n">
        <f aca="false">VLOOKUP(A136,'10-year CDS Spreads'!$A$2:$D$158,4,FALSE())</f>
        <v>0.0053</v>
      </c>
      <c r="H136" s="50" t="n">
        <f aca="false">IF(I136="NA","NA",$E$3+I136)</f>
        <v>0.0503739040975615</v>
      </c>
      <c r="I136" s="52" t="n">
        <f aca="false">IF(G136="NA","NA",G136*$E$6)</f>
        <v>0.00807390409756147</v>
      </c>
    </row>
    <row r="137" customFormat="false" ht="15.75" hidden="false" customHeight="false" outlineLevel="0" collapsed="false">
      <c r="A137" s="46" t="str">
        <f aca="false">'Sovereign Ratings (Moody''s,S&amp;P)'!A130</f>
        <v>Solomon Islands</v>
      </c>
      <c r="B137" s="47" t="str">
        <f aca="false">VLOOKUP(A137,'Regional lookup table'!$A$2:$B$162,2,FALSE())</f>
        <v>Asia</v>
      </c>
      <c r="C137" s="48" t="str">
        <f aca="false">VLOOKUP(A137,'Sovereign Ratings (Moody''s,S&amp;P)'!$A$2:$D$158,4,FALSE())</f>
        <v>Caa1</v>
      </c>
      <c r="D137" s="49" t="n">
        <f aca="false">VLOOKUP(C137,$J$10:$K$32,2,FALSE())/10000</f>
        <v>0.0637247845334774</v>
      </c>
      <c r="E137" s="49" t="n">
        <f aca="false">$E$3+F137</f>
        <v>0.139376943200201</v>
      </c>
      <c r="F137" s="50" t="n">
        <f aca="false">IF($E$5="Yes",D137*$E$6,D137)</f>
        <v>0.097076943200201</v>
      </c>
      <c r="G137" s="51" t="e">
        <f aca="false">VLOOKUP(A137,'10-year CDS Spreads'!$A$2:$D$158,4,FALSE())</f>
        <v>#N/A</v>
      </c>
      <c r="H137" s="50" t="e">
        <f aca="false">IF(I137="NA","NA",$E$3+I137)</f>
        <v>#N/A</v>
      </c>
      <c r="I137" s="52" t="e">
        <f aca="false">IF(G137="NA","NA",G137*$E$6)</f>
        <v>#N/A</v>
      </c>
    </row>
    <row r="138" customFormat="false" ht="15.75" hidden="false" customHeight="false" outlineLevel="0" collapsed="false">
      <c r="A138" s="46" t="str">
        <f aca="false">'Sovereign Ratings (Moody''s,S&amp;P)'!A131</f>
        <v>South Africa</v>
      </c>
      <c r="B138" s="47" t="str">
        <f aca="false">VLOOKUP(A138,'Regional lookup table'!$A$2:$B$162,2,FALSE())</f>
        <v>Africa</v>
      </c>
      <c r="C138" s="48" t="str">
        <f aca="false">VLOOKUP(A138,'Sovereign Ratings (Moody''s,S&amp;P)'!$A$2:$D$158,4,FALSE())</f>
        <v>Ba2</v>
      </c>
      <c r="D138" s="49" t="n">
        <f aca="false">VLOOKUP(C138,$J$10:$K$32,2,FALSE())/10000</f>
        <v>0.0255698194993264</v>
      </c>
      <c r="E138" s="49" t="n">
        <f aca="false">$E$3+F138</f>
        <v>0.0812525038546261</v>
      </c>
      <c r="F138" s="50" t="n">
        <f aca="false">IF($E$5="Yes",D138*$E$6,D138)</f>
        <v>0.0389525038546261</v>
      </c>
      <c r="G138" s="51" t="n">
        <f aca="false">VLOOKUP(A138,'10-year CDS Spreads'!$A$2:$D$158,4,FALSE())</f>
        <v>0.0226</v>
      </c>
      <c r="H138" s="50" t="n">
        <f aca="false">IF(I138="NA","NA",$E$3+I138)</f>
        <v>0.0767283457745074</v>
      </c>
      <c r="I138" s="52" t="n">
        <f aca="false">IF(G138="NA","NA",G138*$E$6)</f>
        <v>0.0344283457745074</v>
      </c>
    </row>
    <row r="139" customFormat="false" ht="15.75" hidden="false" customHeight="false" outlineLevel="0" collapsed="false">
      <c r="A139" s="46" t="str">
        <f aca="false">'Sovereign Ratings (Moody''s,S&amp;P)'!A132</f>
        <v>Spain</v>
      </c>
      <c r="B139" s="47" t="str">
        <f aca="false">VLOOKUP(A139,'Regional lookup table'!$A$2:$B$162,2,FALSE())</f>
        <v>Western Europe</v>
      </c>
      <c r="C139" s="48" t="str">
        <f aca="false">VLOOKUP(A139,'Sovereign Ratings (Moody''s,S&amp;P)'!$A$2:$D$158,4,FALSE())</f>
        <v>A3</v>
      </c>
      <c r="D139" s="49" t="n">
        <f aca="false">VLOOKUP(C139,$J$10:$K$32,2,FALSE())/10000</f>
        <v>0.0101879749567629</v>
      </c>
      <c r="E139" s="49" t="n">
        <f aca="false">$E$3+F139</f>
        <v>0.0578201382545776</v>
      </c>
      <c r="F139" s="50" t="n">
        <f aca="false">IF($E$5="Yes",D139*$E$6,D139)</f>
        <v>0.0155201382545776</v>
      </c>
      <c r="G139" s="51" t="n">
        <f aca="false">VLOOKUP(A139,'10-year CDS Spreads'!$A$2:$D$158,4,FALSE())</f>
        <v>0.0031</v>
      </c>
      <c r="H139" s="50" t="n">
        <f aca="false">IF(I139="NA","NA",$E$3+I139)</f>
        <v>0.0470224722080077</v>
      </c>
      <c r="I139" s="52" t="n">
        <f aca="false">IF(G139="NA","NA",G139*$E$6)</f>
        <v>0.00472247220800765</v>
      </c>
    </row>
    <row r="140" customFormat="false" ht="15.75" hidden="false" customHeight="false" outlineLevel="0" collapsed="false">
      <c r="A140" s="46" t="str">
        <f aca="false">'Sovereign Ratings (Moody''s,S&amp;P)'!A133</f>
        <v>Sri Lanka</v>
      </c>
      <c r="B140" s="47" t="str">
        <f aca="false">VLOOKUP(A140,'Regional lookup table'!$A$2:$B$162,2,FALSE())</f>
        <v>Asia</v>
      </c>
      <c r="C140" s="48" t="str">
        <f aca="false">VLOOKUP(A140,'Sovereign Ratings (Moody''s,S&amp;P)'!$A$2:$D$158,4,FALSE())</f>
        <v>Ca</v>
      </c>
      <c r="D140" s="49" t="n">
        <f aca="false">VLOOKUP(C140,$J$10:$K$32,2,FALSE())/10000</f>
        <v>0.101979631675048</v>
      </c>
      <c r="E140" s="49" t="n">
        <f aca="false">$E$3+F140</f>
        <v>0.197653540763958</v>
      </c>
      <c r="F140" s="50" t="n">
        <f aca="false">IF($E$5="Yes",D140*$E$6,D140)</f>
        <v>0.155353540763958</v>
      </c>
      <c r="G140" s="51" t="str">
        <f aca="false">VLOOKUP(A140,'10-year CDS Spreads'!$A$2:$D$158,4,FALSE())</f>
        <v>NA</v>
      </c>
      <c r="H140" s="50" t="str">
        <f aca="false">IF(I140="NA","NA",$E$3+I140)</f>
        <v>NA</v>
      </c>
      <c r="I140" s="52" t="str">
        <f aca="false">IF(G140="NA","NA",G140*$E$6)</f>
        <v>NA</v>
      </c>
    </row>
    <row r="141" customFormat="false" ht="15.75" hidden="false" customHeight="false" outlineLevel="0" collapsed="false">
      <c r="A141" s="46" t="str">
        <f aca="false">'Sovereign Ratings (Moody''s,S&amp;P)'!A134</f>
        <v>St. Maarten</v>
      </c>
      <c r="B141" s="47" t="str">
        <f aca="false">VLOOKUP(A141,'Regional lookup table'!$A$2:$B$162,2,FALSE())</f>
        <v>Caribbean</v>
      </c>
      <c r="C141" s="48" t="str">
        <f aca="false">VLOOKUP(A141,'Sovereign Ratings (Moody''s,S&amp;P)'!$A$2:$D$158,4,FALSE())</f>
        <v>Ba2</v>
      </c>
      <c r="D141" s="49" t="n">
        <f aca="false">VLOOKUP(C141,$J$10:$K$32,2,FALSE())/10000</f>
        <v>0.0255698194993264</v>
      </c>
      <c r="E141" s="49" t="n">
        <f aca="false">$E$3+F141</f>
        <v>0.0812525038546261</v>
      </c>
      <c r="F141" s="50" t="n">
        <f aca="false">IF($E$5="Yes",D141*$E$6,D141)</f>
        <v>0.0389525038546261</v>
      </c>
      <c r="G141" s="51" t="e">
        <f aca="false">VLOOKUP(A141,'10-year CDS Spreads'!$A$2:$D$158,4,FALSE())</f>
        <v>#N/A</v>
      </c>
      <c r="H141" s="50" t="e">
        <f aca="false">IF(I141="NA","NA",$E$3+I141)</f>
        <v>#N/A</v>
      </c>
      <c r="I141" s="52" t="e">
        <f aca="false">IF(G141="NA","NA",G141*$E$6)</f>
        <v>#N/A</v>
      </c>
    </row>
    <row r="142" customFormat="false" ht="15.75" hidden="false" customHeight="false" outlineLevel="0" collapsed="false">
      <c r="A142" s="46" t="str">
        <f aca="false">'Sovereign Ratings (Moody''s,S&amp;P)'!A135</f>
        <v>St. Vincent &amp; the Grenadines</v>
      </c>
      <c r="B142" s="47" t="str">
        <f aca="false">VLOOKUP(A142,'Regional lookup table'!$A$2:$B$162,2,FALSE())</f>
        <v>Caribbean</v>
      </c>
      <c r="C142" s="48" t="str">
        <f aca="false">VLOOKUP(A142,'Sovereign Ratings (Moody''s,S&amp;P)'!$A$2:$D$158,4,FALSE())</f>
        <v>B3</v>
      </c>
      <c r="D142" s="49" t="n">
        <f aca="false">VLOOKUP(C142,$J$10:$K$32,2,FALSE())/10000</f>
        <v>0.0552348054028417</v>
      </c>
      <c r="E142" s="49" t="n">
        <f aca="false">$E$3+F142</f>
        <v>0.12644349465472</v>
      </c>
      <c r="F142" s="50" t="n">
        <f aca="false">IF($E$5="Yes",D142*$E$6,D142)</f>
        <v>0.0841434946547197</v>
      </c>
      <c r="G142" s="51" t="e">
        <f aca="false">VLOOKUP(A142,'10-year CDS Spreads'!$A$2:$D$158,4,FALSE())</f>
        <v>#N/A</v>
      </c>
      <c r="H142" s="50" t="e">
        <f aca="false">IF(I142="NA","NA",$E$3+I142)</f>
        <v>#N/A</v>
      </c>
      <c r="I142" s="52" t="e">
        <f aca="false">IF(G142="NA","NA",G142*$E$6)</f>
        <v>#N/A</v>
      </c>
    </row>
    <row r="143" customFormat="false" ht="15.75" hidden="false" customHeight="false" outlineLevel="0" collapsed="false">
      <c r="A143" s="46" t="str">
        <f aca="false">'Sovereign Ratings (Moody''s,S&amp;P)'!A136</f>
        <v>Suriname</v>
      </c>
      <c r="B143" s="47" t="str">
        <f aca="false">VLOOKUP(A143,'Regional lookup table'!$A$2:$B$162,2,FALSE())</f>
        <v>Central and South America</v>
      </c>
      <c r="C143" s="48" t="str">
        <f aca="false">VLOOKUP(A143,'Sovereign Ratings (Moody''s,S&amp;P)'!$A$2:$D$158,4,FALSE())</f>
        <v>Caa1</v>
      </c>
      <c r="D143" s="49" t="n">
        <f aca="false">VLOOKUP(C143,$J$10:$K$32,2,FALSE())/10000</f>
        <v>0.0637247845334774</v>
      </c>
      <c r="E143" s="49" t="n">
        <f aca="false">$E$3+F143</f>
        <v>0.139376943200201</v>
      </c>
      <c r="F143" s="50" t="n">
        <f aca="false">IF($E$5="Yes",D143*$E$6,D143)</f>
        <v>0.097076943200201</v>
      </c>
      <c r="G143" s="51" t="e">
        <f aca="false">VLOOKUP(A143,'10-year CDS Spreads'!$A$2:$D$158,4,FALSE())</f>
        <v>#N/A</v>
      </c>
      <c r="H143" s="50" t="e">
        <f aca="false">IF(I143="NA","NA",$E$3+I143)</f>
        <v>#N/A</v>
      </c>
      <c r="I143" s="52" t="e">
        <f aca="false">IF(G143="NA","NA",G143*$E$6)</f>
        <v>#N/A</v>
      </c>
    </row>
    <row r="144" customFormat="false" ht="15.75" hidden="false" customHeight="false" outlineLevel="0" collapsed="false">
      <c r="A144" s="46" t="str">
        <f aca="false">'Sovereign Ratings (Moody''s,S&amp;P)'!A137</f>
        <v>Swaziland</v>
      </c>
      <c r="B144" s="47" t="str">
        <f aca="false">VLOOKUP(A144,'Regional lookup table'!$A$2:$B$162,2,FALSE())</f>
        <v>Africa</v>
      </c>
      <c r="C144" s="48" t="str">
        <f aca="false">VLOOKUP(A144,'Sovereign Ratings (Moody''s,S&amp;P)'!$A$2:$D$158,4,FALSE())</f>
        <v>B2</v>
      </c>
      <c r="D144" s="49" t="n">
        <f aca="false">VLOOKUP(C144,$J$10:$K$32,2,FALSE())/10000</f>
        <v>0.046744826272206</v>
      </c>
      <c r="E144" s="49" t="n">
        <f aca="false">$E$3+F144</f>
        <v>0.113510046109238</v>
      </c>
      <c r="F144" s="50" t="n">
        <f aca="false">IF($E$5="Yes",D144*$E$6,D144)</f>
        <v>0.0712100461092384</v>
      </c>
      <c r="G144" s="51" t="e">
        <f aca="false">VLOOKUP(A144,'10-year CDS Spreads'!$A$2:$D$158,4,FALSE())</f>
        <v>#N/A</v>
      </c>
      <c r="H144" s="50" t="e">
        <f aca="false">IF(I144="NA","NA",$E$3+I144)</f>
        <v>#N/A</v>
      </c>
      <c r="I144" s="52" t="e">
        <f aca="false">IF(G144="NA","NA",G144*$E$6)</f>
        <v>#N/A</v>
      </c>
    </row>
    <row r="145" customFormat="false" ht="15.75" hidden="false" customHeight="false" outlineLevel="0" collapsed="false">
      <c r="A145" s="46" t="str">
        <f aca="false">'Sovereign Ratings (Moody''s,S&amp;P)'!A138</f>
        <v>Sweden</v>
      </c>
      <c r="B145" s="47" t="str">
        <f aca="false">VLOOKUP(A145,'Regional lookup table'!$A$2:$B$162,2,FALSE())</f>
        <v>Western Europe</v>
      </c>
      <c r="C145" s="48" t="str">
        <f aca="false">VLOOKUP(A145,'Sovereign Ratings (Moody''s,S&amp;P)'!$A$2:$D$158,4,FALSE())</f>
        <v>Aaa</v>
      </c>
      <c r="D145" s="49" t="n">
        <f aca="false">VLOOKUP(C145,$J$10:$K$32,2,FALSE())/10000</f>
        <v>0</v>
      </c>
      <c r="E145" s="49" t="n">
        <f aca="false">$E$3+F145</f>
        <v>0.0423</v>
      </c>
      <c r="F145" s="50" t="n">
        <f aca="false">IF($E$5="Yes",D145*$E$6,D145)</f>
        <v>0</v>
      </c>
      <c r="G145" s="51" t="n">
        <f aca="false">VLOOKUP(A145,'10-year CDS Spreads'!$A$2:$D$158,4,FALSE())</f>
        <v>0.0006</v>
      </c>
      <c r="H145" s="50" t="n">
        <f aca="false">IF(I145="NA","NA",$E$3+I145)</f>
        <v>0.0432140268789692</v>
      </c>
      <c r="I145" s="52" t="n">
        <f aca="false">IF(G145="NA","NA",G145*$E$6)</f>
        <v>0.000914026878969223</v>
      </c>
    </row>
    <row r="146" customFormat="false" ht="15.75" hidden="false" customHeight="false" outlineLevel="0" collapsed="false">
      <c r="A146" s="46" t="str">
        <f aca="false">'Sovereign Ratings (Moody''s,S&amp;P)'!A139</f>
        <v>Switzerland</v>
      </c>
      <c r="B146" s="47" t="str">
        <f aca="false">VLOOKUP(A146,'Regional lookup table'!$A$2:$B$162,2,FALSE())</f>
        <v>Western Europe</v>
      </c>
      <c r="C146" s="48" t="str">
        <f aca="false">VLOOKUP(A146,'Sovereign Ratings (Moody''s,S&amp;P)'!$A$2:$D$158,4,FALSE())</f>
        <v>Aaa</v>
      </c>
      <c r="D146" s="49" t="n">
        <f aca="false">VLOOKUP(C146,$J$10:$K$32,2,FALSE())/10000</f>
        <v>0</v>
      </c>
      <c r="E146" s="49" t="n">
        <f aca="false">$E$3+F146</f>
        <v>0.0423</v>
      </c>
      <c r="F146" s="50" t="n">
        <f aca="false">IF($E$5="Yes",D146*$E$6,D146)</f>
        <v>0</v>
      </c>
      <c r="G146" s="51" t="n">
        <f aca="false">VLOOKUP(A146,'10-year CDS Spreads'!$A$2:$D$158,4,FALSE())</f>
        <v>0</v>
      </c>
      <c r="H146" s="50" t="n">
        <f aca="false">IF(I146="NA","NA",$E$3+I146)</f>
        <v>0.0423</v>
      </c>
      <c r="I146" s="52" t="n">
        <f aca="false">IF(G146="NA","NA",G146*$E$6)</f>
        <v>0</v>
      </c>
    </row>
    <row r="147" customFormat="false" ht="15.75" hidden="false" customHeight="false" outlineLevel="0" collapsed="false">
      <c r="A147" s="46" t="str">
        <f aca="false">'Sovereign Ratings (Moody''s,S&amp;P)'!A140</f>
        <v>Taiwan</v>
      </c>
      <c r="B147" s="47" t="str">
        <f aca="false">VLOOKUP(A147,'Regional lookup table'!$A$2:$B$162,2,FALSE())</f>
        <v>Asia</v>
      </c>
      <c r="C147" s="48" t="str">
        <f aca="false">VLOOKUP(A147,'Sovereign Ratings (Moody''s,S&amp;P)'!$A$2:$D$158,4,FALSE())</f>
        <v>Aa3</v>
      </c>
      <c r="D147" s="49" t="n">
        <f aca="false">VLOOKUP(C147,$J$10:$K$32,2,FALSE())/10000</f>
        <v>0.00509398747838143</v>
      </c>
      <c r="E147" s="49" t="n">
        <f aca="false">$E$3+F147</f>
        <v>0.0500600691272888</v>
      </c>
      <c r="F147" s="50" t="n">
        <f aca="false">IF($E$5="Yes",D147*$E$6,D147)</f>
        <v>0.0077600691272888</v>
      </c>
      <c r="G147" s="51" t="e">
        <f aca="false">VLOOKUP(A147,'10-year CDS Spreads'!$A$2:$D$158,4,FALSE())</f>
        <v>#N/A</v>
      </c>
      <c r="H147" s="50" t="e">
        <f aca="false">IF(I147="NA","NA",$E$3+I147)</f>
        <v>#N/A</v>
      </c>
      <c r="I147" s="52" t="e">
        <f aca="false">IF(G147="NA","NA",G147*$E$6)</f>
        <v>#N/A</v>
      </c>
    </row>
    <row r="148" customFormat="false" ht="15.75" hidden="false" customHeight="false" outlineLevel="0" collapsed="false">
      <c r="A148" s="46" t="str">
        <f aca="false">'Sovereign Ratings (Moody''s,S&amp;P)'!A141</f>
        <v>Tajikistan</v>
      </c>
      <c r="B148" s="47" t="str">
        <f aca="false">VLOOKUP(A148,'Regional lookup table'!$A$2:$B$162,2,FALSE())</f>
        <v>Eastern Europe &amp; Russia</v>
      </c>
      <c r="C148" s="48" t="str">
        <f aca="false">VLOOKUP(A148,'Sovereign Ratings (Moody''s,S&amp;P)'!$A$2:$D$158,4,FALSE())</f>
        <v>B3</v>
      </c>
      <c r="D148" s="49" t="n">
        <f aca="false">VLOOKUP(C148,$J$10:$K$32,2,FALSE())/10000</f>
        <v>0.0552348054028417</v>
      </c>
      <c r="E148" s="49" t="n">
        <f aca="false">$E$3+F148</f>
        <v>0.12644349465472</v>
      </c>
      <c r="F148" s="50" t="n">
        <f aca="false">IF($E$5="Yes",D148*$E$6,D148)</f>
        <v>0.0841434946547197</v>
      </c>
      <c r="G148" s="51" t="e">
        <f aca="false">VLOOKUP(A148,'10-year CDS Spreads'!$A$2:$D$158,4,FALSE())</f>
        <v>#N/A</v>
      </c>
      <c r="H148" s="50" t="e">
        <f aca="false">IF(I148="NA","NA",$E$3+I148)</f>
        <v>#N/A</v>
      </c>
      <c r="I148" s="52" t="e">
        <f aca="false">IF(G148="NA","NA",G148*$E$6)</f>
        <v>#N/A</v>
      </c>
    </row>
    <row r="149" customFormat="false" ht="15.75" hidden="false" customHeight="false" outlineLevel="0" collapsed="false">
      <c r="A149" s="46" t="str">
        <f aca="false">'Sovereign Ratings (Moody''s,S&amp;P)'!A142</f>
        <v>Tanzania</v>
      </c>
      <c r="B149" s="47" t="str">
        <f aca="false">VLOOKUP(A149,'Regional lookup table'!$A$2:$B$162,2,FALSE())</f>
        <v>Africa</v>
      </c>
      <c r="C149" s="48" t="str">
        <f aca="false">VLOOKUP(A149,'Sovereign Ratings (Moody''s,S&amp;P)'!$A$2:$D$158,4,FALSE())</f>
        <v>B1</v>
      </c>
      <c r="D149" s="49" t="n">
        <f aca="false">VLOOKUP(C149,$J$10:$K$32,2,FALSE())/10000</f>
        <v>0.0382548471415703</v>
      </c>
      <c r="E149" s="49" t="n">
        <f aca="false">$E$3+F149</f>
        <v>0.100576597563757</v>
      </c>
      <c r="F149" s="50" t="n">
        <f aca="false">IF($E$5="Yes",D149*$E$6,D149)</f>
        <v>0.058276597563757</v>
      </c>
      <c r="G149" s="51" t="e">
        <f aca="false">VLOOKUP(A149,'10-year CDS Spreads'!$A$2:$D$158,4,FALSE())</f>
        <v>#N/A</v>
      </c>
      <c r="H149" s="50" t="e">
        <f aca="false">IF(I149="NA","NA",$E$3+I149)</f>
        <v>#N/A</v>
      </c>
      <c r="I149" s="52" t="e">
        <f aca="false">IF(G149="NA","NA",G149*$E$6)</f>
        <v>#N/A</v>
      </c>
    </row>
    <row r="150" customFormat="false" ht="15.75" hidden="false" customHeight="false" outlineLevel="0" collapsed="false">
      <c r="A150" s="46" t="str">
        <f aca="false">'Sovereign Ratings (Moody''s,S&amp;P)'!A143</f>
        <v>Thailand</v>
      </c>
      <c r="B150" s="47" t="str">
        <f aca="false">VLOOKUP(A150,'Regional lookup table'!$A$2:$B$162,2,FALSE())</f>
        <v>Asia</v>
      </c>
      <c r="C150" s="48" t="str">
        <f aca="false">VLOOKUP(A150,'Sovereign Ratings (Moody''s,S&amp;P)'!$A$2:$D$158,4,FALSE())</f>
        <v>Baa1</v>
      </c>
      <c r="D150" s="49" t="n">
        <f aca="false">VLOOKUP(C150,$J$10:$K$32,2,FALSE())/10000</f>
        <v>0.0135839666090171</v>
      </c>
      <c r="E150" s="49" t="n">
        <f aca="false">$E$3+F150</f>
        <v>0.0629935176727701</v>
      </c>
      <c r="F150" s="50" t="n">
        <f aca="false">IF($E$5="Yes",D150*$E$6,D150)</f>
        <v>0.0206935176727701</v>
      </c>
      <c r="G150" s="51" t="n">
        <f aca="false">VLOOKUP(A150,'10-year CDS Spreads'!$A$2:$D$158,4,FALSE())</f>
        <v>0.0052</v>
      </c>
      <c r="H150" s="50" t="n">
        <f aca="false">IF(I150="NA","NA",$E$3+I150)</f>
        <v>0.0502215662843999</v>
      </c>
      <c r="I150" s="52" t="n">
        <f aca="false">IF(G150="NA","NA",G150*$E$6)</f>
        <v>0.00792156628439994</v>
      </c>
    </row>
    <row r="151" customFormat="false" ht="15.75" hidden="false" customHeight="false" outlineLevel="0" collapsed="false">
      <c r="A151" s="46" t="str">
        <f aca="false">'Sovereign Ratings (Moody''s,S&amp;P)'!A144</f>
        <v>Togo</v>
      </c>
      <c r="B151" s="47" t="str">
        <f aca="false">VLOOKUP(A151,'Regional lookup table'!$A$2:$B$162,2,FALSE())</f>
        <v>Africa</v>
      </c>
      <c r="C151" s="48" t="str">
        <f aca="false">VLOOKUP(A151,'Sovereign Ratings (Moody''s,S&amp;P)'!$A$2:$D$158,4,FALSE())</f>
        <v>B3</v>
      </c>
      <c r="D151" s="49" t="n">
        <f aca="false">VLOOKUP(C151,$J$10:$K$32,2,FALSE())/10000</f>
        <v>0.0552348054028417</v>
      </c>
      <c r="E151" s="49" t="n">
        <f aca="false">$E$3+F151</f>
        <v>0.12644349465472</v>
      </c>
      <c r="F151" s="50" t="n">
        <f aca="false">IF($E$5="Yes",D151*$E$6,D151)</f>
        <v>0.0841434946547197</v>
      </c>
      <c r="G151" s="51" t="e">
        <f aca="false">VLOOKUP(A151,'10-year CDS Spreads'!$A$2:$D$158,4,FALSE())</f>
        <v>#N/A</v>
      </c>
      <c r="H151" s="50" t="e">
        <f aca="false">IF(I151="NA","NA",$E$3+I151)</f>
        <v>#N/A</v>
      </c>
      <c r="I151" s="52" t="e">
        <f aca="false">IF(G151="NA","NA",G151*$E$6)</f>
        <v>#N/A</v>
      </c>
    </row>
    <row r="152" customFormat="false" ht="15.75" hidden="false" customHeight="false" outlineLevel="0" collapsed="false">
      <c r="A152" s="46" t="str">
        <f aca="false">'Sovereign Ratings (Moody''s,S&amp;P)'!A145</f>
        <v>Trinidad and Tobago</v>
      </c>
      <c r="B152" s="47" t="str">
        <f aca="false">VLOOKUP(A152,'Regional lookup table'!$A$2:$B$162,2,FALSE())</f>
        <v>Caribbean</v>
      </c>
      <c r="C152" s="48" t="str">
        <f aca="false">VLOOKUP(A152,'Sovereign Ratings (Moody''s,S&amp;P)'!$A$2:$D$158,4,FALSE())</f>
        <v>Ba2</v>
      </c>
      <c r="D152" s="49" t="n">
        <f aca="false">VLOOKUP(C152,$J$10:$K$32,2,FALSE())/10000</f>
        <v>0.0255698194993264</v>
      </c>
      <c r="E152" s="49" t="n">
        <f aca="false">$E$3+F152</f>
        <v>0.0812525038546261</v>
      </c>
      <c r="F152" s="50" t="n">
        <f aca="false">IF($E$5="Yes",D152*$E$6,D152)</f>
        <v>0.0389525038546261</v>
      </c>
      <c r="G152" s="51" t="e">
        <f aca="false">VLOOKUP(A152,'10-year CDS Spreads'!$A$2:$D$158,4,FALSE())</f>
        <v>#N/A</v>
      </c>
      <c r="H152" s="50" t="e">
        <f aca="false">IF(I152="NA","NA",$E$3+I152)</f>
        <v>#N/A</v>
      </c>
      <c r="I152" s="52" t="e">
        <f aca="false">IF(G152="NA","NA",G152*$E$6)</f>
        <v>#N/A</v>
      </c>
    </row>
    <row r="153" customFormat="false" ht="15.75" hidden="false" customHeight="false" outlineLevel="0" collapsed="false">
      <c r="A153" s="46" t="str">
        <f aca="false">'Sovereign Ratings (Moody''s,S&amp;P)'!A146</f>
        <v>Tunisia</v>
      </c>
      <c r="B153" s="47" t="str">
        <f aca="false">VLOOKUP(A153,'Regional lookup table'!$A$2:$B$162,2,FALSE())</f>
        <v>Africa</v>
      </c>
      <c r="C153" s="48" t="str">
        <f aca="false">VLOOKUP(A153,'Sovereign Ratings (Moody''s,S&amp;P)'!$A$2:$D$158,4,FALSE())</f>
        <v>Caa1</v>
      </c>
      <c r="D153" s="49" t="n">
        <f aca="false">VLOOKUP(C153,$J$10:$K$32,2,FALSE())/10000</f>
        <v>0.0637247845334774</v>
      </c>
      <c r="E153" s="49" t="n">
        <f aca="false">$E$3+F153</f>
        <v>0.139376943200201</v>
      </c>
      <c r="F153" s="50" t="n">
        <f aca="false">IF($E$5="Yes",D153*$E$6,D153)</f>
        <v>0.097076943200201</v>
      </c>
      <c r="G153" s="51" t="n">
        <f aca="false">VLOOKUP(A153,'10-year CDS Spreads'!$A$2:$D$158,4,FALSE())</f>
        <v>0.0687</v>
      </c>
      <c r="H153" s="50" t="n">
        <f aca="false">IF(I153="NA","NA",$E$3+I153)</f>
        <v>0.146956077641976</v>
      </c>
      <c r="I153" s="52" t="n">
        <f aca="false">IF(G153="NA","NA",G153*$E$6)</f>
        <v>0.104656077641976</v>
      </c>
    </row>
    <row r="154" customFormat="false" ht="15.75" hidden="false" customHeight="false" outlineLevel="0" collapsed="false">
      <c r="A154" s="46" t="str">
        <f aca="false">'Sovereign Ratings (Moody''s,S&amp;P)'!A147</f>
        <v>Turkey</v>
      </c>
      <c r="B154" s="47" t="str">
        <f aca="false">VLOOKUP(A154,'Regional lookup table'!$A$2:$B$162,2,FALSE())</f>
        <v>Western Europe</v>
      </c>
      <c r="C154" s="48" t="str">
        <f aca="false">VLOOKUP(A154,'Sovereign Ratings (Moody''s,S&amp;P)'!$A$2:$D$158,4,FALSE())</f>
        <v>Ba3</v>
      </c>
      <c r="D154" s="49" t="n">
        <f aca="false">VLOOKUP(C154,$J$10:$K$32,2,FALSE())/10000</f>
        <v>0.0305639248702886</v>
      </c>
      <c r="E154" s="49" t="n">
        <f aca="false">$E$3+F154</f>
        <v>0.0888604147637328</v>
      </c>
      <c r="F154" s="50" t="n">
        <f aca="false">IF($E$5="Yes",D154*$E$6,D154)</f>
        <v>0.0465604147637328</v>
      </c>
      <c r="G154" s="51" t="n">
        <f aca="false">VLOOKUP(A154,'10-year CDS Spreads'!$A$2:$D$158,4,FALSE())</f>
        <v>0.0285</v>
      </c>
      <c r="H154" s="50" t="n">
        <f aca="false">IF(I154="NA","NA",$E$3+I154)</f>
        <v>0.0857162767510381</v>
      </c>
      <c r="I154" s="52" t="n">
        <f aca="false">IF(G154="NA","NA",G154*$E$6)</f>
        <v>0.0434162767510381</v>
      </c>
    </row>
    <row r="155" customFormat="false" ht="15.75" hidden="false" customHeight="false" outlineLevel="0" collapsed="false">
      <c r="A155" s="46" t="str">
        <f aca="false">'Sovereign Ratings (Moody''s,S&amp;P)'!A148</f>
        <v>Turks and Caicos Islands</v>
      </c>
      <c r="B155" s="47" t="str">
        <f aca="false">VLOOKUP(A155,'Regional lookup table'!$A$2:$B$162,2,FALSE())</f>
        <v>Caribbean</v>
      </c>
      <c r="C155" s="48" t="str">
        <f aca="false">VLOOKUP(A155,'Sovereign Ratings (Moody''s,S&amp;P)'!$A$2:$D$158,4,FALSE())</f>
        <v>Baa1</v>
      </c>
      <c r="D155" s="49" t="n">
        <f aca="false">VLOOKUP(C155,$J$10:$K$32,2,FALSE())/10000</f>
        <v>0.0135839666090171</v>
      </c>
      <c r="E155" s="49" t="n">
        <f aca="false">$E$3+F155</f>
        <v>0.0629935176727701</v>
      </c>
      <c r="F155" s="50" t="n">
        <f aca="false">IF($E$5="Yes",D155*$E$6,D155)</f>
        <v>0.0206935176727701</v>
      </c>
      <c r="G155" s="51" t="e">
        <f aca="false">VLOOKUP(A155,'10-year CDS Spreads'!$A$2:$D$158,4,FALSE())</f>
        <v>#N/A</v>
      </c>
      <c r="H155" s="50" t="e">
        <f aca="false">IF(I155="NA","NA",$E$3+I155)</f>
        <v>#N/A</v>
      </c>
      <c r="I155" s="52" t="e">
        <f aca="false">IF(G155="NA","NA",G155*$E$6)</f>
        <v>#N/A</v>
      </c>
    </row>
    <row r="156" customFormat="false" ht="15.75" hidden="false" customHeight="false" outlineLevel="0" collapsed="false">
      <c r="A156" s="46" t="str">
        <f aca="false">'Sovereign Ratings (Moody''s,S&amp;P)'!A149</f>
        <v>Uganda</v>
      </c>
      <c r="B156" s="47" t="str">
        <f aca="false">VLOOKUP(A156,'Regional lookup table'!$A$2:$B$162,2,FALSE())</f>
        <v>Africa</v>
      </c>
      <c r="C156" s="48" t="str">
        <f aca="false">VLOOKUP(A156,'Sovereign Ratings (Moody''s,S&amp;P)'!$A$2:$D$158,4,FALSE())</f>
        <v>B3</v>
      </c>
      <c r="D156" s="49" t="n">
        <f aca="false">VLOOKUP(C156,$J$10:$K$32,2,FALSE())/10000</f>
        <v>0.0552348054028417</v>
      </c>
      <c r="E156" s="49" t="n">
        <f aca="false">$E$3+F156</f>
        <v>0.12644349465472</v>
      </c>
      <c r="F156" s="50" t="n">
        <f aca="false">IF($E$5="Yes",D156*$E$6,D156)</f>
        <v>0.0841434946547197</v>
      </c>
      <c r="G156" s="51" t="e">
        <f aca="false">VLOOKUP(A156,'10-year CDS Spreads'!$A$2:$D$158,4,FALSE())</f>
        <v>#N/A</v>
      </c>
      <c r="H156" s="50" t="e">
        <f aca="false">IF(I156="NA","NA",$E$3+I156)</f>
        <v>#N/A</v>
      </c>
      <c r="I156" s="52" t="e">
        <f aca="false">IF(G156="NA","NA",G156*$E$6)</f>
        <v>#N/A</v>
      </c>
    </row>
    <row r="157" customFormat="false" ht="15.75" hidden="false" customHeight="false" outlineLevel="0" collapsed="false">
      <c r="A157" s="46" t="str">
        <f aca="false">'Sovereign Ratings (Moody''s,S&amp;P)'!A150</f>
        <v>Ukraine</v>
      </c>
      <c r="B157" s="47" t="str">
        <f aca="false">VLOOKUP(A157,'Regional lookup table'!$A$2:$B$162,2,FALSE())</f>
        <v>Eastern Europe &amp; Russia</v>
      </c>
      <c r="C157" s="48" t="str">
        <f aca="false">VLOOKUP(A157,'Sovereign Ratings (Moody''s,S&amp;P)'!$A$2:$D$158,4,FALSE())</f>
        <v>Ca</v>
      </c>
      <c r="D157" s="49" t="n">
        <f aca="false">VLOOKUP(C157,$J$10:$K$32,2,FALSE())/10000</f>
        <v>0.101979631675048</v>
      </c>
      <c r="E157" s="49" t="n">
        <f aca="false">$E$3+F157</f>
        <v>0.197653540763958</v>
      </c>
      <c r="F157" s="50" t="n">
        <f aca="false">IF($E$5="Yes",D157*$E$6,D157)</f>
        <v>0.155353540763958</v>
      </c>
      <c r="G157" s="51" t="str">
        <f aca="false">VLOOKUP(A157,'10-year CDS Spreads'!$A$2:$D$158,4,FALSE())</f>
        <v>NA</v>
      </c>
      <c r="H157" s="50" t="str">
        <f aca="false">IF(I157="NA","NA",$E$3+I157)</f>
        <v>NA</v>
      </c>
      <c r="I157" s="52" t="str">
        <f aca="false">IF(G157="NA","NA",G157*$E$6)</f>
        <v>NA</v>
      </c>
    </row>
    <row r="158" customFormat="false" ht="15.75" hidden="false" customHeight="false" outlineLevel="0" collapsed="false">
      <c r="A158" s="46" t="str">
        <f aca="false">'Sovereign Ratings (Moody''s,S&amp;P)'!A151</f>
        <v>United Arab Emirates</v>
      </c>
      <c r="B158" s="47" t="str">
        <f aca="false">VLOOKUP(A158,'Regional lookup table'!$A$2:$B$162,2,FALSE())</f>
        <v>Middle East</v>
      </c>
      <c r="C158" s="48" t="str">
        <f aca="false">VLOOKUP(A158,'Sovereign Ratings (Moody''s,S&amp;P)'!$A$2:$D$158,4,FALSE())</f>
        <v>Aa2</v>
      </c>
      <c r="D158" s="49" t="n">
        <f aca="false">VLOOKUP(C158,$J$10:$K$32,2,FALSE())/10000</f>
        <v>0.00419504851160823</v>
      </c>
      <c r="E158" s="49" t="n">
        <f aca="false">$E$3+F158</f>
        <v>0.0486906451636496</v>
      </c>
      <c r="F158" s="50" t="n">
        <f aca="false">IF($E$5="Yes",D158*$E$6,D158)</f>
        <v>0.0063906451636496</v>
      </c>
      <c r="G158" s="51" t="e">
        <f aca="false">VLOOKUP(A158,'10-year CDS Spreads'!$A$2:$D$158,4,FALSE())</f>
        <v>#N/A</v>
      </c>
      <c r="H158" s="50" t="e">
        <f aca="false">IF(I158="NA","NA",$E$3+I158)</f>
        <v>#N/A</v>
      </c>
      <c r="I158" s="52" t="e">
        <f aca="false">IF(G158="NA","NA",G158*$E$6)</f>
        <v>#N/A</v>
      </c>
    </row>
    <row r="159" customFormat="false" ht="15.75" hidden="false" customHeight="false" outlineLevel="0" collapsed="false">
      <c r="A159" s="46" t="str">
        <f aca="false">'Sovereign Ratings (Moody''s,S&amp;P)'!A152</f>
        <v>United Kingdom</v>
      </c>
      <c r="B159" s="47" t="str">
        <f aca="false">VLOOKUP(A159,'Regional lookup table'!$A$2:$B$162,2,FALSE())</f>
        <v>Western Europe</v>
      </c>
      <c r="C159" s="48" t="str">
        <f aca="false">VLOOKUP(A159,'Sovereign Ratings (Moody''s,S&amp;P)'!$A$2:$D$158,4,FALSE())</f>
        <v>Aa3</v>
      </c>
      <c r="D159" s="49" t="n">
        <f aca="false">VLOOKUP(C159,$J$10:$K$32,2,FALSE())/10000</f>
        <v>0.00509398747838143</v>
      </c>
      <c r="E159" s="49" t="n">
        <f aca="false">$E$3+F159</f>
        <v>0.0500600691272888</v>
      </c>
      <c r="F159" s="50" t="n">
        <f aca="false">IF($E$5="Yes",D159*$E$6,D159)</f>
        <v>0.0077600691272888</v>
      </c>
      <c r="G159" s="51" t="n">
        <f aca="false">VLOOKUP(A159,'10-year CDS Spreads'!$A$2:$D$158,4,FALSE())</f>
        <v>0.0023</v>
      </c>
      <c r="H159" s="50" t="n">
        <f aca="false">IF(I159="NA","NA",$E$3+I159)</f>
        <v>0.0458037697027154</v>
      </c>
      <c r="I159" s="52" t="n">
        <f aca="false">IF(G159="NA","NA",G159*$E$6)</f>
        <v>0.00350376970271536</v>
      </c>
    </row>
    <row r="160" customFormat="false" ht="15.75" hidden="false" customHeight="false" outlineLevel="0" collapsed="false">
      <c r="A160" s="46" t="str">
        <f aca="false">'Sovereign Ratings (Moody''s,S&amp;P)'!A153</f>
        <v>United States</v>
      </c>
      <c r="B160" s="47" t="str">
        <f aca="false">VLOOKUP(A160,'Regional lookup table'!$A$2:$B$162,2,FALSE())</f>
        <v>North America</v>
      </c>
      <c r="C160" s="48" t="str">
        <f aca="false">VLOOKUP(A160,'Sovereign Ratings (Moody''s,S&amp;P)'!$A$2:$D$158,4,FALSE())</f>
        <v>Aa1</v>
      </c>
      <c r="D160" s="49" t="n">
        <f aca="false">VLOOKUP(C160,$J$10:$K$32,2,FALSE())/10000</f>
        <v>0.00233367916999202</v>
      </c>
      <c r="E160" s="49" t="n">
        <f aca="false">E4</f>
        <v>0.0446</v>
      </c>
      <c r="F160" s="50" t="n">
        <f aca="false">IF($E$5="Yes",D160,D160)</f>
        <v>0.00233367916999202</v>
      </c>
      <c r="G160" s="51" t="n">
        <f aca="false">VLOOKUP(A160,'10-year CDS Spreads'!$A$2:$D$158,4,FALSE())</f>
        <v>0.003</v>
      </c>
      <c r="H160" s="50" t="n">
        <f aca="false">IF(I160="NA","NA",$E$3+I160)</f>
        <v>0.0468701343948461</v>
      </c>
      <c r="I160" s="52" t="n">
        <f aca="false">IF(G160="NA","NA",G160*$E$6)</f>
        <v>0.00457013439484612</v>
      </c>
    </row>
    <row r="161" customFormat="false" ht="15.75" hidden="false" customHeight="false" outlineLevel="0" collapsed="false">
      <c r="A161" s="46" t="str">
        <f aca="false">'Sovereign Ratings (Moody''s,S&amp;P)'!A154</f>
        <v>Uruguay</v>
      </c>
      <c r="B161" s="47" t="str">
        <f aca="false">VLOOKUP(A161,'Regional lookup table'!$A$2:$B$162,2,FALSE())</f>
        <v>Central and South America</v>
      </c>
      <c r="C161" s="48" t="str">
        <f aca="false">VLOOKUP(A161,'Sovereign Ratings (Moody''s,S&amp;P)'!$A$2:$D$158,4,FALSE())</f>
        <v>Baa1</v>
      </c>
      <c r="D161" s="49" t="n">
        <f aca="false">VLOOKUP(C161,$J$10:$K$32,2,FALSE())/10000</f>
        <v>0.0135839666090171</v>
      </c>
      <c r="E161" s="49" t="n">
        <f aca="false">$E$3+F161</f>
        <v>0.0629935176727701</v>
      </c>
      <c r="F161" s="50" t="n">
        <f aca="false">IF($E$5="Yes",D161*$E$6,D161)</f>
        <v>0.0206935176727701</v>
      </c>
      <c r="G161" s="51" t="n">
        <f aca="false">VLOOKUP(A161,'10-year CDS Spreads'!$A$2:$D$158,4,FALSE())</f>
        <v>0.0063</v>
      </c>
      <c r="H161" s="57" t="n">
        <f aca="false">IF(I161="NA","NA",$E$3+I161)</f>
        <v>0.0518972822291768</v>
      </c>
      <c r="I161" s="58" t="n">
        <f aca="false">IF(G161="NA","NA",G161*$E$6)</f>
        <v>0.00959728222917684</v>
      </c>
    </row>
    <row r="162" customFormat="false" ht="15.75" hidden="false" customHeight="false" outlineLevel="0" collapsed="false">
      <c r="A162" s="46" t="str">
        <f aca="false">'Sovereign Ratings (Moody''s,S&amp;P)'!A155</f>
        <v>Uzbekistan</v>
      </c>
      <c r="B162" s="47" t="str">
        <f aca="false">VLOOKUP(A162,'Regional lookup table'!$A$2:$B$162,2,FALSE())</f>
        <v>Eastern Europe &amp; Russia</v>
      </c>
      <c r="C162" s="48" t="str">
        <f aca="false">VLOOKUP(A162,'Sovereign Ratings (Moody''s,S&amp;P)'!$A$2:$D$158,4,FALSE())</f>
        <v>Ba3</v>
      </c>
      <c r="D162" s="49" t="n">
        <f aca="false">VLOOKUP(C162,$J$10:$K$32,2,FALSE())/10000</f>
        <v>0.0305639248702886</v>
      </c>
      <c r="E162" s="49" t="n">
        <f aca="false">$E$3+F162</f>
        <v>0.0888604147637328</v>
      </c>
      <c r="F162" s="50" t="n">
        <f aca="false">IF($E$5="Yes",D162*$E$6,D162)</f>
        <v>0.0465604147637328</v>
      </c>
      <c r="G162" s="51" t="e">
        <f aca="false">VLOOKUP(A162,'10-year CDS Spreads'!$A$2:$D$158,4,FALSE())</f>
        <v>#N/A</v>
      </c>
      <c r="H162" s="57" t="e">
        <f aca="false">IF(I162="NA","NA",$E$3+I162)</f>
        <v>#N/A</v>
      </c>
      <c r="I162" s="58" t="e">
        <f aca="false">IF(G162="NA","NA",G162*$E$6)</f>
        <v>#N/A</v>
      </c>
    </row>
    <row r="163" customFormat="false" ht="15.75" hidden="false" customHeight="false" outlineLevel="0" collapsed="false">
      <c r="A163" s="46" t="str">
        <f aca="false">'Sovereign Ratings (Moody''s,S&amp;P)'!A156</f>
        <v>Venezuela</v>
      </c>
      <c r="B163" s="47" t="str">
        <f aca="false">VLOOKUP(A163,'Regional lookup table'!$A$2:$B$162,2,FALSE())</f>
        <v>Central and South America</v>
      </c>
      <c r="C163" s="48" t="str">
        <f aca="false">VLOOKUP(A163,'Sovereign Ratings (Moody''s,S&amp;P)'!$A$2:$D$158,4,FALSE())</f>
        <v>C</v>
      </c>
      <c r="D163" s="49" t="n">
        <f aca="false">VLOOKUP(C163,$J$10:$K$32,2,FALSE())/10000</f>
        <v>0.175</v>
      </c>
      <c r="E163" s="49" t="n">
        <f aca="false">$E$3+F163</f>
        <v>0.30889117303269</v>
      </c>
      <c r="F163" s="50" t="n">
        <f aca="false">IF($E$5="Yes",D163*$E$6,D163)</f>
        <v>0.26659117303269</v>
      </c>
      <c r="G163" s="51" t="n">
        <f aca="false">VLOOKUP(A163,'10-year CDS Spreads'!$A$2:$D$158,4,FALSE())</f>
        <v>0.0915</v>
      </c>
      <c r="H163" s="57" t="n">
        <f aca="false">IF(I163="NA","NA",$E$3+I163)</f>
        <v>0.181689099042807</v>
      </c>
      <c r="I163" s="58" t="n">
        <f aca="false">IF(G163="NA","NA",G163*$E$6)</f>
        <v>0.139389099042807</v>
      </c>
    </row>
    <row r="164" customFormat="false" ht="15.75" hidden="false" customHeight="false" outlineLevel="0" collapsed="false">
      <c r="A164" s="46" t="str">
        <f aca="false">'Sovereign Ratings (Moody''s,S&amp;P)'!A157</f>
        <v>Vietnam</v>
      </c>
      <c r="B164" s="47" t="str">
        <f aca="false">VLOOKUP(A164,'Regional lookup table'!$A$2:$B$162,2,FALSE())</f>
        <v>Asia</v>
      </c>
      <c r="C164" s="48" t="str">
        <f aca="false">VLOOKUP(A164,'Sovereign Ratings (Moody''s,S&amp;P)'!$A$2:$D$158,4,FALSE())</f>
        <v>Ba2</v>
      </c>
      <c r="D164" s="49" t="n">
        <f aca="false">VLOOKUP(C164,$J$10:$K$32,2,FALSE())/10000</f>
        <v>0.0255698194993264</v>
      </c>
      <c r="E164" s="49" t="n">
        <f aca="false">$E$3+F164</f>
        <v>0.0812525038546261</v>
      </c>
      <c r="F164" s="50" t="n">
        <f aca="false">IF($E$5="Yes",D164*$E$6,D164)</f>
        <v>0.0389525038546261</v>
      </c>
      <c r="G164" s="51" t="n">
        <f aca="false">VLOOKUP(A164,'10-year CDS Spreads'!$A$2:$D$158,4,FALSE())</f>
        <v>0.0137</v>
      </c>
      <c r="H164" s="57" t="n">
        <f aca="false">IF(I164="NA","NA",$E$3+I164)</f>
        <v>0.0631702804031306</v>
      </c>
      <c r="I164" s="58" t="n">
        <f aca="false">IF(G164="NA","NA",G164*$E$6)</f>
        <v>0.0208702804031306</v>
      </c>
    </row>
    <row r="165" customFormat="false" ht="15.75" hidden="false" customHeight="false" outlineLevel="0" collapsed="false">
      <c r="A165" s="46" t="str">
        <f aca="false">'Sovereign Ratings (Moody''s,S&amp;P)'!A158</f>
        <v>Zambia</v>
      </c>
      <c r="B165" s="47" t="str">
        <f aca="false">VLOOKUP(A165,'Regional lookup table'!$A$2:$B$162,2,FALSE())</f>
        <v>Africa</v>
      </c>
      <c r="C165" s="48" t="str">
        <f aca="false">VLOOKUP(A165,'Sovereign Ratings (Moody''s,S&amp;P)'!$A$2:$D$158,4,FALSE())</f>
        <v>Caa2</v>
      </c>
      <c r="D165" s="49" t="n">
        <f aca="false">VLOOKUP(C165,$J$10:$K$32,2,FALSE())/10000</f>
        <v>0.0765096942831406</v>
      </c>
      <c r="E165" s="49" t="n">
        <f aca="false">$E$3+F165</f>
        <v>0.158853195127514</v>
      </c>
      <c r="F165" s="50" t="n">
        <f aca="false">IF($E$5="Yes",D165*$E$6,D165)</f>
        <v>0.116553195127514</v>
      </c>
      <c r="G165" s="51" t="n">
        <f aca="false">VLOOKUP(A165,'10-year CDS Spreads'!$A$2:$D$158,4,FALSE())</f>
        <v>0.0394</v>
      </c>
      <c r="H165" s="57" t="n">
        <f aca="false">IF(I165="NA","NA",$E$3+I165)</f>
        <v>0.102321098385646</v>
      </c>
      <c r="I165" s="58" t="n">
        <f aca="false">IF(G165="NA","NA",G165*$E$6)</f>
        <v>0.0600210983856457</v>
      </c>
    </row>
    <row r="166" customFormat="false" ht="15.75" hidden="false" customHeight="false" outlineLevel="0" collapsed="false">
      <c r="A166" s="59" t="s">
        <v>128</v>
      </c>
      <c r="B166" s="59"/>
      <c r="C166" s="59"/>
      <c r="D166" s="59"/>
      <c r="E166" s="59"/>
      <c r="F166" s="60"/>
      <c r="G166" s="60"/>
      <c r="H166" s="60"/>
      <c r="I166" s="60"/>
    </row>
    <row r="167" customFormat="false" ht="15.75" hidden="false" customHeight="false" outlineLevel="0" collapsed="false">
      <c r="A167" s="61" t="s">
        <v>61</v>
      </c>
      <c r="B167" s="61" t="s">
        <v>129</v>
      </c>
      <c r="C167" s="62" t="s">
        <v>130</v>
      </c>
      <c r="D167" s="62" t="s">
        <v>131</v>
      </c>
      <c r="E167" s="62" t="s">
        <v>132</v>
      </c>
      <c r="F167" s="63"/>
      <c r="G167" s="63"/>
      <c r="H167" s="63"/>
      <c r="I167" s="63"/>
    </row>
    <row r="168" customFormat="false" ht="15.75" hidden="false" customHeight="false" outlineLevel="0" collapsed="false">
      <c r="A168" s="64" t="str">
        <f aca="false">'PRS Worksheet'!A162</f>
        <v>Algeria</v>
      </c>
      <c r="B168" s="65" t="n">
        <f aca="false">'PRS Worksheet'!B162</f>
        <v>67</v>
      </c>
      <c r="C168" s="66" t="n">
        <f aca="false">'PRS Worksheet'!E162</f>
        <v>0.100576597563757</v>
      </c>
      <c r="D168" s="67" t="n">
        <f aca="false">'PRS Worksheet'!G162</f>
        <v>0.058276597563757</v>
      </c>
      <c r="E168" s="67" t="n">
        <f aca="false">'PRS Worksheet'!D162</f>
        <v>0.0382548471415703</v>
      </c>
      <c r="F168" s="60"/>
      <c r="G168" s="60"/>
      <c r="H168" s="60"/>
    </row>
    <row r="169" customFormat="false" ht="15.75" hidden="false" customHeight="false" outlineLevel="0" collapsed="false">
      <c r="A169" s="64" t="str">
        <f aca="false">'PRS Worksheet'!A163</f>
        <v>Brunei</v>
      </c>
      <c r="B169" s="65" t="n">
        <f aca="false">'PRS Worksheet'!B163</f>
        <v>80.75</v>
      </c>
      <c r="C169" s="66" t="n">
        <f aca="false">'PRS Worksheet'!E163</f>
        <v>0.0500600691272888</v>
      </c>
      <c r="D169" s="67" t="n">
        <f aca="false">'PRS Worksheet'!G163</f>
        <v>0.0077600691272888</v>
      </c>
      <c r="E169" s="67" t="n">
        <f aca="false">'PRS Worksheet'!D163</f>
        <v>0.00509398747838143</v>
      </c>
      <c r="F169" s="60"/>
      <c r="G169" s="60"/>
      <c r="H169" s="60"/>
    </row>
    <row r="170" customFormat="false" ht="15.75" hidden="false" customHeight="false" outlineLevel="0" collapsed="false">
      <c r="A170" s="64" t="str">
        <f aca="false">'PRS Worksheet'!A164</f>
        <v>Gambia</v>
      </c>
      <c r="B170" s="65" t="n">
        <f aca="false">'PRS Worksheet'!B164</f>
        <v>65.5</v>
      </c>
      <c r="C170" s="66" t="n">
        <f aca="false">'PRS Worksheet'!E164</f>
        <v>0.113510046109238</v>
      </c>
      <c r="D170" s="67" t="n">
        <f aca="false">'PRS Worksheet'!G164</f>
        <v>0.0712100461092384</v>
      </c>
      <c r="E170" s="67" t="n">
        <f aca="false">'PRS Worksheet'!D164</f>
        <v>0.046744826272206</v>
      </c>
      <c r="F170" s="60"/>
      <c r="G170" s="60"/>
      <c r="H170" s="60"/>
    </row>
    <row r="171" customFormat="false" ht="15.75" hidden="false" customHeight="false" outlineLevel="0" collapsed="false">
      <c r="A171" s="64" t="str">
        <f aca="false">'PRS Worksheet'!A165</f>
        <v>Guinea</v>
      </c>
      <c r="B171" s="65" t="n">
        <f aca="false">'PRS Worksheet'!B165</f>
        <v>59.5</v>
      </c>
      <c r="C171" s="66" t="n">
        <f aca="false">'PRS Worksheet'!E165</f>
        <v>0.158853195127514</v>
      </c>
      <c r="D171" s="67" t="n">
        <f aca="false">'PRS Worksheet'!G165</f>
        <v>0.116553195127514</v>
      </c>
      <c r="E171" s="67" t="n">
        <f aca="false">'PRS Worksheet'!D165</f>
        <v>0.0765096942831406</v>
      </c>
      <c r="F171" s="60"/>
      <c r="G171" s="60"/>
      <c r="H171" s="60"/>
    </row>
    <row r="172" customFormat="false" ht="15.75" hidden="false" customHeight="false" outlineLevel="0" collapsed="false">
      <c r="A172" s="64" t="str">
        <f aca="false">'PRS Worksheet'!A166</f>
        <v>Guinea-Bissau</v>
      </c>
      <c r="B172" s="65" t="n">
        <f aca="false">'PRS Worksheet'!B166</f>
        <v>60.75</v>
      </c>
      <c r="C172" s="66" t="n">
        <f aca="false">'PRS Worksheet'!E166</f>
        <v>0.139376943200201</v>
      </c>
      <c r="D172" s="67" t="n">
        <f aca="false">'PRS Worksheet'!G166</f>
        <v>0.097076943200201</v>
      </c>
      <c r="E172" s="67" t="n">
        <f aca="false">'PRS Worksheet'!D166</f>
        <v>0.0637247845334774</v>
      </c>
      <c r="F172" s="60"/>
      <c r="G172" s="60"/>
      <c r="H172" s="60"/>
    </row>
    <row r="173" customFormat="false" ht="15.75" hidden="false" customHeight="false" outlineLevel="0" collapsed="false">
      <c r="A173" s="64" t="str">
        <f aca="false">'PRS Worksheet'!A167</f>
        <v>Guyana</v>
      </c>
      <c r="B173" s="65" t="n">
        <f aca="false">'PRS Worksheet'!B167</f>
        <v>75.5</v>
      </c>
      <c r="C173" s="66" t="n">
        <f aca="false">'PRS Worksheet'!E167</f>
        <v>0.0629935176727701</v>
      </c>
      <c r="D173" s="67" t="n">
        <f aca="false">'PRS Worksheet'!G167</f>
        <v>0.0206935176727701</v>
      </c>
      <c r="E173" s="67" t="n">
        <f aca="false">'PRS Worksheet'!D167</f>
        <v>0.0135839666090171</v>
      </c>
      <c r="F173" s="60"/>
      <c r="G173" s="60"/>
      <c r="H173" s="60"/>
    </row>
    <row r="174" customFormat="false" ht="15.75" hidden="false" customHeight="false" outlineLevel="0" collapsed="false">
      <c r="A174" s="64" t="str">
        <f aca="false">'PRS Worksheet'!A168</f>
        <v>Haiti</v>
      </c>
      <c r="B174" s="65" t="n">
        <f aca="false">'PRS Worksheet'!B168</f>
        <v>56.75</v>
      </c>
      <c r="C174" s="66" t="n">
        <f aca="false">'PRS Worksheet'!E168</f>
        <v>0.171786643672995</v>
      </c>
      <c r="D174" s="67" t="n">
        <f aca="false">'PRS Worksheet'!G168</f>
        <v>0.129486643672995</v>
      </c>
      <c r="E174" s="67" t="n">
        <f aca="false">'PRS Worksheet'!D168</f>
        <v>0.0849996734137763</v>
      </c>
      <c r="F174" s="60"/>
      <c r="G174" s="60"/>
      <c r="H174" s="60"/>
    </row>
    <row r="175" customFormat="false" ht="15.75" hidden="false" customHeight="false" outlineLevel="0" collapsed="false">
      <c r="A175" s="64" t="str">
        <f aca="false">'PRS Worksheet'!A169</f>
        <v>Iran</v>
      </c>
      <c r="B175" s="65" t="n">
        <f aca="false">'PRS Worksheet'!B169</f>
        <v>61.25</v>
      </c>
      <c r="C175" s="66" t="n">
        <f aca="false">'PRS Worksheet'!E169</f>
        <v>0.139376943200201</v>
      </c>
      <c r="D175" s="67" t="n">
        <f aca="false">'PRS Worksheet'!G169</f>
        <v>0.097076943200201</v>
      </c>
      <c r="E175" s="67" t="n">
        <f aca="false">'PRS Worksheet'!D169</f>
        <v>0.0637247845334774</v>
      </c>
      <c r="F175" s="60"/>
      <c r="G175" s="60"/>
      <c r="H175" s="60"/>
    </row>
    <row r="176" customFormat="false" ht="15.75" hidden="false" customHeight="false" outlineLevel="0" collapsed="false">
      <c r="A176" s="64" t="str">
        <f aca="false">'PRS Worksheet'!A170</f>
        <v>Korea, D.P.R.</v>
      </c>
      <c r="B176" s="65" t="n">
        <f aca="false">'PRS Worksheet'!B170</f>
        <v>51</v>
      </c>
      <c r="C176" s="66" t="n">
        <f aca="false">'PRS Worksheet'!E170</f>
        <v>0.197653540763958</v>
      </c>
      <c r="D176" s="67" t="n">
        <f aca="false">'PRS Worksheet'!G170</f>
        <v>0.155353540763958</v>
      </c>
      <c r="E176" s="67" t="n">
        <f aca="false">'PRS Worksheet'!D170</f>
        <v>0.101979631675048</v>
      </c>
      <c r="F176" s="60"/>
      <c r="G176" s="60"/>
      <c r="H176" s="60"/>
    </row>
    <row r="177" customFormat="false" ht="15.75" hidden="false" customHeight="false" outlineLevel="0" collapsed="false">
      <c r="A177" s="64" t="str">
        <f aca="false">'PRS Worksheet'!A171</f>
        <v>Liberia</v>
      </c>
      <c r="B177" s="65" t="n">
        <f aca="false">'PRS Worksheet'!B171</f>
        <v>57.75</v>
      </c>
      <c r="C177" s="66" t="n">
        <f aca="false">'PRS Worksheet'!E171</f>
        <v>0.158853195127514</v>
      </c>
      <c r="D177" s="67" t="n">
        <f aca="false">'PRS Worksheet'!G171</f>
        <v>0.116553195127514</v>
      </c>
      <c r="E177" s="67" t="n">
        <f aca="false">'PRS Worksheet'!D171</f>
        <v>0.0765096942831406</v>
      </c>
      <c r="F177" s="60"/>
      <c r="G177" s="60"/>
      <c r="H177" s="60"/>
    </row>
    <row r="178" customFormat="false" ht="15.75" hidden="false" customHeight="false" outlineLevel="0" collapsed="false">
      <c r="A178" s="64" t="str">
        <f aca="false">'PRS Worksheet'!A172</f>
        <v>Libya</v>
      </c>
      <c r="B178" s="65" t="n">
        <f aca="false">'PRS Worksheet'!B172</f>
        <v>71.5</v>
      </c>
      <c r="C178" s="66" t="n">
        <f aca="false">'PRS Worksheet'!E172</f>
        <v>0.0812525038546261</v>
      </c>
      <c r="D178" s="67" t="n">
        <f aca="false">'PRS Worksheet'!G172</f>
        <v>0.0389525038546261</v>
      </c>
      <c r="E178" s="67" t="n">
        <f aca="false">'PRS Worksheet'!D172</f>
        <v>0.0255698194993264</v>
      </c>
      <c r="F178" s="60"/>
      <c r="G178" s="60"/>
      <c r="H178" s="60"/>
    </row>
    <row r="179" customFormat="false" ht="15.75" hidden="false" customHeight="false" outlineLevel="0" collapsed="false">
      <c r="A179" s="64" t="str">
        <f aca="false">'PRS Worksheet'!A173</f>
        <v>Madagascar</v>
      </c>
      <c r="B179" s="65" t="n">
        <f aca="false">'PRS Worksheet'!B173</f>
        <v>62.5</v>
      </c>
      <c r="C179" s="66" t="n">
        <f aca="false">'PRS Worksheet'!E173</f>
        <v>0.12644349465472</v>
      </c>
      <c r="D179" s="67" t="n">
        <f aca="false">'PRS Worksheet'!G173</f>
        <v>0.0841434946547197</v>
      </c>
      <c r="E179" s="67" t="n">
        <f aca="false">'PRS Worksheet'!D173</f>
        <v>0.0552348054028417</v>
      </c>
      <c r="F179" s="60"/>
      <c r="G179" s="60"/>
      <c r="H179" s="60"/>
    </row>
    <row r="180" customFormat="false" ht="15.75" hidden="false" customHeight="false" outlineLevel="0" collapsed="false">
      <c r="A180" s="64" t="str">
        <f aca="false">'PRS Worksheet'!A174</f>
        <v>Malawi</v>
      </c>
      <c r="B180" s="65" t="n">
        <f aca="false">'PRS Worksheet'!B174</f>
        <v>56</v>
      </c>
      <c r="C180" s="66" t="n">
        <f aca="false">'PRS Worksheet'!E174</f>
        <v>0.171786643672995</v>
      </c>
      <c r="D180" s="67" t="n">
        <f aca="false">'PRS Worksheet'!G174</f>
        <v>0.129486643672995</v>
      </c>
      <c r="E180" s="67" t="n">
        <f aca="false">'PRS Worksheet'!D174</f>
        <v>0.0849996734137763</v>
      </c>
      <c r="F180" s="60"/>
      <c r="G180" s="60"/>
      <c r="H180" s="60"/>
    </row>
    <row r="181" customFormat="false" ht="15.75" hidden="false" customHeight="false" outlineLevel="0" collapsed="false">
      <c r="A181" s="64" t="str">
        <f aca="false">'PRS Worksheet'!A175</f>
        <v>Myanmar</v>
      </c>
      <c r="B181" s="65" t="n">
        <f aca="false">'PRS Worksheet'!B175</f>
        <v>54.75</v>
      </c>
      <c r="C181" s="66" t="n">
        <f aca="false">'PRS Worksheet'!E175</f>
        <v>0.197653540763958</v>
      </c>
      <c r="D181" s="67" t="n">
        <f aca="false">'PRS Worksheet'!G175</f>
        <v>0.155353540763958</v>
      </c>
      <c r="E181" s="67" t="n">
        <f aca="false">'PRS Worksheet'!D175</f>
        <v>0.101979631675048</v>
      </c>
      <c r="F181" s="60"/>
      <c r="G181" s="60"/>
      <c r="H181" s="60"/>
    </row>
    <row r="182" customFormat="false" ht="15.75" hidden="false" customHeight="false" outlineLevel="0" collapsed="false">
      <c r="A182" s="64" t="str">
        <f aca="false">'PRS Worksheet'!A176</f>
        <v>Russia</v>
      </c>
      <c r="B182" s="65" t="n">
        <f aca="false">'PRS Worksheet'!B176</f>
        <v>70.25</v>
      </c>
      <c r="C182" s="66" t="n">
        <f aca="false">'PRS Worksheet'!E176</f>
        <v>0.0812525038546261</v>
      </c>
      <c r="D182" s="67" t="n">
        <f aca="false">'PRS Worksheet'!G176</f>
        <v>0.0389525038546261</v>
      </c>
      <c r="E182" s="67" t="n">
        <f aca="false">'PRS Worksheet'!D176</f>
        <v>0.0255698194993264</v>
      </c>
      <c r="F182" s="60"/>
      <c r="G182" s="60"/>
      <c r="H182" s="60"/>
    </row>
    <row r="183" customFormat="false" ht="15.75" hidden="false" customHeight="false" outlineLevel="0" collapsed="false">
      <c r="A183" s="64" t="str">
        <f aca="false">'PRS Worksheet'!A177</f>
        <v>Sierra Leone</v>
      </c>
      <c r="B183" s="65" t="n">
        <f aca="false">'PRS Worksheet'!B177</f>
        <v>62.75</v>
      </c>
      <c r="C183" s="66" t="n">
        <f aca="false">'PRS Worksheet'!E177</f>
        <v>0.12644349465472</v>
      </c>
      <c r="D183" s="67" t="n">
        <f aca="false">'PRS Worksheet'!G177</f>
        <v>0.0841434946547197</v>
      </c>
      <c r="E183" s="67" t="n">
        <f aca="false">'PRS Worksheet'!D177</f>
        <v>0.0552348054028417</v>
      </c>
      <c r="F183" s="60"/>
      <c r="G183" s="60"/>
      <c r="H183" s="60"/>
    </row>
    <row r="184" customFormat="false" ht="15.75" hidden="false" customHeight="false" outlineLevel="0" collapsed="false">
      <c r="A184" s="64" t="str">
        <f aca="false">'PRS Worksheet'!A178</f>
        <v>Somalia</v>
      </c>
      <c r="B184" s="65" t="n">
        <f aca="false">'PRS Worksheet'!B178</f>
        <v>55.5</v>
      </c>
      <c r="C184" s="66" t="n">
        <f aca="false">'PRS Worksheet'!E178</f>
        <v>0.171786643672995</v>
      </c>
      <c r="D184" s="67" t="n">
        <f aca="false">'PRS Worksheet'!G178</f>
        <v>0.129486643672995</v>
      </c>
      <c r="E184" s="67" t="n">
        <f aca="false">'PRS Worksheet'!D178</f>
        <v>0.0849996734137763</v>
      </c>
      <c r="F184" s="60"/>
      <c r="G184" s="60"/>
      <c r="H184" s="60"/>
    </row>
    <row r="185" customFormat="false" ht="15.75" hidden="false" customHeight="false" outlineLevel="0" collapsed="false">
      <c r="A185" s="64" t="str">
        <f aca="false">'PRS Worksheet'!A179</f>
        <v>Sudan</v>
      </c>
      <c r="B185" s="65" t="n">
        <f aca="false">'PRS Worksheet'!B179</f>
        <v>47.75</v>
      </c>
      <c r="C185" s="66" t="n">
        <f aca="false">'PRS Worksheet'!E179</f>
        <v>0.30889117303269</v>
      </c>
      <c r="D185" s="67" t="n">
        <f aca="false">'PRS Worksheet'!G179</f>
        <v>0.26659117303269</v>
      </c>
      <c r="E185" s="67" t="n">
        <f aca="false">'PRS Worksheet'!D179</f>
        <v>0.175</v>
      </c>
      <c r="F185" s="60"/>
      <c r="G185" s="60"/>
      <c r="H185" s="60"/>
    </row>
    <row r="186" customFormat="false" ht="15.75" hidden="false" customHeight="false" outlineLevel="0" collapsed="false">
      <c r="A186" s="64" t="str">
        <f aca="false">'PRS Worksheet'!A180</f>
        <v>Syria</v>
      </c>
      <c r="B186" s="65" t="n">
        <f aca="false">'PRS Worksheet'!B180</f>
        <v>51.5</v>
      </c>
      <c r="C186" s="66" t="n">
        <f aca="false">'PRS Worksheet'!E180</f>
        <v>0.197653540763958</v>
      </c>
      <c r="D186" s="67" t="n">
        <f aca="false">'PRS Worksheet'!G180</f>
        <v>0.155353540763958</v>
      </c>
      <c r="E186" s="67" t="n">
        <f aca="false">'PRS Worksheet'!D180</f>
        <v>0.101979631675048</v>
      </c>
      <c r="F186" s="60"/>
      <c r="G186" s="60"/>
      <c r="H186" s="60"/>
    </row>
    <row r="187" customFormat="false" ht="15.75" hidden="false" customHeight="false" outlineLevel="0" collapsed="false">
      <c r="A187" s="64" t="str">
        <f aca="false">'PRS Worksheet'!A181</f>
        <v>Yemen, Republic</v>
      </c>
      <c r="B187" s="65" t="n">
        <f aca="false">'PRS Worksheet'!B181</f>
        <v>51.75</v>
      </c>
      <c r="C187" s="66" t="n">
        <f aca="false">'PRS Worksheet'!E181</f>
        <v>0.197653540763958</v>
      </c>
      <c r="D187" s="67" t="n">
        <f aca="false">'PRS Worksheet'!G181</f>
        <v>0.155353540763958</v>
      </c>
      <c r="E187" s="67" t="n">
        <f aca="false">'PRS Worksheet'!D181</f>
        <v>0.101979631675048</v>
      </c>
      <c r="F187" s="60"/>
      <c r="G187" s="60"/>
      <c r="H187" s="60"/>
    </row>
    <row r="188" customFormat="false" ht="15.75" hidden="false" customHeight="false" outlineLevel="0" collapsed="false">
      <c r="A188" s="64" t="str">
        <f aca="false">'PRS Worksheet'!A182</f>
        <v>Zimbabwe</v>
      </c>
      <c r="B188" s="65" t="n">
        <f aca="false">'PRS Worksheet'!B182</f>
        <v>58.5</v>
      </c>
      <c r="C188" s="66" t="n">
        <f aca="false">'PRS Worksheet'!E182</f>
        <v>0.158853195127514</v>
      </c>
      <c r="D188" s="67" t="n">
        <f aca="false">'PRS Worksheet'!G182</f>
        <v>0.116553195127514</v>
      </c>
      <c r="E188" s="67" t="n">
        <f aca="false">'PRS Worksheet'!D182</f>
        <v>0.0765096942831406</v>
      </c>
      <c r="F188" s="60"/>
      <c r="G188" s="60"/>
      <c r="H188" s="60"/>
    </row>
    <row r="189" customFormat="false" ht="15.75" hidden="false" customHeight="false" outlineLevel="0" collapsed="false">
      <c r="A189" s="68"/>
      <c r="B189" s="69"/>
      <c r="C189" s="70"/>
      <c r="D189" s="71"/>
      <c r="E189" s="60"/>
    </row>
    <row r="190" customFormat="false" ht="12.75" hidden="false" customHeight="false" outlineLevel="0" collapsed="false">
      <c r="B190" s="53" t="s">
        <v>107</v>
      </c>
      <c r="C190" s="53" t="s">
        <v>108</v>
      </c>
    </row>
    <row r="191" customFormat="false" ht="12.75" hidden="false" customHeight="false" outlineLevel="0" collapsed="false">
      <c r="B191" s="54" t="s">
        <v>109</v>
      </c>
      <c r="C191" s="72" t="n">
        <f aca="false">'Default Spreads for Ratings'!C2</f>
        <v>59.9292644515462</v>
      </c>
    </row>
    <row r="192" customFormat="false" ht="12.75" hidden="false" customHeight="false" outlineLevel="0" collapsed="false">
      <c r="B192" s="54" t="s">
        <v>110</v>
      </c>
      <c r="C192" s="72" t="n">
        <f aca="false">'Default Spreads for Ratings'!C3</f>
        <v>71.9151173418554</v>
      </c>
    </row>
    <row r="193" customFormat="false" ht="12.75" hidden="false" customHeight="false" outlineLevel="0" collapsed="false">
      <c r="B193" s="54" t="s">
        <v>111</v>
      </c>
      <c r="C193" s="72" t="n">
        <f aca="false">'Default Spreads for Ratings'!C4</f>
        <v>101.879749567629</v>
      </c>
    </row>
    <row r="194" customFormat="false" ht="12.75" hidden="false" customHeight="false" outlineLevel="0" collapsed="false">
      <c r="B194" s="54" t="s">
        <v>112</v>
      </c>
      <c r="C194" s="72" t="n">
        <f aca="false">'Default Spreads for Ratings'!C5</f>
        <v>23.3367916999202</v>
      </c>
    </row>
    <row r="195" customFormat="false" ht="12.75" hidden="false" customHeight="false" outlineLevel="0" collapsed="false">
      <c r="B195" s="54" t="s">
        <v>113</v>
      </c>
      <c r="C195" s="72" t="n">
        <f aca="false">'Default Spreads for Ratings'!C6</f>
        <v>41.9504851160823</v>
      </c>
    </row>
    <row r="196" customFormat="false" ht="12.75" hidden="false" customHeight="false" outlineLevel="0" collapsed="false">
      <c r="B196" s="54" t="s">
        <v>114</v>
      </c>
      <c r="C196" s="72" t="n">
        <f aca="false">'Default Spreads for Ratings'!C7</f>
        <v>50.9398747838143</v>
      </c>
    </row>
    <row r="197" customFormat="false" ht="12.75" hidden="false" customHeight="false" outlineLevel="0" collapsed="false">
      <c r="B197" s="54" t="s">
        <v>115</v>
      </c>
      <c r="C197" s="72" t="n">
        <f aca="false">'Default Spreads for Ratings'!C8</f>
        <v>0</v>
      </c>
    </row>
    <row r="198" customFormat="false" ht="12.75" hidden="false" customHeight="false" outlineLevel="0" collapsed="false">
      <c r="B198" s="54" t="s">
        <v>116</v>
      </c>
      <c r="C198" s="72" t="n">
        <f aca="false">'Default Spreads for Ratings'!C9</f>
        <v>382.548471415703</v>
      </c>
    </row>
    <row r="199" customFormat="false" ht="12.75" hidden="false" customHeight="false" outlineLevel="0" collapsed="false">
      <c r="B199" s="54" t="s">
        <v>117</v>
      </c>
      <c r="C199" s="72" t="n">
        <f aca="false">'Default Spreads for Ratings'!C10</f>
        <v>467.44826272206</v>
      </c>
    </row>
    <row r="200" customFormat="false" ht="12.75" hidden="false" customHeight="false" outlineLevel="0" collapsed="false">
      <c r="B200" s="54" t="s">
        <v>118</v>
      </c>
      <c r="C200" s="72" t="n">
        <f aca="false">'Default Spreads for Ratings'!C11</f>
        <v>552.348054028417</v>
      </c>
    </row>
    <row r="201" customFormat="false" ht="12.75" hidden="false" customHeight="false" outlineLevel="0" collapsed="false">
      <c r="B201" s="54" t="s">
        <v>119</v>
      </c>
      <c r="C201" s="72" t="n">
        <f aca="false">'Default Spreads for Ratings'!C12</f>
        <v>212.748888802989</v>
      </c>
    </row>
    <row r="202" customFormat="false" ht="12.75" hidden="false" customHeight="false" outlineLevel="0" collapsed="false">
      <c r="B202" s="54" t="s">
        <v>120</v>
      </c>
      <c r="C202" s="72" t="n">
        <f aca="false">'Default Spreads for Ratings'!C13</f>
        <v>255.698194993264</v>
      </c>
    </row>
    <row r="203" customFormat="false" ht="12.75" hidden="false" customHeight="false" outlineLevel="0" collapsed="false">
      <c r="B203" s="54" t="s">
        <v>121</v>
      </c>
      <c r="C203" s="72" t="n">
        <f aca="false">'Default Spreads for Ratings'!C14</f>
        <v>305.639248702886</v>
      </c>
    </row>
    <row r="204" customFormat="false" ht="12.75" hidden="false" customHeight="false" outlineLevel="0" collapsed="false">
      <c r="B204" s="54" t="s">
        <v>122</v>
      </c>
      <c r="C204" s="72" t="n">
        <f aca="false">'Default Spreads for Ratings'!C15</f>
        <v>135.839666090171</v>
      </c>
    </row>
    <row r="205" customFormat="false" ht="12.75" hidden="false" customHeight="false" outlineLevel="0" collapsed="false">
      <c r="B205" s="54" t="s">
        <v>123</v>
      </c>
      <c r="C205" s="72" t="n">
        <f aca="false">'Default Spreads for Ratings'!C16</f>
        <v>161.809014019175</v>
      </c>
    </row>
    <row r="206" customFormat="false" ht="12.75" hidden="false" customHeight="false" outlineLevel="0" collapsed="false">
      <c r="B206" s="54" t="s">
        <v>124</v>
      </c>
      <c r="C206" s="72" t="n">
        <f aca="false">'Default Spreads for Ratings'!C17</f>
        <v>186.779540873986</v>
      </c>
    </row>
    <row r="207" customFormat="false" ht="12.75" hidden="false" customHeight="false" outlineLevel="0" collapsed="false">
      <c r="B207" s="54" t="s">
        <v>125</v>
      </c>
      <c r="C207" s="72" t="n">
        <v>1750</v>
      </c>
    </row>
    <row r="208" customFormat="false" ht="12.75" hidden="false" customHeight="false" outlineLevel="0" collapsed="false">
      <c r="B208" s="54" t="s">
        <v>126</v>
      </c>
      <c r="C208" s="72" t="n">
        <f aca="false">'Default Spreads for Ratings'!C18</f>
        <v>1019.79631675048</v>
      </c>
    </row>
    <row r="209" customFormat="false" ht="12.75" hidden="false" customHeight="false" outlineLevel="0" collapsed="false">
      <c r="B209" s="54" t="s">
        <v>133</v>
      </c>
      <c r="C209" s="72" t="n">
        <f aca="false">'Default Spreads for Ratings'!C19</f>
        <v>637.247845334774</v>
      </c>
    </row>
    <row r="210" customFormat="false" ht="12.75" hidden="false" customHeight="false" outlineLevel="0" collapsed="false">
      <c r="B210" s="54" t="s">
        <v>134</v>
      </c>
      <c r="C210" s="72" t="n">
        <f aca="false">'Default Spreads for Ratings'!C20</f>
        <v>765.096942831406</v>
      </c>
    </row>
    <row r="211" customFormat="false" ht="12.75" hidden="false" customHeight="false" outlineLevel="0" collapsed="false">
      <c r="B211" s="54" t="s">
        <v>135</v>
      </c>
      <c r="C211" s="72" t="n">
        <f aca="false">'Default Spreads for Ratings'!C21</f>
        <v>849.996734137764</v>
      </c>
    </row>
    <row r="212" customFormat="false" ht="12.75" hidden="false" customHeight="false" outlineLevel="0" collapsed="false">
      <c r="B212" s="54" t="s">
        <v>127</v>
      </c>
      <c r="C212" s="54" t="s">
        <v>136</v>
      </c>
    </row>
  </sheetData>
  <mergeCells count="1">
    <mergeCell ref="A166:E16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1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10.65234375" defaultRowHeight="12.75" zeroHeight="false" outlineLevelRow="0" outlineLevelCol="0"/>
  <cols>
    <col collapsed="false" customWidth="true" hidden="false" outlineLevel="0" max="1" min="1" style="0" width="31.34"/>
    <col collapsed="false" customWidth="true" hidden="false" outlineLevel="0" max="2" min="2" style="0" width="12.51"/>
    <col collapsed="false" customWidth="true" hidden="false" outlineLevel="0" max="3" min="3" style="0" width="15.51"/>
    <col collapsed="false" customWidth="true" hidden="false" outlineLevel="0" max="4" min="4" style="0" width="8"/>
    <col collapsed="false" customWidth="true" hidden="false" outlineLevel="0" max="6" min="6" style="0" width="20"/>
    <col collapsed="false" customWidth="true" hidden="false" outlineLevel="0" max="15" min="15" style="0" width="13.51"/>
  </cols>
  <sheetData>
    <row r="1" customFormat="false" ht="12.75" hidden="false" customHeight="true" outlineLevel="0" collapsed="false">
      <c r="A1" s="54" t="s">
        <v>137</v>
      </c>
      <c r="B1" s="54" t="s">
        <v>138</v>
      </c>
      <c r="C1" s="54" t="s">
        <v>139</v>
      </c>
      <c r="D1" s="54" t="s">
        <v>140</v>
      </c>
      <c r="J1" s="73" t="s">
        <v>141</v>
      </c>
      <c r="K1" s="73"/>
      <c r="L1" s="73"/>
      <c r="M1" s="73"/>
      <c r="N1" s="73"/>
      <c r="O1" s="73"/>
      <c r="P1" s="73"/>
      <c r="Q1" s="73"/>
      <c r="R1" s="73"/>
      <c r="S1" s="73"/>
    </row>
    <row r="2" customFormat="false" ht="12.75" hidden="false" customHeight="true" outlineLevel="0" collapsed="false">
      <c r="A2" s="54" t="n">
        <v>2021</v>
      </c>
      <c r="B2" s="74" t="n">
        <f aca="false">STDEV(I15:I276)*(261^0.5)</f>
        <v>0.143153349571206</v>
      </c>
      <c r="C2" s="74" t="n">
        <f aca="false">STDEV(C15:C267)*(252^0.5)</f>
        <v>0.0687286366124233</v>
      </c>
      <c r="D2" s="75" t="n">
        <f aca="false">B2/C2</f>
        <v>2.08287777303776</v>
      </c>
      <c r="E2" s="76"/>
      <c r="F2" s="77"/>
      <c r="J2" s="73"/>
      <c r="K2" s="73"/>
      <c r="L2" s="73"/>
      <c r="M2" s="73"/>
      <c r="N2" s="73"/>
      <c r="O2" s="73"/>
      <c r="P2" s="73"/>
      <c r="Q2" s="73"/>
      <c r="R2" s="73"/>
      <c r="S2" s="73"/>
    </row>
    <row r="3" customFormat="false" ht="12.75" hidden="false" customHeight="true" outlineLevel="0" collapsed="false">
      <c r="A3" s="54" t="n">
        <v>2022</v>
      </c>
      <c r="B3" s="74" t="n">
        <f aca="false">STDEV(I277:I536)*(259^0.5)</f>
        <v>0.186345684014932</v>
      </c>
      <c r="C3" s="74" t="n">
        <f aca="false">STDEV(C268:C518)*(250^0.5)</f>
        <v>0.153797586610858</v>
      </c>
      <c r="D3" s="75" t="n">
        <f aca="false">B3/C3</f>
        <v>1.2116294417963</v>
      </c>
      <c r="E3" s="76"/>
      <c r="J3" s="73"/>
      <c r="K3" s="73"/>
      <c r="L3" s="73"/>
      <c r="M3" s="73"/>
      <c r="N3" s="73"/>
      <c r="O3" s="73"/>
      <c r="P3" s="73"/>
      <c r="Q3" s="73"/>
      <c r="R3" s="73"/>
      <c r="S3" s="73"/>
    </row>
    <row r="4" customFormat="false" ht="12.75" hidden="false" customHeight="true" outlineLevel="0" collapsed="false">
      <c r="A4" s="54" t="n">
        <v>2023</v>
      </c>
      <c r="B4" s="74" t="n">
        <f aca="false">STDEV(I537:I796)*(259^0.5)</f>
        <v>0.111413271084621</v>
      </c>
      <c r="C4" s="74" t="n">
        <f aca="false">STDEV(C519:C768)*(249^0.5)</f>
        <v>0.0986737611491684</v>
      </c>
      <c r="D4" s="75" t="n">
        <f aca="false">B4/C4</f>
        <v>1.12910737147431</v>
      </c>
      <c r="E4" s="78"/>
      <c r="F4" s="79"/>
      <c r="J4" s="73"/>
      <c r="K4" s="73"/>
      <c r="L4" s="73"/>
      <c r="M4" s="73"/>
      <c r="N4" s="73"/>
      <c r="O4" s="73"/>
      <c r="P4" s="73"/>
      <c r="Q4" s="73"/>
      <c r="R4" s="73"/>
      <c r="S4" s="73"/>
    </row>
    <row r="5" customFormat="false" ht="13.5" hidden="false" customHeight="true" outlineLevel="0" collapsed="false">
      <c r="A5" s="54" t="n">
        <v>2024</v>
      </c>
      <c r="B5" s="74" t="n">
        <f aca="false">STDEV(I797:I1058)*(261^0.5)</f>
        <v>0.11865914639059</v>
      </c>
      <c r="C5" s="74" t="n">
        <f aca="false">STDEV(C769:C1020)*(251^0.5)</f>
        <v>0.074136944244283</v>
      </c>
      <c r="D5" s="75" t="n">
        <f aca="false">B5/C5</f>
        <v>1.60054002225402</v>
      </c>
      <c r="J5" s="73"/>
      <c r="K5" s="73"/>
      <c r="L5" s="73"/>
      <c r="M5" s="73"/>
      <c r="N5" s="73"/>
      <c r="O5" s="73"/>
      <c r="P5" s="73"/>
      <c r="Q5" s="73"/>
      <c r="R5" s="73"/>
      <c r="S5" s="73"/>
    </row>
    <row r="6" customFormat="false" ht="12.75" hidden="false" customHeight="true" outlineLevel="0" collapsed="false">
      <c r="A6" s="54" t="n">
        <v>2025</v>
      </c>
      <c r="B6" s="74" t="n">
        <f aca="false">STDEV(I1059:I1319)*(260^0.5)</f>
        <v>0.1461117692205</v>
      </c>
      <c r="C6" s="74" t="n">
        <f aca="false">STDEV(C1021:C1270)*(249^0.5)</f>
        <v>0.0678988272579762</v>
      </c>
      <c r="D6" s="75" t="n">
        <f aca="false">B6/C6</f>
        <v>2.15190416566932</v>
      </c>
      <c r="F6" s="79"/>
      <c r="J6" s="73"/>
      <c r="K6" s="73"/>
      <c r="L6" s="73"/>
      <c r="M6" s="73"/>
      <c r="N6" s="73"/>
      <c r="O6" s="73"/>
      <c r="P6" s="73"/>
      <c r="Q6" s="73"/>
      <c r="R6" s="73"/>
      <c r="S6" s="73"/>
    </row>
    <row r="7" customFormat="false" ht="12.75" hidden="false" customHeight="true" outlineLevel="0" collapsed="false">
      <c r="A7" s="80" t="s">
        <v>142</v>
      </c>
      <c r="B7" s="81" t="n">
        <f aca="false">AVERAGE(B2:B6)</f>
        <v>0.14113664405637</v>
      </c>
      <c r="C7" s="81" t="n">
        <f aca="false">AVERAGE(C2:C6)</f>
        <v>0.0926471511749418</v>
      </c>
      <c r="D7" s="82" t="n">
        <f aca="false">B7/C7</f>
        <v>1.52337813161537</v>
      </c>
      <c r="J7" s="73"/>
      <c r="K7" s="73"/>
      <c r="L7" s="73"/>
      <c r="M7" s="73"/>
      <c r="N7" s="73"/>
      <c r="O7" s="73"/>
      <c r="P7" s="73"/>
      <c r="Q7" s="73"/>
      <c r="R7" s="73"/>
      <c r="S7" s="73"/>
    </row>
    <row r="9" customFormat="false" ht="13.5" hidden="false" customHeight="false" outlineLevel="0" collapsed="false">
      <c r="A9" s="0" t="s">
        <v>143</v>
      </c>
      <c r="B9" s="83" t="s">
        <v>144</v>
      </c>
      <c r="G9" s="0" t="s">
        <v>143</v>
      </c>
      <c r="H9" s="0" t="s">
        <v>145</v>
      </c>
    </row>
    <row r="10" customFormat="false" ht="12.75" hidden="false" customHeight="false" outlineLevel="0" collapsed="false">
      <c r="A10" s="0" t="s">
        <v>146</v>
      </c>
      <c r="B10" s="0" t="s">
        <v>147</v>
      </c>
      <c r="G10" s="0" t="s">
        <v>146</v>
      </c>
      <c r="H10" s="0" t="s">
        <v>148</v>
      </c>
    </row>
    <row r="11" customFormat="false" ht="12.75" hidden="false" customHeight="false" outlineLevel="0" collapsed="false">
      <c r="B11" s="9" t="s">
        <v>149</v>
      </c>
      <c r="H11" s="9" t="s">
        <v>150</v>
      </c>
    </row>
    <row r="12" customFormat="false" ht="15.75" hidden="false" customHeight="false" outlineLevel="0" collapsed="false">
      <c r="A12" s="0" t="s">
        <v>151</v>
      </c>
      <c r="B12" s="0" t="s">
        <v>152</v>
      </c>
      <c r="C12" s="0" t="s">
        <v>153</v>
      </c>
      <c r="G12" s="0" t="s">
        <v>151</v>
      </c>
      <c r="H12" s="84" t="s">
        <v>152</v>
      </c>
      <c r="I12" s="0" t="s">
        <v>153</v>
      </c>
      <c r="J12" s="84"/>
    </row>
    <row r="13" customFormat="false" ht="12.75" hidden="false" customHeight="false" outlineLevel="0" collapsed="false">
      <c r="A13" s="0" t="s">
        <v>154</v>
      </c>
      <c r="B13" s="0" t="s">
        <v>155</v>
      </c>
      <c r="G13" s="0" t="s">
        <v>154</v>
      </c>
      <c r="H13" s="0" t="s">
        <v>155</v>
      </c>
    </row>
    <row r="14" customFormat="false" ht="27.75" hidden="false" customHeight="false" outlineLevel="0" collapsed="false">
      <c r="A14" s="85" t="s">
        <v>156</v>
      </c>
      <c r="B14" s="85" t="s">
        <v>157</v>
      </c>
      <c r="C14" s="86" t="s">
        <v>158</v>
      </c>
      <c r="G14" s="87" t="s">
        <v>159</v>
      </c>
      <c r="H14" s="88" t="s">
        <v>160</v>
      </c>
      <c r="I14" s="88" t="s">
        <v>158</v>
      </c>
      <c r="J14" s="88"/>
      <c r="K14" s="88"/>
    </row>
    <row r="15" customFormat="false" ht="18" hidden="false" customHeight="false" outlineLevel="0" collapsed="false">
      <c r="A15" s="89" t="n">
        <v>42734</v>
      </c>
      <c r="B15" s="90" t="n">
        <v>115.91</v>
      </c>
      <c r="C15" s="91"/>
      <c r="D15" s="92"/>
      <c r="G15" s="93" t="n">
        <v>42734</v>
      </c>
      <c r="H15" s="94" t="n">
        <v>331.34</v>
      </c>
      <c r="I15" s="95"/>
      <c r="J15" s="88"/>
      <c r="K15" s="96"/>
    </row>
    <row r="16" customFormat="false" ht="18.75" hidden="false" customHeight="false" outlineLevel="0" collapsed="false">
      <c r="A16" s="89" t="n">
        <v>42738</v>
      </c>
      <c r="B16" s="90" t="n">
        <v>115.27</v>
      </c>
      <c r="C16" s="91" t="n">
        <f aca="false">B16/B15-1</f>
        <v>-0.00552152532137007</v>
      </c>
      <c r="D16" s="92"/>
      <c r="G16" s="93" t="n">
        <v>42735</v>
      </c>
      <c r="H16" s="94" t="n">
        <v>331.57</v>
      </c>
      <c r="I16" s="95" t="n">
        <f aca="false">H16/H15-1</f>
        <v>0.000694151023118206</v>
      </c>
      <c r="J16" s="88"/>
      <c r="K16" s="96"/>
    </row>
    <row r="17" customFormat="false" ht="18.75" hidden="false" customHeight="false" outlineLevel="0" collapsed="false">
      <c r="A17" s="89" t="n">
        <v>42739</v>
      </c>
      <c r="B17" s="90" t="n">
        <v>115.35</v>
      </c>
      <c r="C17" s="91" t="n">
        <f aca="false">B17/B16-1</f>
        <v>0.000694022729244459</v>
      </c>
      <c r="D17" s="97"/>
      <c r="G17" s="93" t="n">
        <v>42738</v>
      </c>
      <c r="H17" s="94" t="n">
        <v>334.34</v>
      </c>
      <c r="I17" s="95" t="n">
        <f aca="false">H17/H16-1</f>
        <v>0.00835419368459145</v>
      </c>
      <c r="J17" s="88"/>
      <c r="K17" s="88"/>
    </row>
    <row r="18" customFormat="false" ht="18" hidden="false" customHeight="false" outlineLevel="0" collapsed="false">
      <c r="A18" s="89" t="n">
        <v>42740</v>
      </c>
      <c r="B18" s="90" t="n">
        <v>114.52</v>
      </c>
      <c r="C18" s="91" t="n">
        <f aca="false">B18/B17-1</f>
        <v>-0.00719549198092762</v>
      </c>
      <c r="G18" s="93" t="n">
        <v>42739</v>
      </c>
      <c r="H18" s="94" t="n">
        <v>337.8</v>
      </c>
      <c r="I18" s="95" t="n">
        <f aca="false">H18/H17-1</f>
        <v>0.0103487467847103</v>
      </c>
      <c r="J18" s="88"/>
      <c r="K18" s="88"/>
      <c r="L18" s="98"/>
      <c r="M18" s="98"/>
      <c r="N18" s="98"/>
      <c r="O18" s="98"/>
    </row>
    <row r="19" customFormat="false" ht="18" hidden="false" customHeight="false" outlineLevel="0" collapsed="false">
      <c r="A19" s="89" t="n">
        <v>42741</v>
      </c>
      <c r="B19" s="90" t="n">
        <v>114.48</v>
      </c>
      <c r="C19" s="91" t="n">
        <f aca="false">B19/B18-1</f>
        <v>-0.000349283967865821</v>
      </c>
      <c r="G19" s="93" t="n">
        <v>42740</v>
      </c>
      <c r="H19" s="94" t="n">
        <v>336.87</v>
      </c>
      <c r="I19" s="95" t="n">
        <f aca="false">H19/H18-1</f>
        <v>-0.00275310834813502</v>
      </c>
      <c r="J19" s="88"/>
      <c r="K19" s="88"/>
      <c r="L19" s="98"/>
      <c r="M19" s="99"/>
      <c r="N19" s="99"/>
      <c r="O19" s="100"/>
    </row>
    <row r="20" customFormat="false" ht="18" hidden="false" customHeight="false" outlineLevel="0" collapsed="false">
      <c r="A20" s="89" t="n">
        <v>42742</v>
      </c>
      <c r="B20" s="90" t="n">
        <v>114.54</v>
      </c>
      <c r="C20" s="91" t="n">
        <f aca="false">B20/B19-1</f>
        <v>0.000524109014675034</v>
      </c>
      <c r="G20" s="93" t="n">
        <v>42741</v>
      </c>
      <c r="H20" s="94" t="n">
        <v>337.98</v>
      </c>
      <c r="I20" s="95" t="n">
        <f aca="false">H20/H19-1</f>
        <v>0.00329503962953082</v>
      </c>
      <c r="J20" s="88"/>
      <c r="K20" s="88"/>
      <c r="L20" s="98"/>
      <c r="M20" s="99"/>
      <c r="N20" s="99"/>
      <c r="O20" s="100"/>
    </row>
    <row r="21" customFormat="false" ht="18" hidden="false" customHeight="false" outlineLevel="0" collapsed="false">
      <c r="A21" s="89" t="n">
        <v>42745</v>
      </c>
      <c r="B21" s="90" t="n">
        <v>113.64</v>
      </c>
      <c r="C21" s="91" t="n">
        <f aca="false">B21/B20-1</f>
        <v>-0.00785751702462023</v>
      </c>
      <c r="G21" s="93" t="n">
        <v>42742</v>
      </c>
      <c r="H21" s="94" t="n">
        <v>343.78</v>
      </c>
      <c r="I21" s="95" t="n">
        <f aca="false">H21/H20-1</f>
        <v>0.0171607787443042</v>
      </c>
      <c r="J21" s="88"/>
      <c r="K21" s="88"/>
      <c r="L21" s="98"/>
      <c r="M21" s="99"/>
      <c r="N21" s="99"/>
      <c r="O21" s="100"/>
    </row>
    <row r="22" customFormat="false" ht="18" hidden="false" customHeight="false" outlineLevel="0" collapsed="false">
      <c r="A22" s="89" t="n">
        <v>42746</v>
      </c>
      <c r="B22" s="90" t="n">
        <v>113.1</v>
      </c>
      <c r="C22" s="91" t="n">
        <f aca="false">B22/B21-1</f>
        <v>-0.00475184794086592</v>
      </c>
      <c r="G22" s="93" t="n">
        <v>42745</v>
      </c>
      <c r="H22" s="94" t="n">
        <v>342.48</v>
      </c>
      <c r="I22" s="95" t="n">
        <f aca="false">H22/H21-1</f>
        <v>-0.00378148816103308</v>
      </c>
      <c r="J22" s="88"/>
      <c r="K22" s="88"/>
      <c r="L22" s="98"/>
      <c r="M22" s="99"/>
      <c r="N22" s="99"/>
      <c r="O22" s="100"/>
    </row>
    <row r="23" customFormat="false" ht="18" hidden="false" customHeight="false" outlineLevel="0" collapsed="false">
      <c r="A23" s="89" t="n">
        <v>42747</v>
      </c>
      <c r="B23" s="90" t="n">
        <v>113.63</v>
      </c>
      <c r="C23" s="91" t="n">
        <f aca="false">B23/B22-1</f>
        <v>0.00468611847922196</v>
      </c>
      <c r="G23" s="93" t="n">
        <v>42746</v>
      </c>
      <c r="H23" s="94" t="n">
        <v>344.33</v>
      </c>
      <c r="I23" s="95" t="n">
        <f aca="false">H23/H22-1</f>
        <v>0.00540177528614794</v>
      </c>
      <c r="J23" s="88"/>
      <c r="K23" s="88"/>
      <c r="L23" s="98"/>
      <c r="M23" s="99"/>
      <c r="N23" s="99"/>
      <c r="O23" s="100"/>
    </row>
    <row r="24" customFormat="false" ht="18" hidden="false" customHeight="false" outlineLevel="0" collapsed="false">
      <c r="A24" s="89" t="n">
        <v>42748</v>
      </c>
      <c r="B24" s="90" t="n">
        <v>113.3</v>
      </c>
      <c r="C24" s="91" t="n">
        <f aca="false">B24/B23-1</f>
        <v>-0.00290416263310744</v>
      </c>
      <c r="G24" s="93" t="n">
        <v>42747</v>
      </c>
      <c r="H24" s="94" t="n">
        <v>346.61</v>
      </c>
      <c r="I24" s="95" t="n">
        <f aca="false">H24/H23-1</f>
        <v>0.00662155490372607</v>
      </c>
      <c r="J24" s="88"/>
      <c r="K24" s="88"/>
      <c r="O24" s="100"/>
    </row>
    <row r="25" customFormat="false" ht="18" hidden="false" customHeight="false" outlineLevel="0" collapsed="false">
      <c r="A25" s="89" t="n">
        <v>42749</v>
      </c>
      <c r="B25" s="90" t="n">
        <v>113.43</v>
      </c>
      <c r="C25" s="91" t="n">
        <f aca="false">B25/B24-1</f>
        <v>0.00114739629302751</v>
      </c>
      <c r="G25" s="93" t="n">
        <v>42748</v>
      </c>
      <c r="H25" s="94" t="n">
        <v>348.89</v>
      </c>
      <c r="I25" s="95" t="n">
        <f aca="false">H25/H24-1</f>
        <v>0.0065779983266494</v>
      </c>
      <c r="J25" s="88"/>
      <c r="K25" s="88"/>
    </row>
    <row r="26" customFormat="false" ht="18" hidden="false" customHeight="false" outlineLevel="0" collapsed="false">
      <c r="A26" s="89" t="n">
        <v>42753</v>
      </c>
      <c r="B26" s="90" t="n">
        <v>113.59</v>
      </c>
      <c r="C26" s="91" t="n">
        <f aca="false">B26/B25-1</f>
        <v>0.001410561579829</v>
      </c>
      <c r="G26" s="93" t="n">
        <v>42749</v>
      </c>
      <c r="H26" s="94" t="n">
        <v>346.19</v>
      </c>
      <c r="I26" s="95" t="n">
        <f aca="false">H26/H25-1</f>
        <v>-0.00773882885723287</v>
      </c>
      <c r="J26" s="88"/>
      <c r="K26" s="88"/>
    </row>
    <row r="27" customFormat="false" ht="18" hidden="false" customHeight="false" outlineLevel="0" collapsed="false">
      <c r="A27" s="89" t="n">
        <v>42754</v>
      </c>
      <c r="B27" s="90" t="n">
        <v>113.72</v>
      </c>
      <c r="C27" s="91" t="n">
        <f aca="false">B27/B26-1</f>
        <v>0.00114446694251247</v>
      </c>
      <c r="G27" s="93" t="n">
        <v>42752</v>
      </c>
      <c r="H27" s="94" t="n">
        <v>347.78</v>
      </c>
      <c r="I27" s="95" t="n">
        <f aca="false">H27/H26-1</f>
        <v>0.00459285363528683</v>
      </c>
      <c r="J27" s="88"/>
      <c r="K27" s="88"/>
    </row>
    <row r="28" customFormat="false" ht="18" hidden="false" customHeight="false" outlineLevel="0" collapsed="false">
      <c r="A28" s="89" t="n">
        <v>42755</v>
      </c>
      <c r="B28" s="90" t="n">
        <v>113.8</v>
      </c>
      <c r="C28" s="91" t="n">
        <f aca="false">B28/B27-1</f>
        <v>0.000703482237073505</v>
      </c>
      <c r="G28" s="93" t="n">
        <v>42753</v>
      </c>
      <c r="H28" s="94" t="n">
        <v>352.56</v>
      </c>
      <c r="I28" s="95" t="n">
        <f aca="false">H28/H27-1</f>
        <v>0.0137443211225488</v>
      </c>
      <c r="J28" s="88"/>
      <c r="K28" s="88"/>
    </row>
    <row r="29" customFormat="false" ht="18" hidden="false" customHeight="false" outlineLevel="0" collapsed="false">
      <c r="A29" s="89" t="n">
        <v>42756</v>
      </c>
      <c r="B29" s="90" t="n">
        <v>113.85</v>
      </c>
      <c r="C29" s="91" t="n">
        <f aca="false">B29/B28-1</f>
        <v>0.000439367311072081</v>
      </c>
      <c r="G29" s="93" t="n">
        <v>42754</v>
      </c>
      <c r="H29" s="94" t="n">
        <v>357.12</v>
      </c>
      <c r="I29" s="95" t="n">
        <f aca="false">H29/H28-1</f>
        <v>0.0129339686861811</v>
      </c>
      <c r="J29" s="88"/>
      <c r="K29" s="88"/>
    </row>
    <row r="30" customFormat="false" ht="18" hidden="false" customHeight="false" outlineLevel="0" collapsed="false">
      <c r="A30" s="89" t="n">
        <v>42759</v>
      </c>
      <c r="B30" s="90" t="n">
        <v>114.3</v>
      </c>
      <c r="C30" s="91" t="n">
        <f aca="false">B30/B29-1</f>
        <v>0.00395256916996045</v>
      </c>
      <c r="G30" s="93" t="n">
        <v>42755</v>
      </c>
      <c r="H30" s="94" t="n">
        <v>357.52</v>
      </c>
      <c r="I30" s="95" t="n">
        <f aca="false">H30/H29-1</f>
        <v>0.00112007168458783</v>
      </c>
      <c r="J30" s="88"/>
      <c r="K30" s="88"/>
    </row>
    <row r="31" customFormat="false" ht="18" hidden="false" customHeight="false" outlineLevel="0" collapsed="false">
      <c r="A31" s="89" t="n">
        <v>42760</v>
      </c>
      <c r="B31" s="90" t="n">
        <v>114.15</v>
      </c>
      <c r="C31" s="91" t="n">
        <f aca="false">B31/B30-1</f>
        <v>-0.00131233595800517</v>
      </c>
      <c r="G31" s="93" t="n">
        <v>42756</v>
      </c>
      <c r="H31" s="94" t="n">
        <v>354.69</v>
      </c>
      <c r="I31" s="95" t="n">
        <f aca="false">H31/H30-1</f>
        <v>-0.00791564108301635</v>
      </c>
      <c r="J31" s="88"/>
      <c r="K31" s="88"/>
    </row>
    <row r="32" customFormat="false" ht="18" hidden="false" customHeight="false" outlineLevel="0" collapsed="false">
      <c r="A32" s="89" t="n">
        <v>42761</v>
      </c>
      <c r="B32" s="90" t="n">
        <v>113.62</v>
      </c>
      <c r="C32" s="91" t="n">
        <f aca="false">B32/B31-1</f>
        <v>-0.00464301357862462</v>
      </c>
      <c r="G32" s="93" t="n">
        <v>42759</v>
      </c>
      <c r="H32" s="94" t="n">
        <v>357.84</v>
      </c>
      <c r="I32" s="95" t="n">
        <f aca="false">H32/H31-1</f>
        <v>0.00888099467140324</v>
      </c>
      <c r="J32" s="88"/>
      <c r="K32" s="88"/>
    </row>
    <row r="33" customFormat="false" ht="18" hidden="false" customHeight="false" outlineLevel="0" collapsed="false">
      <c r="A33" s="89" t="n">
        <v>42762</v>
      </c>
      <c r="B33" s="90" t="n">
        <v>113.86</v>
      </c>
      <c r="C33" s="91" t="n">
        <f aca="false">B33/B32-1</f>
        <v>0.00211230417180075</v>
      </c>
      <c r="G33" s="93" t="n">
        <v>42760</v>
      </c>
      <c r="H33" s="94" t="n">
        <v>353.68</v>
      </c>
      <c r="I33" s="95" t="n">
        <f aca="false">H33/H32-1</f>
        <v>-0.0116253073999552</v>
      </c>
      <c r="J33" s="88"/>
      <c r="K33" s="88"/>
    </row>
    <row r="34" customFormat="false" ht="18" hidden="false" customHeight="false" outlineLevel="0" collapsed="false">
      <c r="A34" s="89" t="n">
        <v>42763</v>
      </c>
      <c r="B34" s="90" t="n">
        <v>113.85</v>
      </c>
      <c r="C34" s="91" t="n">
        <f aca="false">B34/B33-1</f>
        <v>-8.7827156156739E-005</v>
      </c>
      <c r="G34" s="93" t="n">
        <v>42761</v>
      </c>
      <c r="H34" s="94" t="n">
        <v>349.28</v>
      </c>
      <c r="I34" s="95" t="n">
        <f aca="false">H34/H33-1</f>
        <v>-0.0124406242931464</v>
      </c>
      <c r="J34" s="88"/>
      <c r="K34" s="88"/>
    </row>
    <row r="35" customFormat="false" ht="18" hidden="false" customHeight="false" outlineLevel="0" collapsed="false">
      <c r="A35" s="89" t="n">
        <v>42766</v>
      </c>
      <c r="B35" s="90" t="n">
        <v>114.05</v>
      </c>
      <c r="C35" s="91" t="n">
        <f aca="false">B35/B34-1</f>
        <v>0.00175669740887141</v>
      </c>
      <c r="G35" s="93" t="n">
        <v>42762</v>
      </c>
      <c r="H35" s="94" t="n">
        <v>344.95</v>
      </c>
      <c r="I35" s="95" t="n">
        <f aca="false">H35/H34-1</f>
        <v>-0.0123969308291342</v>
      </c>
      <c r="J35" s="88"/>
      <c r="K35" s="88"/>
    </row>
    <row r="36" customFormat="false" ht="18" hidden="false" customHeight="false" outlineLevel="0" collapsed="false">
      <c r="A36" s="89" t="n">
        <v>42767</v>
      </c>
      <c r="B36" s="90" t="n">
        <v>114.05</v>
      </c>
      <c r="C36" s="91" t="n">
        <f aca="false">B36/B35-1</f>
        <v>0</v>
      </c>
      <c r="G36" s="93" t="n">
        <v>42763</v>
      </c>
      <c r="H36" s="94" t="n">
        <v>340.73</v>
      </c>
      <c r="I36" s="95" t="n">
        <f aca="false">H36/H35-1</f>
        <v>-0.0122336570517465</v>
      </c>
      <c r="J36" s="88"/>
      <c r="K36" s="88"/>
    </row>
    <row r="37" customFormat="false" ht="18" hidden="false" customHeight="false" outlineLevel="0" collapsed="false">
      <c r="A37" s="89" t="n">
        <v>42768</v>
      </c>
      <c r="B37" s="90" t="n">
        <v>113.76</v>
      </c>
      <c r="C37" s="91" t="n">
        <f aca="false">B37/B36-1</f>
        <v>-0.0025427444103463</v>
      </c>
      <c r="G37" s="93" t="n">
        <v>42766</v>
      </c>
      <c r="H37" s="94" t="n">
        <v>347.93</v>
      </c>
      <c r="I37" s="95" t="n">
        <f aca="false">H37/H36-1</f>
        <v>0.0211311008716579</v>
      </c>
      <c r="J37" s="88"/>
      <c r="K37" s="88"/>
    </row>
    <row r="38" customFormat="false" ht="18" hidden="false" customHeight="false" outlineLevel="0" collapsed="false">
      <c r="A38" s="89" t="n">
        <v>42769</v>
      </c>
      <c r="B38" s="90" t="n">
        <v>114.09</v>
      </c>
      <c r="C38" s="91" t="n">
        <f aca="false">B38/B37-1</f>
        <v>0.00290084388185652</v>
      </c>
      <c r="G38" s="93" t="n">
        <v>42767</v>
      </c>
      <c r="H38" s="94" t="n">
        <v>353.35</v>
      </c>
      <c r="I38" s="95" t="n">
        <f aca="false">H38/H37-1</f>
        <v>0.0155778461184721</v>
      </c>
      <c r="J38" s="88"/>
      <c r="K38" s="88"/>
    </row>
    <row r="39" customFormat="false" ht="18" hidden="false" customHeight="false" outlineLevel="0" collapsed="false">
      <c r="A39" s="89" t="n">
        <v>42770</v>
      </c>
      <c r="B39" s="90" t="n">
        <v>114.22</v>
      </c>
      <c r="C39" s="91" t="n">
        <f aca="false">B39/B38-1</f>
        <v>0.00113945131036908</v>
      </c>
      <c r="G39" s="93" t="n">
        <v>42768</v>
      </c>
      <c r="H39" s="94" t="n">
        <v>355.98</v>
      </c>
      <c r="I39" s="95" t="n">
        <f aca="false">H39/H38-1</f>
        <v>0.0074430451393801</v>
      </c>
      <c r="J39" s="88"/>
      <c r="K39" s="88"/>
    </row>
    <row r="40" customFormat="false" ht="18" hidden="false" customHeight="false" outlineLevel="0" collapsed="false">
      <c r="A40" s="89" t="n">
        <v>42773</v>
      </c>
      <c r="B40" s="90" t="n">
        <v>114.22</v>
      </c>
      <c r="C40" s="91" t="n">
        <f aca="false">B40/B39-1</f>
        <v>0</v>
      </c>
      <c r="G40" s="93" t="n">
        <v>42769</v>
      </c>
      <c r="H40" s="94" t="n">
        <v>355.5</v>
      </c>
      <c r="I40" s="95" t="n">
        <f aca="false">H40/H39-1</f>
        <v>-0.00134839035900902</v>
      </c>
      <c r="J40" s="88"/>
      <c r="K40" s="88"/>
    </row>
    <row r="41" customFormat="false" ht="18" hidden="false" customHeight="false" outlineLevel="0" collapsed="false">
      <c r="A41" s="89" t="n">
        <v>42774</v>
      </c>
      <c r="B41" s="90" t="n">
        <v>113.81</v>
      </c>
      <c r="C41" s="91" t="n">
        <f aca="false">B41/B40-1</f>
        <v>-0.00358956399929955</v>
      </c>
      <c r="G41" s="93" t="n">
        <v>42770</v>
      </c>
      <c r="H41" s="94" t="n">
        <v>357.29</v>
      </c>
      <c r="I41" s="95" t="n">
        <f aca="false">H41/H40-1</f>
        <v>0.00503516174402252</v>
      </c>
      <c r="J41" s="88"/>
      <c r="K41" s="88"/>
    </row>
    <row r="42" customFormat="false" ht="18" hidden="false" customHeight="false" outlineLevel="0" collapsed="false">
      <c r="A42" s="89" t="n">
        <v>42775</v>
      </c>
      <c r="B42" s="90" t="n">
        <v>114.04</v>
      </c>
      <c r="C42" s="91" t="n">
        <f aca="false">B42/B41-1</f>
        <v>0.00202091204639321</v>
      </c>
      <c r="G42" s="93" t="n">
        <v>42773</v>
      </c>
      <c r="H42" s="94" t="n">
        <v>359.51</v>
      </c>
      <c r="I42" s="95" t="n">
        <f aca="false">H42/H41-1</f>
        <v>0.00621344006269409</v>
      </c>
      <c r="J42" s="88"/>
      <c r="K42" s="88"/>
    </row>
    <row r="43" customFormat="false" ht="18" hidden="false" customHeight="false" outlineLevel="0" collapsed="false">
      <c r="A43" s="89" t="n">
        <v>42776</v>
      </c>
      <c r="B43" s="90" t="n">
        <v>114.11</v>
      </c>
      <c r="C43" s="91" t="n">
        <f aca="false">B43/B42-1</f>
        <v>0.000613819712381503</v>
      </c>
      <c r="G43" s="93" t="n">
        <v>42774</v>
      </c>
      <c r="H43" s="94" t="n">
        <v>362.25</v>
      </c>
      <c r="I43" s="95" t="n">
        <f aca="false">H43/H42-1</f>
        <v>0.00762148479875391</v>
      </c>
      <c r="J43" s="88"/>
      <c r="K43" s="88"/>
    </row>
    <row r="44" customFormat="false" ht="18" hidden="false" customHeight="false" outlineLevel="0" collapsed="false">
      <c r="A44" s="89" t="n">
        <v>42777</v>
      </c>
      <c r="B44" s="90" t="n">
        <v>113.48</v>
      </c>
      <c r="C44" s="91" t="n">
        <f aca="false">B44/B43-1</f>
        <v>-0.00552098851984928</v>
      </c>
      <c r="G44" s="93" t="n">
        <v>42775</v>
      </c>
      <c r="H44" s="94" t="n">
        <v>365.49</v>
      </c>
      <c r="I44" s="95" t="n">
        <f aca="false">H44/H43-1</f>
        <v>0.00894409937888208</v>
      </c>
      <c r="J44" s="88"/>
      <c r="K44" s="88"/>
    </row>
    <row r="45" customFormat="false" ht="18" hidden="false" customHeight="false" outlineLevel="0" collapsed="false">
      <c r="A45" s="89" t="n">
        <v>42781</v>
      </c>
      <c r="B45" s="90" t="n">
        <v>112.09</v>
      </c>
      <c r="C45" s="91" t="n">
        <f aca="false">B45/B44-1</f>
        <v>-0.012248854423687</v>
      </c>
      <c r="G45" s="93" t="n">
        <v>42776</v>
      </c>
      <c r="H45" s="94" t="n">
        <v>367.04</v>
      </c>
      <c r="I45" s="95" t="n">
        <f aca="false">H45/H44-1</f>
        <v>0.00424088210347762</v>
      </c>
      <c r="J45" s="88"/>
      <c r="K45" s="88"/>
    </row>
    <row r="46" customFormat="false" ht="18" hidden="false" customHeight="false" outlineLevel="0" collapsed="false">
      <c r="A46" s="89" t="n">
        <v>42782</v>
      </c>
      <c r="B46" s="90" t="n">
        <v>112.71</v>
      </c>
      <c r="C46" s="91" t="n">
        <f aca="false">B46/B45-1</f>
        <v>0.00553126951556782</v>
      </c>
      <c r="G46" s="93" t="n">
        <v>42777</v>
      </c>
      <c r="H46" s="94" t="n">
        <v>367.4</v>
      </c>
      <c r="I46" s="95" t="n">
        <f aca="false">H46/H45-1</f>
        <v>0.000980819529206478</v>
      </c>
      <c r="J46" s="88"/>
      <c r="K46" s="88"/>
    </row>
    <row r="47" customFormat="false" ht="18" hidden="false" customHeight="false" outlineLevel="0" collapsed="false">
      <c r="A47" s="89" t="n">
        <v>42783</v>
      </c>
      <c r="B47" s="90" t="n">
        <v>112.59</v>
      </c>
      <c r="C47" s="91" t="n">
        <f aca="false">B47/B46-1</f>
        <v>-0.00106467926537124</v>
      </c>
      <c r="G47" s="93" t="n">
        <v>42780</v>
      </c>
      <c r="H47" s="94" t="n">
        <v>368.84</v>
      </c>
      <c r="I47" s="95" t="n">
        <f aca="false">H47/H46-1</f>
        <v>0.00391943385955362</v>
      </c>
      <c r="J47" s="88"/>
      <c r="K47" s="88"/>
    </row>
    <row r="48" customFormat="false" ht="18" hidden="false" customHeight="false" outlineLevel="0" collapsed="false">
      <c r="A48" s="89" t="n">
        <v>42784</v>
      </c>
      <c r="B48" s="90" t="n">
        <v>111.99</v>
      </c>
      <c r="C48" s="91" t="n">
        <f aca="false">B48/B47-1</f>
        <v>-0.00532907007727157</v>
      </c>
      <c r="G48" s="93" t="n">
        <v>42781</v>
      </c>
      <c r="H48" s="94" t="n">
        <v>369.97</v>
      </c>
      <c r="I48" s="95" t="n">
        <f aca="false">H48/H47-1</f>
        <v>0.00306365903914996</v>
      </c>
      <c r="J48" s="88"/>
      <c r="K48" s="88"/>
    </row>
    <row r="49" customFormat="false" ht="18" hidden="false" customHeight="false" outlineLevel="0" collapsed="false">
      <c r="A49" s="89" t="n">
        <v>42787</v>
      </c>
      <c r="B49" s="90" t="n">
        <v>111.23</v>
      </c>
      <c r="C49" s="91" t="n">
        <f aca="false">B49/B48-1</f>
        <v>-0.0067863202071613</v>
      </c>
      <c r="G49" s="93" t="n">
        <v>42782</v>
      </c>
      <c r="H49" s="94" t="n">
        <v>371.45</v>
      </c>
      <c r="I49" s="95" t="n">
        <f aca="false">H49/H48-1</f>
        <v>0.00400032435062281</v>
      </c>
      <c r="J49" s="88"/>
      <c r="K49" s="88"/>
    </row>
    <row r="50" customFormat="false" ht="18" hidden="false" customHeight="false" outlineLevel="0" collapsed="false">
      <c r="A50" s="89" t="n">
        <v>42788</v>
      </c>
      <c r="B50" s="90" t="n">
        <v>111.36</v>
      </c>
      <c r="C50" s="91" t="n">
        <f aca="false">B50/B49-1</f>
        <v>0.00116874943810119</v>
      </c>
      <c r="G50" s="93" t="n">
        <v>42783</v>
      </c>
      <c r="H50" s="94" t="n">
        <v>367.1</v>
      </c>
      <c r="I50" s="95" t="n">
        <f aca="false">H50/H49-1</f>
        <v>-0.0117108628348364</v>
      </c>
      <c r="J50" s="88"/>
      <c r="K50" s="88"/>
    </row>
    <row r="51" customFormat="false" ht="18" hidden="false" customHeight="false" outlineLevel="0" collapsed="false">
      <c r="A51" s="89" t="n">
        <v>42789</v>
      </c>
      <c r="B51" s="90" t="n">
        <v>111.53</v>
      </c>
      <c r="C51" s="91" t="n">
        <f aca="false">B51/B50-1</f>
        <v>0.00152658045977017</v>
      </c>
      <c r="G51" s="93" t="n">
        <v>42784</v>
      </c>
      <c r="H51" s="94" t="n">
        <v>368.17</v>
      </c>
      <c r="I51" s="95" t="n">
        <f aca="false">H51/H50-1</f>
        <v>0.0029147371288476</v>
      </c>
      <c r="J51" s="88"/>
      <c r="K51" s="88"/>
    </row>
    <row r="52" customFormat="false" ht="18" hidden="false" customHeight="false" outlineLevel="0" collapsed="false">
      <c r="A52" s="89" t="n">
        <v>42790</v>
      </c>
      <c r="B52" s="90" t="n">
        <v>109.54</v>
      </c>
      <c r="C52" s="91" t="n">
        <f aca="false">B52/B51-1</f>
        <v>-0.0178427328969784</v>
      </c>
      <c r="G52" s="93" t="n">
        <v>42787</v>
      </c>
      <c r="H52" s="94" t="n">
        <v>360.27</v>
      </c>
      <c r="I52" s="95" t="n">
        <f aca="false">H52/H51-1</f>
        <v>-0.0214574788820383</v>
      </c>
      <c r="J52" s="88"/>
      <c r="K52" s="88"/>
    </row>
    <row r="53" customFormat="false" ht="18" hidden="false" customHeight="false" outlineLevel="0" collapsed="false">
      <c r="A53" s="89" t="n">
        <v>42791</v>
      </c>
      <c r="B53" s="90" t="n">
        <v>110.03</v>
      </c>
      <c r="C53" s="91" t="n">
        <f aca="false">B53/B52-1</f>
        <v>0.00447325178017155</v>
      </c>
      <c r="G53" s="93" t="n">
        <v>42788</v>
      </c>
      <c r="H53" s="94" t="n">
        <v>360.55</v>
      </c>
      <c r="I53" s="95" t="n">
        <f aca="false">H53/H52-1</f>
        <v>0.00077719488161665</v>
      </c>
      <c r="J53" s="88"/>
      <c r="K53" s="88"/>
    </row>
    <row r="54" customFormat="false" ht="18" hidden="false" customHeight="false" outlineLevel="0" collapsed="false">
      <c r="A54" s="89" t="n">
        <v>42794</v>
      </c>
      <c r="B54" s="90" t="n">
        <v>110.29</v>
      </c>
      <c r="C54" s="91" t="n">
        <f aca="false">B54/B53-1</f>
        <v>0.00236299191129707</v>
      </c>
      <c r="G54" s="93" t="n">
        <v>42789</v>
      </c>
      <c r="H54" s="94" t="n">
        <v>355.64</v>
      </c>
      <c r="I54" s="95" t="n">
        <f aca="false">H54/H53-1</f>
        <v>-0.0136180834835669</v>
      </c>
      <c r="J54" s="88"/>
      <c r="K54" s="88"/>
    </row>
    <row r="55" customFormat="false" ht="18" hidden="false" customHeight="false" outlineLevel="0" collapsed="false">
      <c r="A55" s="89" t="n">
        <v>42795</v>
      </c>
      <c r="B55" s="90" t="n">
        <v>110.22</v>
      </c>
      <c r="C55" s="91" t="n">
        <f aca="false">B55/B54-1</f>
        <v>-0.000634690361773549</v>
      </c>
      <c r="G55" s="93" t="n">
        <v>42790</v>
      </c>
      <c r="H55" s="94" t="n">
        <v>355.86</v>
      </c>
      <c r="I55" s="95" t="n">
        <f aca="false">H55/H54-1</f>
        <v>0.000618603081768088</v>
      </c>
      <c r="J55" s="88"/>
      <c r="K55" s="88"/>
    </row>
    <row r="56" customFormat="false" ht="18" hidden="false" customHeight="false" outlineLevel="0" collapsed="false">
      <c r="A56" s="89" t="n">
        <v>42796</v>
      </c>
      <c r="B56" s="90" t="n">
        <v>109.56</v>
      </c>
      <c r="C56" s="91" t="n">
        <f aca="false">B56/B55-1</f>
        <v>-0.00598802395209574</v>
      </c>
      <c r="G56" s="93" t="n">
        <v>42791</v>
      </c>
      <c r="H56" s="94" t="n">
        <v>345.68</v>
      </c>
      <c r="I56" s="95" t="n">
        <f aca="false">H56/H55-1</f>
        <v>-0.0286067554656325</v>
      </c>
      <c r="J56" s="88"/>
      <c r="K56" s="88"/>
    </row>
    <row r="57" customFormat="false" ht="18" hidden="false" customHeight="false" outlineLevel="0" collapsed="false">
      <c r="A57" s="89" t="n">
        <v>42797</v>
      </c>
      <c r="B57" s="90" t="n">
        <v>108.62</v>
      </c>
      <c r="C57" s="91" t="n">
        <f aca="false">B57/B56-1</f>
        <v>-0.00857977364001461</v>
      </c>
      <c r="G57" s="93" t="n">
        <v>42794</v>
      </c>
      <c r="H57" s="94" t="n">
        <v>352.43</v>
      </c>
      <c r="I57" s="95" t="n">
        <f aca="false">H57/H56-1</f>
        <v>0.0195267299236288</v>
      </c>
      <c r="J57" s="88"/>
      <c r="K57" s="88"/>
    </row>
    <row r="58" customFormat="false" ht="18" hidden="false" customHeight="false" outlineLevel="0" collapsed="false">
      <c r="A58" s="89" t="n">
        <v>42798</v>
      </c>
      <c r="B58" s="90" t="n">
        <v>108.6</v>
      </c>
      <c r="C58" s="91" t="n">
        <f aca="false">B58/B57-1</f>
        <v>-0.000184128153194685</v>
      </c>
      <c r="G58" s="93" t="n">
        <v>42795</v>
      </c>
      <c r="H58" s="94" t="n">
        <v>350.92</v>
      </c>
      <c r="I58" s="95" t="n">
        <f aca="false">H58/H57-1</f>
        <v>-0.0042845387736572</v>
      </c>
      <c r="J58" s="88"/>
      <c r="K58" s="88"/>
    </row>
    <row r="59" customFormat="false" ht="18" hidden="false" customHeight="false" outlineLevel="0" collapsed="false">
      <c r="A59" s="89" t="n">
        <v>42801</v>
      </c>
      <c r="B59" s="90" t="n">
        <v>106.72</v>
      </c>
      <c r="C59" s="91" t="n">
        <f aca="false">B59/B58-1</f>
        <v>-0.0173112338858195</v>
      </c>
      <c r="G59" s="93" t="n">
        <v>42796</v>
      </c>
      <c r="H59" s="94" t="n">
        <v>355.27</v>
      </c>
      <c r="I59" s="95" t="n">
        <f aca="false">H59/H58-1</f>
        <v>0.0123959876895017</v>
      </c>
      <c r="J59" s="88"/>
      <c r="K59" s="88"/>
    </row>
    <row r="60" customFormat="false" ht="18" hidden="false" customHeight="false" outlineLevel="0" collapsed="false">
      <c r="A60" s="89" t="n">
        <v>42802</v>
      </c>
      <c r="B60" s="90" t="n">
        <v>107.98</v>
      </c>
      <c r="C60" s="91" t="n">
        <f aca="false">B60/B59-1</f>
        <v>0.0118065967016492</v>
      </c>
      <c r="G60" s="93" t="n">
        <v>42797</v>
      </c>
      <c r="H60" s="94" t="n">
        <v>347.71</v>
      </c>
      <c r="I60" s="95" t="n">
        <f aca="false">H60/H59-1</f>
        <v>-0.021279590170856</v>
      </c>
      <c r="J60" s="88"/>
      <c r="K60" s="88"/>
    </row>
    <row r="61" customFormat="false" ht="18" hidden="false" customHeight="false" outlineLevel="0" collapsed="false">
      <c r="A61" s="89" t="n">
        <v>42803</v>
      </c>
      <c r="B61" s="90" t="n">
        <v>109.03</v>
      </c>
      <c r="C61" s="91" t="n">
        <f aca="false">B61/B60-1</f>
        <v>0.0097240229672162</v>
      </c>
      <c r="G61" s="93" t="n">
        <v>42798</v>
      </c>
      <c r="H61" s="94" t="n">
        <v>345.69</v>
      </c>
      <c r="I61" s="95" t="n">
        <f aca="false">H61/H60-1</f>
        <v>-0.00580943890023289</v>
      </c>
      <c r="J61" s="88"/>
      <c r="K61" s="88"/>
    </row>
    <row r="62" customFormat="false" ht="18" hidden="false" customHeight="false" outlineLevel="0" collapsed="false">
      <c r="A62" s="89" t="n">
        <v>42804</v>
      </c>
      <c r="B62" s="90" t="n">
        <v>109.84</v>
      </c>
      <c r="C62" s="91" t="n">
        <f aca="false">B62/B61-1</f>
        <v>0.00742914794093363</v>
      </c>
      <c r="G62" s="93" t="n">
        <v>42801</v>
      </c>
      <c r="H62" s="94" t="n">
        <v>337.39</v>
      </c>
      <c r="I62" s="95" t="n">
        <f aca="false">H62/H61-1</f>
        <v>-0.0240099511122682</v>
      </c>
      <c r="J62" s="88"/>
      <c r="K62" s="88"/>
    </row>
    <row r="63" customFormat="false" ht="18" hidden="false" customHeight="false" outlineLevel="0" collapsed="false">
      <c r="A63" s="89" t="n">
        <v>42805</v>
      </c>
      <c r="B63" s="90" t="n">
        <v>108.46</v>
      </c>
      <c r="C63" s="91" t="n">
        <f aca="false">B63/B62-1</f>
        <v>-0.0125637290604517</v>
      </c>
      <c r="G63" s="93" t="n">
        <v>42802</v>
      </c>
      <c r="H63" s="94" t="n">
        <v>340.26</v>
      </c>
      <c r="I63" s="95" t="n">
        <f aca="false">H63/H62-1</f>
        <v>0.00850647618483058</v>
      </c>
      <c r="J63" s="88"/>
      <c r="K63" s="88"/>
    </row>
    <row r="64" customFormat="false" ht="18" hidden="false" customHeight="false" outlineLevel="0" collapsed="false">
      <c r="A64" s="89" t="n">
        <v>42808</v>
      </c>
      <c r="B64" s="90" t="n">
        <v>109.17</v>
      </c>
      <c r="C64" s="91" t="n">
        <f aca="false">B64/B63-1</f>
        <v>0.00654619214456953</v>
      </c>
      <c r="G64" s="93" t="n">
        <v>42803</v>
      </c>
      <c r="H64" s="94" t="n">
        <v>342.84</v>
      </c>
      <c r="I64" s="95" t="n">
        <f aca="false">H64/H63-1</f>
        <v>0.00758243695997174</v>
      </c>
      <c r="J64" s="88"/>
      <c r="K64" s="88"/>
    </row>
    <row r="65" customFormat="false" ht="18" hidden="false" customHeight="false" outlineLevel="0" collapsed="false">
      <c r="A65" s="89" t="n">
        <v>42809</v>
      </c>
      <c r="B65" s="90" t="n">
        <v>109.55</v>
      </c>
      <c r="C65" s="91" t="n">
        <f aca="false">B65/B64-1</f>
        <v>0.0034808097462673</v>
      </c>
      <c r="G65" s="93" t="n">
        <v>42804</v>
      </c>
      <c r="H65" s="94" t="n">
        <v>351.1</v>
      </c>
      <c r="I65" s="95" t="n">
        <f aca="false">H65/H64-1</f>
        <v>0.0240928713102324</v>
      </c>
      <c r="J65" s="88"/>
      <c r="K65" s="88"/>
    </row>
    <row r="66" customFormat="false" ht="18" hidden="false" customHeight="false" outlineLevel="0" collapsed="false">
      <c r="A66" s="89" t="n">
        <v>42810</v>
      </c>
      <c r="B66" s="90" t="n">
        <v>110.47</v>
      </c>
      <c r="C66" s="91" t="n">
        <f aca="false">B66/B65-1</f>
        <v>0.00839799178457334</v>
      </c>
      <c r="G66" s="93" t="n">
        <v>42805</v>
      </c>
      <c r="H66" s="94" t="n">
        <v>348.12</v>
      </c>
      <c r="I66" s="95" t="n">
        <f aca="false">H66/H65-1</f>
        <v>-0.00848761036741674</v>
      </c>
      <c r="J66" s="88"/>
      <c r="K66" s="88"/>
    </row>
    <row r="67" customFormat="false" ht="18" hidden="false" customHeight="false" outlineLevel="0" collapsed="false">
      <c r="A67" s="89" t="n">
        <v>42811</v>
      </c>
      <c r="B67" s="90" t="n">
        <v>108.97</v>
      </c>
      <c r="C67" s="91" t="n">
        <f aca="false">B67/B66-1</f>
        <v>-0.0135783470625509</v>
      </c>
      <c r="G67" s="93" t="n">
        <v>42808</v>
      </c>
      <c r="H67" s="94" t="n">
        <v>346.23</v>
      </c>
      <c r="I67" s="95" t="n">
        <f aca="false">H67/H66-1</f>
        <v>-0.00542916235780766</v>
      </c>
      <c r="J67" s="88"/>
      <c r="K67" s="88"/>
    </row>
    <row r="68" customFormat="false" ht="18" hidden="false" customHeight="false" outlineLevel="0" collapsed="false">
      <c r="A68" s="89" t="n">
        <v>42812</v>
      </c>
      <c r="B68" s="90" t="n">
        <v>109.29</v>
      </c>
      <c r="C68" s="91" t="n">
        <f aca="false">B68/B67-1</f>
        <v>0.00293658805175734</v>
      </c>
      <c r="G68" s="93" t="n">
        <v>42809</v>
      </c>
      <c r="H68" s="94" t="n">
        <v>348.11</v>
      </c>
      <c r="I68" s="95" t="n">
        <f aca="false">H68/H67-1</f>
        <v>0.00542991652947467</v>
      </c>
      <c r="J68" s="88"/>
      <c r="K68" s="88"/>
    </row>
    <row r="69" customFormat="false" ht="18" hidden="false" customHeight="false" outlineLevel="0" collapsed="false">
      <c r="A69" s="89" t="n">
        <v>42815</v>
      </c>
      <c r="B69" s="90" t="n">
        <v>109.53</v>
      </c>
      <c r="C69" s="91" t="n">
        <f aca="false">B69/B68-1</f>
        <v>0.0021959923140269</v>
      </c>
      <c r="G69" s="93" t="n">
        <v>42810</v>
      </c>
      <c r="H69" s="94" t="n">
        <v>346.81</v>
      </c>
      <c r="I69" s="95" t="n">
        <f aca="false">H69/H68-1</f>
        <v>-0.00373445175375597</v>
      </c>
      <c r="J69" s="88"/>
      <c r="K69" s="88"/>
    </row>
    <row r="70" customFormat="false" ht="18" hidden="false" customHeight="false" outlineLevel="0" collapsed="false">
      <c r="A70" s="89" t="n">
        <v>42816</v>
      </c>
      <c r="B70" s="90" t="n">
        <v>109.14</v>
      </c>
      <c r="C70" s="91" t="n">
        <f aca="false">B70/B69-1</f>
        <v>-0.00356066831005208</v>
      </c>
      <c r="G70" s="93" t="n">
        <v>42811</v>
      </c>
      <c r="H70" s="94" t="n">
        <v>347.35</v>
      </c>
      <c r="I70" s="95" t="n">
        <f aca="false">H70/H69-1</f>
        <v>0.00155704852801253</v>
      </c>
      <c r="J70" s="88"/>
      <c r="K70" s="88"/>
    </row>
    <row r="71" customFormat="false" ht="18" hidden="false" customHeight="false" outlineLevel="0" collapsed="false">
      <c r="A71" s="89" t="n">
        <v>42817</v>
      </c>
      <c r="B71" s="90" t="n">
        <v>109.38</v>
      </c>
      <c r="C71" s="91" t="n">
        <f aca="false">B71/B70-1</f>
        <v>0.00219901044529958</v>
      </c>
      <c r="G71" s="93" t="n">
        <v>42812</v>
      </c>
      <c r="H71" s="94" t="n">
        <v>345.31</v>
      </c>
      <c r="I71" s="95" t="n">
        <f aca="false">H71/H70-1</f>
        <v>-0.00587303872175049</v>
      </c>
      <c r="J71" s="88"/>
      <c r="K71" s="88"/>
    </row>
    <row r="72" customFormat="false" ht="18" hidden="false" customHeight="false" outlineLevel="0" collapsed="false">
      <c r="A72" s="89" t="n">
        <v>42818</v>
      </c>
      <c r="B72" s="90" t="n">
        <v>109.22</v>
      </c>
      <c r="C72" s="91" t="n">
        <f aca="false">B72/B71-1</f>
        <v>-0.00146279027244467</v>
      </c>
      <c r="G72" s="93" t="n">
        <v>42815</v>
      </c>
      <c r="H72" s="94" t="n">
        <v>345.15</v>
      </c>
      <c r="I72" s="95" t="n">
        <f aca="false">H72/H71-1</f>
        <v>-0.000463351770872644</v>
      </c>
      <c r="J72" s="88"/>
      <c r="K72" s="88"/>
    </row>
    <row r="73" customFormat="false" ht="18" hidden="false" customHeight="false" outlineLevel="0" collapsed="false">
      <c r="A73" s="89" t="n">
        <v>42819</v>
      </c>
      <c r="B73" s="90" t="n">
        <v>109.26</v>
      </c>
      <c r="C73" s="91" t="n">
        <f aca="false">B73/B72-1</f>
        <v>0.000366233290606255</v>
      </c>
      <c r="G73" s="93" t="n">
        <v>42816</v>
      </c>
      <c r="H73" s="94" t="n">
        <v>341.91</v>
      </c>
      <c r="I73" s="95" t="n">
        <f aca="false">H73/H72-1</f>
        <v>-0.00938722294654482</v>
      </c>
      <c r="J73" s="88"/>
      <c r="K73" s="88"/>
    </row>
    <row r="74" customFormat="false" ht="18" hidden="false" customHeight="false" outlineLevel="0" collapsed="false">
      <c r="A74" s="89" t="n">
        <v>42822</v>
      </c>
      <c r="B74" s="90" t="n">
        <v>108.69</v>
      </c>
      <c r="C74" s="91" t="n">
        <f aca="false">B74/B73-1</f>
        <v>-0.00521691378363542</v>
      </c>
      <c r="G74" s="93" t="n">
        <v>42817</v>
      </c>
      <c r="H74" s="94" t="n">
        <v>335.12</v>
      </c>
      <c r="I74" s="95" t="n">
        <f aca="false">H74/H73-1</f>
        <v>-0.0198590272293879</v>
      </c>
      <c r="J74" s="88"/>
      <c r="K74" s="88"/>
    </row>
    <row r="75" customFormat="false" ht="18" hidden="false" customHeight="false" outlineLevel="0" collapsed="false">
      <c r="A75" s="89" t="n">
        <v>42823</v>
      </c>
      <c r="B75" s="90" t="n">
        <v>108.74</v>
      </c>
      <c r="C75" s="91" t="n">
        <f aca="false">B75/B74-1</f>
        <v>0.00046002392124378</v>
      </c>
      <c r="G75" s="93" t="n">
        <v>42818</v>
      </c>
      <c r="H75" s="94" t="n">
        <v>332.33</v>
      </c>
      <c r="I75" s="95" t="n">
        <f aca="false">H75/H74-1</f>
        <v>-0.00832537598472194</v>
      </c>
      <c r="J75" s="88"/>
      <c r="K75" s="88"/>
    </row>
    <row r="76" customFormat="false" ht="18" hidden="false" customHeight="false" outlineLevel="0" collapsed="false">
      <c r="A76" s="89" t="n">
        <v>42824</v>
      </c>
      <c r="B76" s="90" t="n">
        <v>108.88</v>
      </c>
      <c r="C76" s="91" t="n">
        <f aca="false">B76/B75-1</f>
        <v>0.0012874747103182</v>
      </c>
      <c r="G76" s="93" t="n">
        <v>42819</v>
      </c>
      <c r="H76" s="94" t="n">
        <v>337</v>
      </c>
      <c r="I76" s="95" t="n">
        <f aca="false">H76/H75-1</f>
        <v>0.01405229741522</v>
      </c>
      <c r="J76" s="88"/>
      <c r="K76" s="88"/>
    </row>
    <row r="77" customFormat="false" ht="18" hidden="false" customHeight="false" outlineLevel="0" collapsed="false">
      <c r="A77" s="89" t="n">
        <v>42825</v>
      </c>
      <c r="B77" s="90" t="n">
        <v>109.39</v>
      </c>
      <c r="C77" s="91" t="n">
        <f aca="false">B77/B76-1</f>
        <v>0.00468405584129328</v>
      </c>
      <c r="G77" s="93" t="n">
        <v>42822</v>
      </c>
      <c r="H77" s="94" t="n">
        <v>337.71</v>
      </c>
      <c r="I77" s="95" t="n">
        <f aca="false">H77/H76-1</f>
        <v>0.00210682492581604</v>
      </c>
      <c r="J77" s="88"/>
      <c r="K77" s="88"/>
    </row>
    <row r="78" customFormat="false" ht="18" hidden="false" customHeight="false" outlineLevel="0" collapsed="false">
      <c r="A78" s="89" t="n">
        <v>42829</v>
      </c>
      <c r="B78" s="90" t="n">
        <v>109.26</v>
      </c>
      <c r="C78" s="91" t="n">
        <f aca="false">B78/B77-1</f>
        <v>-0.00118840844684154</v>
      </c>
      <c r="G78" s="93" t="n">
        <v>42823</v>
      </c>
      <c r="H78" s="94" t="n">
        <v>340.1</v>
      </c>
      <c r="I78" s="95" t="n">
        <f aca="false">H78/H77-1</f>
        <v>0.00707707796630253</v>
      </c>
      <c r="J78" s="88"/>
      <c r="K78" s="88"/>
    </row>
    <row r="79" customFormat="false" ht="18" hidden="false" customHeight="false" outlineLevel="0" collapsed="false">
      <c r="A79" s="89" t="n">
        <v>42830</v>
      </c>
      <c r="B79" s="90" t="n">
        <v>109.63</v>
      </c>
      <c r="C79" s="91" t="n">
        <f aca="false">B79/B78-1</f>
        <v>0.00338641771920178</v>
      </c>
      <c r="G79" s="93" t="n">
        <v>42824</v>
      </c>
      <c r="H79" s="94" t="n">
        <v>339.62</v>
      </c>
      <c r="I79" s="95" t="n">
        <f aca="false">H79/H78-1</f>
        <v>-0.001411349603058</v>
      </c>
      <c r="J79" s="88"/>
      <c r="K79" s="88"/>
    </row>
    <row r="80" customFormat="false" ht="18" hidden="false" customHeight="false" outlineLevel="0" collapsed="false">
      <c r="A80" s="89" t="n">
        <v>42831</v>
      </c>
      <c r="B80" s="90" t="n">
        <v>109.25</v>
      </c>
      <c r="C80" s="91" t="n">
        <f aca="false">B80/B79-1</f>
        <v>-0.00346620450606583</v>
      </c>
      <c r="G80" s="93" t="n">
        <v>42825</v>
      </c>
      <c r="H80" s="94" t="n">
        <v>344.11</v>
      </c>
      <c r="I80" s="95" t="n">
        <f aca="false">H80/H79-1</f>
        <v>0.0132206583828987</v>
      </c>
      <c r="J80" s="88"/>
      <c r="K80" s="88"/>
    </row>
    <row r="81" customFormat="false" ht="18" hidden="false" customHeight="false" outlineLevel="0" collapsed="false">
      <c r="A81" s="89" t="n">
        <v>42832</v>
      </c>
      <c r="B81" s="90" t="n">
        <v>109.88</v>
      </c>
      <c r="C81" s="91" t="n">
        <f aca="false">B81/B80-1</f>
        <v>0.00576659038901606</v>
      </c>
      <c r="G81" s="93" t="n">
        <v>42826</v>
      </c>
      <c r="H81" s="94" t="n">
        <v>344.2</v>
      </c>
      <c r="I81" s="95" t="n">
        <f aca="false">H81/H80-1</f>
        <v>0.000261544273633341</v>
      </c>
      <c r="J81" s="88"/>
      <c r="K81" s="88"/>
    </row>
    <row r="82" customFormat="false" ht="18" hidden="false" customHeight="false" outlineLevel="0" collapsed="false">
      <c r="A82" s="89" t="n">
        <v>42833</v>
      </c>
      <c r="B82" s="90" t="n">
        <v>109.58</v>
      </c>
      <c r="C82" s="91" t="n">
        <f aca="false">B82/B81-1</f>
        <v>-0.00273025118310877</v>
      </c>
      <c r="G82" s="93" t="n">
        <v>42829</v>
      </c>
      <c r="H82" s="94" t="n">
        <v>343.95</v>
      </c>
      <c r="I82" s="95" t="n">
        <f aca="false">H82/H81-1</f>
        <v>-0.000726321905868632</v>
      </c>
      <c r="J82" s="88"/>
      <c r="K82" s="88"/>
    </row>
    <row r="83" customFormat="false" ht="18" hidden="false" customHeight="false" outlineLevel="0" collapsed="false">
      <c r="A83" s="89" t="n">
        <v>42836</v>
      </c>
      <c r="B83" s="90" t="n">
        <v>109.76</v>
      </c>
      <c r="C83" s="91" t="n">
        <f aca="false">B83/B82-1</f>
        <v>0.00164263551743016</v>
      </c>
      <c r="G83" s="93" t="n">
        <v>42830</v>
      </c>
      <c r="H83" s="94" t="n">
        <v>345.97</v>
      </c>
      <c r="I83" s="95" t="n">
        <f aca="false">H83/H82-1</f>
        <v>0.00587294664922244</v>
      </c>
      <c r="J83" s="88"/>
      <c r="K83" s="88"/>
    </row>
    <row r="84" customFormat="false" ht="18" hidden="false" customHeight="false" outlineLevel="0" collapsed="false">
      <c r="A84" s="89" t="n">
        <v>42837</v>
      </c>
      <c r="B84" s="90" t="n">
        <v>110.34</v>
      </c>
      <c r="C84" s="91" t="n">
        <f aca="false">B84/B83-1</f>
        <v>0.00528425655976683</v>
      </c>
      <c r="G84" s="93" t="n">
        <v>42831</v>
      </c>
      <c r="H84" s="94" t="n">
        <v>344.33</v>
      </c>
      <c r="I84" s="95" t="n">
        <f aca="false">H84/H83-1</f>
        <v>-0.00474029540133547</v>
      </c>
      <c r="J84" s="88"/>
      <c r="K84" s="88"/>
    </row>
    <row r="85" customFormat="false" ht="18" hidden="false" customHeight="false" outlineLevel="0" collapsed="false">
      <c r="A85" s="89" t="n">
        <v>42838</v>
      </c>
      <c r="B85" s="90" t="n">
        <v>110.24</v>
      </c>
      <c r="C85" s="91" t="n">
        <f aca="false">B85/B84-1</f>
        <v>-0.000906289650172254</v>
      </c>
      <c r="G85" s="93" t="n">
        <v>42832</v>
      </c>
      <c r="H85" s="94" t="n">
        <v>345.8</v>
      </c>
      <c r="I85" s="95" t="n">
        <f aca="false">H85/H84-1</f>
        <v>0.00426916039845504</v>
      </c>
      <c r="J85" s="88"/>
      <c r="K85" s="88"/>
    </row>
    <row r="86" customFormat="false" ht="18" hidden="false" customHeight="false" outlineLevel="0" collapsed="false">
      <c r="A86" s="89" t="n">
        <v>42839</v>
      </c>
      <c r="B86" s="90" t="n">
        <v>111.58</v>
      </c>
      <c r="C86" s="91" t="n">
        <f aca="false">B86/B85-1</f>
        <v>0.012155297532656</v>
      </c>
      <c r="G86" s="93" t="n">
        <v>42833</v>
      </c>
      <c r="H86" s="94" t="n">
        <v>342.87</v>
      </c>
      <c r="I86" s="95" t="n">
        <f aca="false">H86/H85-1</f>
        <v>-0.00847310584152694</v>
      </c>
      <c r="J86" s="88"/>
      <c r="K86" s="88"/>
    </row>
    <row r="87" customFormat="false" ht="18" hidden="false" customHeight="false" outlineLevel="0" collapsed="false">
      <c r="A87" s="89" t="n">
        <v>42840</v>
      </c>
      <c r="B87" s="90" t="n">
        <v>111.22</v>
      </c>
      <c r="C87" s="91" t="n">
        <f aca="false">B87/B86-1</f>
        <v>-0.00322638465674852</v>
      </c>
      <c r="G87" s="93" t="n">
        <v>42836</v>
      </c>
      <c r="H87" s="94" t="n">
        <v>340.05</v>
      </c>
      <c r="I87" s="95" t="n">
        <f aca="false">H87/H86-1</f>
        <v>-0.00822469157406591</v>
      </c>
      <c r="J87" s="88"/>
      <c r="K87" s="88"/>
    </row>
    <row r="88" customFormat="false" ht="18" hidden="false" customHeight="false" outlineLevel="0" collapsed="false">
      <c r="A88" s="89" t="n">
        <v>42843</v>
      </c>
      <c r="B88" s="90" t="n">
        <v>111.14</v>
      </c>
      <c r="C88" s="91" t="n">
        <f aca="false">B88/B87-1</f>
        <v>-0.000719295090811034</v>
      </c>
      <c r="G88" s="93" t="n">
        <v>42837</v>
      </c>
      <c r="H88" s="94" t="n">
        <v>339.76</v>
      </c>
      <c r="I88" s="95" t="n">
        <f aca="false">H88/H87-1</f>
        <v>-0.000852815762387937</v>
      </c>
      <c r="J88" s="88"/>
      <c r="K88" s="88"/>
    </row>
    <row r="89" customFormat="false" ht="18" hidden="false" customHeight="false" outlineLevel="0" collapsed="false">
      <c r="A89" s="89" t="n">
        <v>42844</v>
      </c>
      <c r="B89" s="90" t="n">
        <v>110.86</v>
      </c>
      <c r="C89" s="91" t="n">
        <f aca="false">B89/B88-1</f>
        <v>-0.0025193449703077</v>
      </c>
      <c r="G89" s="93" t="n">
        <v>42838</v>
      </c>
      <c r="H89" s="94" t="n">
        <v>342.53</v>
      </c>
      <c r="I89" s="95" t="n">
        <f aca="false">H89/H88-1</f>
        <v>0.00815281375088284</v>
      </c>
      <c r="J89" s="88"/>
      <c r="K89" s="88"/>
    </row>
    <row r="90" customFormat="false" ht="18" hidden="false" customHeight="false" outlineLevel="0" collapsed="false">
      <c r="A90" s="89" t="n">
        <v>42845</v>
      </c>
      <c r="B90" s="90" t="n">
        <v>111.07</v>
      </c>
      <c r="C90" s="91" t="n">
        <f aca="false">B90/B89-1</f>
        <v>0.00189428107523004</v>
      </c>
      <c r="G90" s="93" t="n">
        <v>42839</v>
      </c>
      <c r="H90" s="94" t="n">
        <v>343.64</v>
      </c>
      <c r="I90" s="95" t="n">
        <f aca="false">H90/H89-1</f>
        <v>0.00324059206492855</v>
      </c>
      <c r="J90" s="88"/>
      <c r="K90" s="88"/>
    </row>
    <row r="91" customFormat="false" ht="18" hidden="false" customHeight="false" outlineLevel="0" collapsed="false">
      <c r="A91" s="89" t="n">
        <v>42846</v>
      </c>
      <c r="B91" s="90" t="n">
        <v>111.24</v>
      </c>
      <c r="C91" s="91" t="n">
        <f aca="false">B91/B90-1</f>
        <v>0.00153056630953463</v>
      </c>
      <c r="G91" s="93" t="n">
        <v>42840</v>
      </c>
      <c r="H91" s="94" t="n">
        <v>346.25</v>
      </c>
      <c r="I91" s="95" t="n">
        <f aca="false">H91/H90-1</f>
        <v>0.00759515772319874</v>
      </c>
      <c r="J91" s="88"/>
      <c r="K91" s="88"/>
    </row>
    <row r="92" customFormat="false" ht="18" hidden="false" customHeight="false" outlineLevel="0" collapsed="false">
      <c r="A92" s="89" t="n">
        <v>42847</v>
      </c>
      <c r="B92" s="90" t="n">
        <v>111.43</v>
      </c>
      <c r="C92" s="91" t="n">
        <f aca="false">B92/B91-1</f>
        <v>0.00170801869831005</v>
      </c>
      <c r="G92" s="93" t="n">
        <v>42843</v>
      </c>
      <c r="H92" s="94" t="n">
        <v>346.6</v>
      </c>
      <c r="I92" s="95" t="n">
        <f aca="false">H92/H91-1</f>
        <v>0.00101083032490989</v>
      </c>
      <c r="J92" s="88"/>
      <c r="K92" s="88"/>
    </row>
    <row r="93" customFormat="false" ht="18" hidden="false" customHeight="false" outlineLevel="0" collapsed="false">
      <c r="A93" s="89" t="n">
        <v>42850</v>
      </c>
      <c r="B93" s="90" t="n">
        <v>110.92</v>
      </c>
      <c r="C93" s="91" t="n">
        <f aca="false">B93/B92-1</f>
        <v>-0.00457686439917437</v>
      </c>
      <c r="G93" s="93" t="n">
        <v>42844</v>
      </c>
      <c r="H93" s="94" t="n">
        <v>346.06</v>
      </c>
      <c r="I93" s="95" t="n">
        <f aca="false">H93/H92-1</f>
        <v>-0.00155799192152339</v>
      </c>
      <c r="J93" s="88"/>
      <c r="K93" s="88"/>
    </row>
    <row r="94" customFormat="false" ht="18" hidden="false" customHeight="false" outlineLevel="0" collapsed="false">
      <c r="A94" s="89" t="n">
        <v>42851</v>
      </c>
      <c r="B94" s="90" t="n">
        <v>110.32</v>
      </c>
      <c r="C94" s="91" t="n">
        <f aca="false">B94/B93-1</f>
        <v>-0.00540930400288509</v>
      </c>
      <c r="G94" s="93" t="n">
        <v>42845</v>
      </c>
      <c r="H94" s="94" t="n">
        <v>344.58</v>
      </c>
      <c r="I94" s="95" t="n">
        <f aca="false">H94/H93-1</f>
        <v>-0.00427671502051674</v>
      </c>
      <c r="J94" s="88"/>
      <c r="K94" s="88"/>
    </row>
    <row r="95" customFormat="false" ht="18" hidden="false" customHeight="false" outlineLevel="0" collapsed="false">
      <c r="A95" s="89" t="n">
        <v>42852</v>
      </c>
      <c r="B95" s="90" t="n">
        <v>110.69</v>
      </c>
      <c r="C95" s="91" t="n">
        <f aca="false">B95/B94-1</f>
        <v>0.00335387962291511</v>
      </c>
      <c r="G95" s="93" t="n">
        <v>42846</v>
      </c>
      <c r="H95" s="94" t="n">
        <v>345.69</v>
      </c>
      <c r="I95" s="95" t="n">
        <f aca="false">H95/H94-1</f>
        <v>0.00322131290266414</v>
      </c>
      <c r="J95" s="88"/>
      <c r="K95" s="88"/>
    </row>
    <row r="96" customFormat="false" ht="18" hidden="false" customHeight="false" outlineLevel="0" collapsed="false">
      <c r="A96" s="89" t="n">
        <v>42853</v>
      </c>
      <c r="B96" s="90" t="n">
        <v>110.82</v>
      </c>
      <c r="C96" s="91" t="n">
        <f aca="false">B96/B95-1</f>
        <v>0.00117445116993409</v>
      </c>
      <c r="G96" s="93" t="n">
        <v>42847</v>
      </c>
      <c r="H96" s="94" t="n">
        <v>348.69</v>
      </c>
      <c r="I96" s="95" t="n">
        <f aca="false">H96/H95-1</f>
        <v>0.00867829558274758</v>
      </c>
      <c r="J96" s="88"/>
      <c r="K96" s="88"/>
    </row>
    <row r="97" customFormat="false" ht="18" hidden="false" customHeight="false" outlineLevel="0" collapsed="false">
      <c r="A97" s="89" t="n">
        <v>42854</v>
      </c>
      <c r="B97" s="90" t="n">
        <v>111.14</v>
      </c>
      <c r="C97" s="91" t="n">
        <f aca="false">B97/B96-1</f>
        <v>0.00288756542140423</v>
      </c>
      <c r="G97" s="93" t="n">
        <v>42850</v>
      </c>
      <c r="H97" s="94" t="n">
        <v>350.67</v>
      </c>
      <c r="I97" s="95" t="n">
        <f aca="false">H97/H96-1</f>
        <v>0.00567839628323164</v>
      </c>
      <c r="J97" s="88"/>
      <c r="K97" s="88"/>
    </row>
    <row r="98" customFormat="false" ht="18" hidden="false" customHeight="false" outlineLevel="0" collapsed="false">
      <c r="A98" s="89" t="n">
        <v>42857</v>
      </c>
      <c r="B98" s="90" t="n">
        <v>110.64</v>
      </c>
      <c r="C98" s="91" t="n">
        <f aca="false">B98/B97-1</f>
        <v>-0.0044988303041209</v>
      </c>
      <c r="G98" s="93" t="n">
        <v>42851</v>
      </c>
      <c r="H98" s="94" t="n">
        <v>351.2</v>
      </c>
      <c r="I98" s="95" t="n">
        <f aca="false">H98/H97-1</f>
        <v>0.00151139247725784</v>
      </c>
      <c r="J98" s="88"/>
      <c r="K98" s="88"/>
    </row>
    <row r="99" customFormat="false" ht="18" hidden="false" customHeight="false" outlineLevel="0" collapsed="false">
      <c r="A99" s="89" t="n">
        <v>42858</v>
      </c>
      <c r="B99" s="90" t="n">
        <v>110.74</v>
      </c>
      <c r="C99" s="91" t="n">
        <f aca="false">B99/B98-1</f>
        <v>0.000903832248734693</v>
      </c>
      <c r="G99" s="93" t="n">
        <v>42852</v>
      </c>
      <c r="H99" s="94" t="n">
        <v>353.08</v>
      </c>
      <c r="I99" s="95" t="n">
        <f aca="false">H99/H98-1</f>
        <v>0.00535307517084283</v>
      </c>
      <c r="J99" s="88"/>
      <c r="K99" s="88"/>
    </row>
    <row r="100" customFormat="false" ht="18" hidden="false" customHeight="false" outlineLevel="0" collapsed="false">
      <c r="A100" s="89" t="n">
        <v>42859</v>
      </c>
      <c r="B100" s="90" t="n">
        <v>110.89</v>
      </c>
      <c r="C100" s="91" t="n">
        <f aca="false">B100/B99-1</f>
        <v>0.00135452411052928</v>
      </c>
      <c r="G100" s="93" t="n">
        <v>42853</v>
      </c>
      <c r="H100" s="94" t="n">
        <v>353.02</v>
      </c>
      <c r="I100" s="95" t="n">
        <f aca="false">H100/H99-1</f>
        <v>-0.000169933159623881</v>
      </c>
      <c r="J100" s="88"/>
      <c r="K100" s="88"/>
    </row>
    <row r="101" customFormat="false" ht="18" hidden="false" customHeight="false" outlineLevel="0" collapsed="false">
      <c r="A101" s="89" t="n">
        <v>42860</v>
      </c>
      <c r="B101" s="90" t="n">
        <v>111.1</v>
      </c>
      <c r="C101" s="91" t="n">
        <f aca="false">B101/B100-1</f>
        <v>0.00189376859951307</v>
      </c>
      <c r="G101" s="93" t="n">
        <v>42854</v>
      </c>
      <c r="H101" s="94" t="n">
        <v>349</v>
      </c>
      <c r="I101" s="95" t="n">
        <f aca="false">H101/H100-1</f>
        <v>-0.0113874568013144</v>
      </c>
      <c r="J101" s="88"/>
      <c r="K101" s="88"/>
    </row>
    <row r="102" customFormat="false" ht="18" hidden="false" customHeight="false" outlineLevel="0" collapsed="false">
      <c r="A102" s="89" t="n">
        <v>42861</v>
      </c>
      <c r="B102" s="90" t="n">
        <v>111.6</v>
      </c>
      <c r="C102" s="91" t="n">
        <f aca="false">B102/B101-1</f>
        <v>0.00450045004500455</v>
      </c>
      <c r="G102" s="93" t="n">
        <v>42857</v>
      </c>
      <c r="H102" s="94" t="n">
        <v>347.17</v>
      </c>
      <c r="I102" s="95" t="n">
        <f aca="false">H102/H101-1</f>
        <v>-0.00524355300859591</v>
      </c>
      <c r="J102" s="88"/>
      <c r="K102" s="88"/>
    </row>
    <row r="103" customFormat="false" ht="18" hidden="false" customHeight="false" outlineLevel="0" collapsed="false">
      <c r="A103" s="89" t="n">
        <v>42864</v>
      </c>
      <c r="B103" s="90" t="n">
        <v>111.35</v>
      </c>
      <c r="C103" s="91" t="n">
        <f aca="false">B103/B102-1</f>
        <v>-0.00224014336917566</v>
      </c>
      <c r="G103" s="93" t="n">
        <v>42858</v>
      </c>
      <c r="H103" s="94" t="n">
        <v>344.99</v>
      </c>
      <c r="I103" s="95" t="n">
        <f aca="false">H103/H102-1</f>
        <v>-0.00627934441339983</v>
      </c>
      <c r="J103" s="88"/>
      <c r="K103" s="88"/>
    </row>
    <row r="104" customFormat="false" ht="18" hidden="false" customHeight="false" outlineLevel="0" collapsed="false">
      <c r="A104" s="89" t="n">
        <v>42865</v>
      </c>
      <c r="B104" s="90" t="n">
        <v>111.09</v>
      </c>
      <c r="C104" s="91" t="n">
        <f aca="false">B104/B103-1</f>
        <v>-0.00233497979344399</v>
      </c>
      <c r="G104" s="93" t="n">
        <v>42859</v>
      </c>
      <c r="H104" s="94" t="n">
        <v>344.66</v>
      </c>
      <c r="I104" s="95" t="n">
        <f aca="false">H104/H103-1</f>
        <v>-0.00095654946520185</v>
      </c>
      <c r="J104" s="88"/>
      <c r="K104" s="88"/>
    </row>
    <row r="105" customFormat="false" ht="18" hidden="false" customHeight="false" outlineLevel="0" collapsed="false">
      <c r="A105" s="89" t="n">
        <v>42866</v>
      </c>
      <c r="B105" s="90" t="n">
        <v>110.08</v>
      </c>
      <c r="C105" s="91" t="n">
        <f aca="false">B105/B104-1</f>
        <v>-0.00909172742821141</v>
      </c>
      <c r="G105" s="93" t="n">
        <v>42860</v>
      </c>
      <c r="H105" s="94" t="n">
        <v>346.65</v>
      </c>
      <c r="I105" s="95" t="n">
        <f aca="false">H105/H104-1</f>
        <v>0.00577380606974987</v>
      </c>
      <c r="J105" s="88"/>
      <c r="K105" s="88"/>
    </row>
    <row r="106" customFormat="false" ht="18" hidden="false" customHeight="false" outlineLevel="0" collapsed="false">
      <c r="A106" s="89" t="n">
        <v>42867</v>
      </c>
      <c r="B106" s="90" t="n">
        <v>110.65</v>
      </c>
      <c r="C106" s="91" t="n">
        <f aca="false">B106/B105-1</f>
        <v>0.00517805232558155</v>
      </c>
      <c r="G106" s="93" t="n">
        <v>42861</v>
      </c>
      <c r="H106" s="94" t="n">
        <v>348.66</v>
      </c>
      <c r="I106" s="95" t="n">
        <f aca="false">H106/H105-1</f>
        <v>0.0057983556901775</v>
      </c>
      <c r="J106" s="88"/>
      <c r="K106" s="88"/>
    </row>
    <row r="107" customFormat="false" ht="18" hidden="false" customHeight="false" outlineLevel="0" collapsed="false">
      <c r="A107" s="89" t="n">
        <v>42868</v>
      </c>
      <c r="B107" s="90" t="n">
        <v>111.23</v>
      </c>
      <c r="C107" s="91" t="n">
        <f aca="false">B107/B106-1</f>
        <v>0.00524175327609577</v>
      </c>
      <c r="G107" s="93" t="n">
        <v>42864</v>
      </c>
      <c r="H107" s="94" t="n">
        <v>347.55</v>
      </c>
      <c r="I107" s="95" t="n">
        <f aca="false">H107/H106-1</f>
        <v>-0.0031836172775771</v>
      </c>
      <c r="J107" s="88"/>
      <c r="K107" s="88"/>
    </row>
    <row r="108" customFormat="false" ht="18" hidden="false" customHeight="false" outlineLevel="0" collapsed="false">
      <c r="A108" s="89" t="n">
        <v>42871</v>
      </c>
      <c r="B108" s="90" t="n">
        <v>111.17</v>
      </c>
      <c r="C108" s="91" t="n">
        <f aca="false">B108/B107-1</f>
        <v>-0.000539422817585233</v>
      </c>
      <c r="G108" s="93" t="n">
        <v>42865</v>
      </c>
      <c r="H108" s="94" t="n">
        <v>343.59</v>
      </c>
      <c r="I108" s="95" t="n">
        <f aca="false">H108/H107-1</f>
        <v>-0.0113940440224429</v>
      </c>
      <c r="J108" s="88"/>
      <c r="K108" s="88"/>
    </row>
    <row r="109" customFormat="false" ht="18" hidden="false" customHeight="false" outlineLevel="0" collapsed="false">
      <c r="A109" s="89" t="n">
        <v>42872</v>
      </c>
      <c r="B109" s="90" t="n">
        <v>111.16</v>
      </c>
      <c r="C109" s="91" t="n">
        <f aca="false">B109/B108-1</f>
        <v>-8.99523252676504E-005</v>
      </c>
      <c r="G109" s="93" t="n">
        <v>42866</v>
      </c>
      <c r="H109" s="94" t="n">
        <v>340.16</v>
      </c>
      <c r="I109" s="95" t="n">
        <f aca="false">H109/H108-1</f>
        <v>-0.00998282837102349</v>
      </c>
      <c r="J109" s="88"/>
      <c r="K109" s="88"/>
    </row>
    <row r="110" customFormat="false" ht="18" hidden="false" customHeight="false" outlineLevel="0" collapsed="false">
      <c r="A110" s="89" t="n">
        <v>42873</v>
      </c>
      <c r="B110" s="90" t="n">
        <v>110.64</v>
      </c>
      <c r="C110" s="91" t="n">
        <f aca="false">B110/B109-1</f>
        <v>-0.0046779417056495</v>
      </c>
      <c r="G110" s="93" t="n">
        <v>42867</v>
      </c>
      <c r="H110" s="94" t="n">
        <v>335.04</v>
      </c>
      <c r="I110" s="95" t="n">
        <f aca="false">H110/H109-1</f>
        <v>-0.0150517403574788</v>
      </c>
      <c r="J110" s="88"/>
      <c r="K110" s="88"/>
    </row>
    <row r="111" customFormat="false" ht="18" hidden="false" customHeight="false" outlineLevel="0" collapsed="false">
      <c r="A111" s="89" t="n">
        <v>42874</v>
      </c>
      <c r="B111" s="90" t="n">
        <v>111.41</v>
      </c>
      <c r="C111" s="91" t="n">
        <f aca="false">B111/B110-1</f>
        <v>0.00695950831525671</v>
      </c>
      <c r="G111" s="93" t="n">
        <v>42868</v>
      </c>
      <c r="H111" s="94" t="n">
        <v>338.29</v>
      </c>
      <c r="I111" s="95" t="n">
        <f aca="false">H111/H110-1</f>
        <v>0.00970033428844319</v>
      </c>
      <c r="J111" s="88"/>
      <c r="K111" s="88"/>
    </row>
    <row r="112" customFormat="false" ht="18" hidden="false" customHeight="false" outlineLevel="0" collapsed="false">
      <c r="A112" s="89" t="n">
        <v>42875</v>
      </c>
      <c r="B112" s="90" t="n">
        <v>111.19</v>
      </c>
      <c r="C112" s="91" t="n">
        <f aca="false">B112/B111-1</f>
        <v>-0.00197468808904044</v>
      </c>
      <c r="G112" s="93" t="n">
        <v>42871</v>
      </c>
      <c r="H112" s="94" t="n">
        <v>339.63</v>
      </c>
      <c r="I112" s="95" t="n">
        <f aca="false">H112/H111-1</f>
        <v>0.00396109846581338</v>
      </c>
      <c r="J112" s="88"/>
      <c r="K112" s="88"/>
    </row>
    <row r="113" customFormat="false" ht="18" hidden="false" customHeight="false" outlineLevel="0" collapsed="false">
      <c r="A113" s="89" t="n">
        <v>42878</v>
      </c>
      <c r="B113" s="90" t="n">
        <v>111.31</v>
      </c>
      <c r="C113" s="91" t="n">
        <f aca="false">B113/B112-1</f>
        <v>0.00107923374404173</v>
      </c>
      <c r="G113" s="93" t="n">
        <v>42872</v>
      </c>
      <c r="H113" s="94" t="n">
        <v>345.37</v>
      </c>
      <c r="I113" s="95" t="n">
        <f aca="false">H113/H112-1</f>
        <v>0.0169007449283043</v>
      </c>
      <c r="J113" s="88"/>
      <c r="K113" s="88"/>
    </row>
    <row r="114" customFormat="false" ht="18" hidden="false" customHeight="false" outlineLevel="0" collapsed="false">
      <c r="A114" s="89" t="n">
        <v>42879</v>
      </c>
      <c r="B114" s="90" t="n">
        <v>111.85</v>
      </c>
      <c r="C114" s="91" t="n">
        <f aca="false">B114/B113-1</f>
        <v>0.00485131614410195</v>
      </c>
      <c r="G114" s="93" t="n">
        <v>42873</v>
      </c>
      <c r="H114" s="94" t="n">
        <v>343.94</v>
      </c>
      <c r="I114" s="95" t="n">
        <f aca="false">H114/H113-1</f>
        <v>-0.00414048701392711</v>
      </c>
      <c r="J114" s="88"/>
      <c r="K114" s="88"/>
    </row>
    <row r="115" customFormat="false" ht="18" hidden="false" customHeight="false" outlineLevel="0" collapsed="false">
      <c r="A115" s="89" t="n">
        <v>42880</v>
      </c>
      <c r="B115" s="90" t="n">
        <v>111.84</v>
      </c>
      <c r="C115" s="91" t="n">
        <f aca="false">B115/B114-1</f>
        <v>-8.94054537325939E-005</v>
      </c>
      <c r="G115" s="93" t="n">
        <v>42874</v>
      </c>
      <c r="H115" s="94" t="n">
        <v>344.45</v>
      </c>
      <c r="I115" s="95" t="n">
        <f aca="false">H115/H114-1</f>
        <v>0.00148281677036688</v>
      </c>
      <c r="J115" s="88"/>
      <c r="K115" s="88"/>
    </row>
    <row r="116" customFormat="false" ht="18" hidden="false" customHeight="false" outlineLevel="0" collapsed="false">
      <c r="A116" s="89" t="n">
        <v>42881</v>
      </c>
      <c r="B116" s="90" t="n">
        <v>111.63</v>
      </c>
      <c r="C116" s="91" t="n">
        <f aca="false">B116/B115-1</f>
        <v>-0.00187768240343356</v>
      </c>
      <c r="G116" s="93" t="n">
        <v>42875</v>
      </c>
      <c r="H116" s="94" t="n">
        <v>344.78</v>
      </c>
      <c r="I116" s="95" t="n">
        <f aca="false">H116/H115-1</f>
        <v>0.000958049063724653</v>
      </c>
      <c r="J116" s="88"/>
      <c r="K116" s="88"/>
    </row>
    <row r="117" customFormat="false" ht="18" hidden="false" customHeight="false" outlineLevel="0" collapsed="false">
      <c r="A117" s="89" t="n">
        <v>42882</v>
      </c>
      <c r="B117" s="90" t="n">
        <v>111.86</v>
      </c>
      <c r="C117" s="91" t="n">
        <f aca="false">B117/B116-1</f>
        <v>0.00206037803457848</v>
      </c>
      <c r="G117" s="93" t="n">
        <v>42878</v>
      </c>
      <c r="H117" s="94" t="n">
        <v>344.65</v>
      </c>
      <c r="I117" s="95" t="n">
        <f aca="false">H117/H116-1</f>
        <v>-0.000377052033180614</v>
      </c>
      <c r="J117" s="88"/>
      <c r="K117" s="88"/>
    </row>
    <row r="118" customFormat="false" ht="18" hidden="false" customHeight="false" outlineLevel="0" collapsed="false">
      <c r="A118" s="89" t="n">
        <v>42886</v>
      </c>
      <c r="B118" s="90" t="n">
        <v>111.65</v>
      </c>
      <c r="C118" s="91" t="n">
        <f aca="false">B118/B117-1</f>
        <v>-0.00187734668335415</v>
      </c>
      <c r="G118" s="93" t="n">
        <v>42879</v>
      </c>
      <c r="H118" s="94" t="n">
        <v>348.92</v>
      </c>
      <c r="I118" s="95" t="n">
        <f aca="false">H118/H117-1</f>
        <v>0.0123893805309736</v>
      </c>
      <c r="J118" s="88"/>
      <c r="K118" s="88"/>
    </row>
    <row r="119" customFormat="false" ht="18" hidden="false" customHeight="false" outlineLevel="0" collapsed="false">
      <c r="A119" s="89" t="n">
        <v>42887</v>
      </c>
      <c r="B119" s="90" t="n">
        <v>111.82</v>
      </c>
      <c r="C119" s="91" t="n">
        <f aca="false">B119/B118-1</f>
        <v>0.00152261531571862</v>
      </c>
      <c r="G119" s="93" t="n">
        <v>42880</v>
      </c>
      <c r="H119" s="94" t="n">
        <v>350.79</v>
      </c>
      <c r="I119" s="95" t="n">
        <f aca="false">H119/H118-1</f>
        <v>0.00535939470365698</v>
      </c>
      <c r="J119" s="88"/>
      <c r="K119" s="88"/>
    </row>
    <row r="120" customFormat="false" ht="18" hidden="false" customHeight="false" outlineLevel="0" collapsed="false">
      <c r="A120" s="89" t="n">
        <v>42888</v>
      </c>
      <c r="B120" s="90" t="n">
        <v>111.27</v>
      </c>
      <c r="C120" s="91" t="n">
        <f aca="false">B120/B119-1</f>
        <v>-0.0049186192094437</v>
      </c>
      <c r="G120" s="93" t="n">
        <v>42881</v>
      </c>
      <c r="H120" s="94" t="n">
        <v>352.03</v>
      </c>
      <c r="I120" s="95" t="n">
        <f aca="false">H120/H119-1</f>
        <v>0.00353487841728661</v>
      </c>
      <c r="J120" s="88"/>
      <c r="K120" s="88"/>
    </row>
    <row r="121" customFormat="false" ht="18" hidden="false" customHeight="false" outlineLevel="0" collapsed="false">
      <c r="A121" s="89" t="n">
        <v>42889</v>
      </c>
      <c r="B121" s="90" t="n">
        <v>112.01</v>
      </c>
      <c r="C121" s="91" t="n">
        <f aca="false">B121/B120-1</f>
        <v>0.00665048979958671</v>
      </c>
      <c r="G121" s="93" t="n">
        <v>42882</v>
      </c>
      <c r="H121" s="94" t="n">
        <v>353.55</v>
      </c>
      <c r="I121" s="95" t="n">
        <f aca="false">H121/H120-1</f>
        <v>0.00431781382268559</v>
      </c>
      <c r="J121" s="88"/>
      <c r="K121" s="88"/>
    </row>
    <row r="122" customFormat="false" ht="18" hidden="false" customHeight="false" outlineLevel="0" collapsed="false">
      <c r="A122" s="89" t="n">
        <v>42892</v>
      </c>
      <c r="B122" s="90" t="n">
        <v>111.76</v>
      </c>
      <c r="C122" s="91" t="n">
        <f aca="false">B122/B121-1</f>
        <v>-0.00223194357646639</v>
      </c>
      <c r="G122" s="93" t="n">
        <v>42885</v>
      </c>
      <c r="H122" s="94" t="n">
        <v>357.07</v>
      </c>
      <c r="I122" s="95" t="n">
        <f aca="false">H122/H121-1</f>
        <v>0.00995615895912882</v>
      </c>
      <c r="J122" s="88"/>
      <c r="K122" s="88"/>
    </row>
    <row r="123" customFormat="false" ht="18" hidden="false" customHeight="false" outlineLevel="0" collapsed="false">
      <c r="A123" s="89" t="n">
        <v>42893</v>
      </c>
      <c r="B123" s="90" t="n">
        <v>112.2</v>
      </c>
      <c r="C123" s="91" t="n">
        <f aca="false">B123/B122-1</f>
        <v>0.00393700787401574</v>
      </c>
      <c r="G123" s="93" t="n">
        <v>42886</v>
      </c>
      <c r="H123" s="94" t="n">
        <v>360.55</v>
      </c>
      <c r="I123" s="95" t="n">
        <f aca="false">H123/H122-1</f>
        <v>0.00974598818158912</v>
      </c>
      <c r="J123" s="88"/>
      <c r="K123" s="88"/>
    </row>
    <row r="124" customFormat="false" ht="18" hidden="false" customHeight="false" outlineLevel="0" collapsed="false">
      <c r="A124" s="89" t="n">
        <v>42894</v>
      </c>
      <c r="B124" s="90" t="n">
        <v>112.6</v>
      </c>
      <c r="C124" s="91" t="n">
        <f aca="false">B124/B123-1</f>
        <v>0.00356506238859167</v>
      </c>
      <c r="G124" s="93" t="n">
        <v>42887</v>
      </c>
      <c r="H124" s="94" t="n">
        <v>360.82</v>
      </c>
      <c r="I124" s="95" t="n">
        <f aca="false">H124/H123-1</f>
        <v>0.000748855914574964</v>
      </c>
      <c r="J124" s="88"/>
      <c r="K124" s="88"/>
    </row>
    <row r="125" customFormat="false" ht="18" hidden="false" customHeight="false" outlineLevel="0" collapsed="false">
      <c r="A125" s="89" t="n">
        <v>42895</v>
      </c>
      <c r="B125" s="90" t="n">
        <v>112.77</v>
      </c>
      <c r="C125" s="91" t="n">
        <f aca="false">B125/B124-1</f>
        <v>0.00150976909413858</v>
      </c>
      <c r="G125" s="93" t="n">
        <v>42888</v>
      </c>
      <c r="H125" s="94" t="n">
        <v>359.36</v>
      </c>
      <c r="I125" s="95" t="n">
        <f aca="false">H125/H124-1</f>
        <v>-0.00404633889473971</v>
      </c>
      <c r="J125" s="88"/>
      <c r="K125" s="88"/>
    </row>
    <row r="126" customFormat="false" ht="18" hidden="false" customHeight="false" outlineLevel="0" collapsed="false">
      <c r="A126" s="89" t="n">
        <v>42896</v>
      </c>
      <c r="B126" s="90" t="n">
        <v>112.9</v>
      </c>
      <c r="C126" s="91" t="n">
        <f aca="false">B126/B125-1</f>
        <v>0.0011527888622862</v>
      </c>
      <c r="G126" s="93" t="n">
        <v>42889</v>
      </c>
      <c r="H126" s="94" t="n">
        <v>359.35</v>
      </c>
      <c r="I126" s="95" t="n">
        <f aca="false">H126/H125-1</f>
        <v>-2.78272484416364E-005</v>
      </c>
      <c r="J126" s="88"/>
      <c r="K126" s="88"/>
    </row>
    <row r="127" customFormat="false" ht="18" hidden="false" customHeight="false" outlineLevel="0" collapsed="false">
      <c r="A127" s="89" t="n">
        <v>42899</v>
      </c>
      <c r="B127" s="90" t="n">
        <v>112.22</v>
      </c>
      <c r="C127" s="91" t="n">
        <f aca="false">B127/B126-1</f>
        <v>-0.00602302922940656</v>
      </c>
      <c r="G127" s="93" t="n">
        <v>42892</v>
      </c>
      <c r="H127" s="94" t="n">
        <v>359</v>
      </c>
      <c r="I127" s="95" t="n">
        <f aca="false">H127/H126-1</f>
        <v>-0.000973980798664287</v>
      </c>
      <c r="J127" s="88"/>
      <c r="K127" s="88"/>
    </row>
    <row r="128" customFormat="false" ht="18" hidden="false" customHeight="false" outlineLevel="0" collapsed="false">
      <c r="A128" s="89" t="n">
        <v>42900</v>
      </c>
      <c r="B128" s="90" t="n">
        <v>112.47</v>
      </c>
      <c r="C128" s="91" t="n">
        <f aca="false">B128/B127-1</f>
        <v>0.00222776688647297</v>
      </c>
      <c r="G128" s="93" t="n">
        <v>42893</v>
      </c>
      <c r="H128" s="94" t="n">
        <v>358.41</v>
      </c>
      <c r="I128" s="95" t="n">
        <f aca="false">H128/H127-1</f>
        <v>-0.00164345403899713</v>
      </c>
      <c r="J128" s="88"/>
      <c r="K128" s="88"/>
    </row>
    <row r="129" customFormat="false" ht="18" hidden="false" customHeight="false" outlineLevel="0" collapsed="false">
      <c r="A129" s="89" t="n">
        <v>42901</v>
      </c>
      <c r="B129" s="90" t="n">
        <v>111.51</v>
      </c>
      <c r="C129" s="91" t="n">
        <f aca="false">B129/B128-1</f>
        <v>-0.00853560949586552</v>
      </c>
      <c r="G129" s="93" t="n">
        <v>42894</v>
      </c>
      <c r="H129" s="94" t="n">
        <v>357.69</v>
      </c>
      <c r="I129" s="95" t="n">
        <f aca="false">H129/H128-1</f>
        <v>-0.00200887252029802</v>
      </c>
      <c r="J129" s="88"/>
      <c r="K129" s="88"/>
    </row>
    <row r="130" customFormat="false" ht="18" hidden="false" customHeight="false" outlineLevel="0" collapsed="false">
      <c r="A130" s="89" t="n">
        <v>42902</v>
      </c>
      <c r="B130" s="90" t="n">
        <v>111.95</v>
      </c>
      <c r="C130" s="91" t="n">
        <f aca="false">B130/B129-1</f>
        <v>0.00394583445430907</v>
      </c>
      <c r="G130" s="93" t="n">
        <v>42895</v>
      </c>
      <c r="H130" s="94" t="n">
        <v>359.54</v>
      </c>
      <c r="I130" s="95" t="n">
        <f aca="false">H130/H129-1</f>
        <v>0.00517207637898753</v>
      </c>
      <c r="J130" s="88"/>
      <c r="K130" s="88"/>
    </row>
    <row r="131" customFormat="false" ht="18" hidden="false" customHeight="false" outlineLevel="0" collapsed="false">
      <c r="A131" s="89" t="n">
        <v>42903</v>
      </c>
      <c r="B131" s="90" t="n">
        <v>112.27</v>
      </c>
      <c r="C131" s="91" t="n">
        <f aca="false">B131/B130-1</f>
        <v>0.00285841893702532</v>
      </c>
      <c r="G131" s="93" t="n">
        <v>42896</v>
      </c>
      <c r="H131" s="94" t="n">
        <v>359.7</v>
      </c>
      <c r="I131" s="95" t="n">
        <f aca="false">H131/H130-1</f>
        <v>0.00044501307225886</v>
      </c>
      <c r="J131" s="88"/>
      <c r="K131" s="88"/>
    </row>
    <row r="132" customFormat="false" ht="18" hidden="false" customHeight="false" outlineLevel="0" collapsed="false">
      <c r="A132" s="89" t="n">
        <v>42906</v>
      </c>
      <c r="B132" s="90" t="n">
        <v>112.2</v>
      </c>
      <c r="C132" s="91" t="n">
        <f aca="false">B132/B131-1</f>
        <v>-0.000623496927050771</v>
      </c>
      <c r="G132" s="93" t="n">
        <v>42899</v>
      </c>
      <c r="H132" s="94" t="n">
        <v>360.42</v>
      </c>
      <c r="I132" s="95" t="n">
        <f aca="false">H132/H131-1</f>
        <v>0.00200166805671409</v>
      </c>
      <c r="J132" s="88"/>
      <c r="K132" s="88"/>
    </row>
    <row r="133" customFormat="false" ht="18" hidden="false" customHeight="false" outlineLevel="0" collapsed="false">
      <c r="A133" s="89" t="n">
        <v>42907</v>
      </c>
      <c r="B133" s="90" t="n">
        <v>112.15</v>
      </c>
      <c r="C133" s="91" t="n">
        <f aca="false">B133/B132-1</f>
        <v>-0.000445632798573903</v>
      </c>
      <c r="G133" s="93" t="n">
        <v>42900</v>
      </c>
      <c r="H133" s="94" t="n">
        <v>358.56</v>
      </c>
      <c r="I133" s="95" t="n">
        <f aca="false">H133/H132-1</f>
        <v>-0.00516064591310139</v>
      </c>
      <c r="J133" s="88"/>
      <c r="K133" s="88"/>
    </row>
    <row r="134" customFormat="false" ht="18" hidden="false" customHeight="false" outlineLevel="0" collapsed="false">
      <c r="A134" s="89" t="n">
        <v>42908</v>
      </c>
      <c r="B134" s="90" t="n">
        <v>112.28</v>
      </c>
      <c r="C134" s="91" t="n">
        <f aca="false">B134/B133-1</f>
        <v>0.00115916183682563</v>
      </c>
      <c r="G134" s="93" t="n">
        <v>42901</v>
      </c>
      <c r="H134" s="94" t="n">
        <v>355.87</v>
      </c>
      <c r="I134" s="95" t="n">
        <f aca="false">H134/H133-1</f>
        <v>-0.00750223114680948</v>
      </c>
      <c r="J134" s="88"/>
      <c r="K134" s="88"/>
    </row>
    <row r="135" customFormat="false" ht="18" hidden="false" customHeight="false" outlineLevel="0" collapsed="false">
      <c r="A135" s="89" t="n">
        <v>42909</v>
      </c>
      <c r="B135" s="90" t="n">
        <v>112.32</v>
      </c>
      <c r="C135" s="91" t="n">
        <f aca="false">B135/B134-1</f>
        <v>0.000356252226576315</v>
      </c>
      <c r="G135" s="93" t="n">
        <v>42902</v>
      </c>
      <c r="H135" s="94" t="n">
        <v>354.57</v>
      </c>
      <c r="I135" s="95" t="n">
        <f aca="false">H135/H134-1</f>
        <v>-0.0036530193610026</v>
      </c>
      <c r="J135" s="88"/>
      <c r="K135" s="88"/>
    </row>
    <row r="136" customFormat="false" ht="18" hidden="false" customHeight="false" outlineLevel="0" collapsed="false">
      <c r="A136" s="89" t="n">
        <v>42910</v>
      </c>
      <c r="B136" s="90" t="n">
        <v>112.13</v>
      </c>
      <c r="C136" s="91" t="n">
        <f aca="false">B136/B135-1</f>
        <v>-0.00169159544159547</v>
      </c>
      <c r="G136" s="93" t="n">
        <v>42903</v>
      </c>
      <c r="H136" s="94" t="n">
        <v>354.09</v>
      </c>
      <c r="I136" s="95" t="n">
        <f aca="false">H136/H135-1</f>
        <v>-0.001353752432524</v>
      </c>
      <c r="J136" s="88"/>
      <c r="K136" s="88"/>
    </row>
    <row r="137" customFormat="false" ht="18" hidden="false" customHeight="false" outlineLevel="0" collapsed="false">
      <c r="A137" s="89" t="n">
        <v>42913</v>
      </c>
      <c r="B137" s="90" t="n">
        <v>112.34</v>
      </c>
      <c r="C137" s="91" t="n">
        <f aca="false">B137/B136-1</f>
        <v>0.00187282618389384</v>
      </c>
      <c r="G137" s="93" t="n">
        <v>42906</v>
      </c>
      <c r="H137" s="94" t="n">
        <v>351.85</v>
      </c>
      <c r="I137" s="95" t="n">
        <f aca="false">H137/H136-1</f>
        <v>-0.00632607529159235</v>
      </c>
      <c r="J137" s="88"/>
      <c r="K137" s="88"/>
    </row>
    <row r="138" customFormat="false" ht="18" hidden="false" customHeight="false" outlineLevel="0" collapsed="false">
      <c r="A138" s="89" t="n">
        <v>42914</v>
      </c>
      <c r="B138" s="90" t="n">
        <v>112.31</v>
      </c>
      <c r="C138" s="91" t="n">
        <f aca="false">B138/B137-1</f>
        <v>-0.000267046466085108</v>
      </c>
      <c r="G138" s="93" t="n">
        <v>42907</v>
      </c>
      <c r="H138" s="94" t="n">
        <v>350.98</v>
      </c>
      <c r="I138" s="95" t="n">
        <f aca="false">H138/H137-1</f>
        <v>-0.00247264459286634</v>
      </c>
      <c r="J138" s="88"/>
      <c r="K138" s="88"/>
    </row>
    <row r="139" customFormat="false" ht="18" hidden="false" customHeight="false" outlineLevel="0" collapsed="false">
      <c r="A139" s="89" t="n">
        <v>42915</v>
      </c>
      <c r="B139" s="90" t="n">
        <v>112.46</v>
      </c>
      <c r="C139" s="91" t="n">
        <f aca="false">B139/B138-1</f>
        <v>0.00133558899474662</v>
      </c>
      <c r="G139" s="93" t="n">
        <v>42908</v>
      </c>
      <c r="H139" s="94" t="n">
        <v>354.53</v>
      </c>
      <c r="I139" s="95" t="n">
        <f aca="false">H139/H138-1</f>
        <v>0.0101145364408226</v>
      </c>
      <c r="J139" s="88"/>
      <c r="K139" s="88"/>
    </row>
    <row r="140" customFormat="false" ht="18" hidden="false" customHeight="false" outlineLevel="0" collapsed="false">
      <c r="A140" s="89" t="n">
        <v>42916</v>
      </c>
      <c r="B140" s="90" t="n">
        <v>111.99</v>
      </c>
      <c r="C140" s="91" t="n">
        <f aca="false">B140/B139-1</f>
        <v>-0.00417926373821798</v>
      </c>
      <c r="G140" s="93" t="n">
        <v>42909</v>
      </c>
      <c r="H140" s="94" t="n">
        <v>356.13</v>
      </c>
      <c r="I140" s="95" t="n">
        <f aca="false">H140/H139-1</f>
        <v>0.00451301723408459</v>
      </c>
      <c r="J140" s="88"/>
      <c r="K140" s="88"/>
    </row>
    <row r="141" customFormat="false" ht="18" hidden="false" customHeight="false" outlineLevel="0" collapsed="false">
      <c r="A141" s="89" t="n">
        <v>42917</v>
      </c>
      <c r="B141" s="90" t="n">
        <v>112.12</v>
      </c>
      <c r="C141" s="91" t="n">
        <f aca="false">B141/B140-1</f>
        <v>0.00116081793017253</v>
      </c>
      <c r="G141" s="93" t="n">
        <v>42910</v>
      </c>
      <c r="H141" s="94" t="n">
        <v>359.35</v>
      </c>
      <c r="I141" s="95" t="n">
        <f aca="false">H141/H140-1</f>
        <v>0.00904164209698721</v>
      </c>
      <c r="J141" s="88"/>
      <c r="K141" s="88"/>
    </row>
    <row r="142" customFormat="false" ht="18" hidden="false" customHeight="false" outlineLevel="0" collapsed="false">
      <c r="A142" s="89" t="n">
        <v>42921</v>
      </c>
      <c r="B142" s="90" t="n">
        <v>112.25</v>
      </c>
      <c r="C142" s="91" t="n">
        <f aca="false">B142/B141-1</f>
        <v>0.00115947199429178</v>
      </c>
      <c r="G142" s="93" t="n">
        <v>42913</v>
      </c>
      <c r="H142" s="94" t="n">
        <v>359.43</v>
      </c>
      <c r="I142" s="95" t="n">
        <f aca="false">H142/H141-1</f>
        <v>0.000222624182551812</v>
      </c>
      <c r="J142" s="88"/>
      <c r="K142" s="88"/>
    </row>
    <row r="143" customFormat="false" ht="18" hidden="false" customHeight="false" outlineLevel="0" collapsed="false">
      <c r="A143" s="89" t="n">
        <v>42922</v>
      </c>
      <c r="B143" s="90" t="n">
        <v>112.41</v>
      </c>
      <c r="C143" s="91" t="n">
        <f aca="false">B143/B142-1</f>
        <v>0.00142538975501116</v>
      </c>
      <c r="G143" s="93" t="n">
        <v>42914</v>
      </c>
      <c r="H143" s="94" t="n">
        <v>358.53</v>
      </c>
      <c r="I143" s="95" t="n">
        <f aca="false">H143/H142-1</f>
        <v>-0.00250396461063362</v>
      </c>
      <c r="J143" s="88"/>
      <c r="K143" s="88"/>
    </row>
    <row r="144" customFormat="false" ht="18" hidden="false" customHeight="false" outlineLevel="0" collapsed="false">
      <c r="A144" s="89" t="n">
        <v>42923</v>
      </c>
      <c r="B144" s="90" t="n">
        <v>112.18</v>
      </c>
      <c r="C144" s="91" t="n">
        <f aca="false">B144/B143-1</f>
        <v>-0.00204608130949191</v>
      </c>
      <c r="G144" s="93" t="n">
        <v>42915</v>
      </c>
      <c r="H144" s="94" t="n">
        <v>357.51</v>
      </c>
      <c r="I144" s="95" t="n">
        <f aca="false">H144/H143-1</f>
        <v>-0.00284495021337117</v>
      </c>
      <c r="J144" s="88"/>
      <c r="K144" s="88"/>
    </row>
    <row r="145" customFormat="false" ht="18" hidden="false" customHeight="false" outlineLevel="0" collapsed="false">
      <c r="A145" s="89" t="n">
        <v>42924</v>
      </c>
      <c r="B145" s="90" t="n">
        <v>112.15</v>
      </c>
      <c r="C145" s="91" t="n">
        <f aca="false">B145/B144-1</f>
        <v>-0.000267427348903504</v>
      </c>
      <c r="G145" s="93" t="n">
        <v>42916</v>
      </c>
      <c r="H145" s="94" t="n">
        <v>355.92</v>
      </c>
      <c r="I145" s="95" t="n">
        <f aca="false">H145/H144-1</f>
        <v>-0.00444742804397069</v>
      </c>
      <c r="J145" s="88"/>
      <c r="K145" s="88"/>
    </row>
    <row r="146" customFormat="false" ht="18" hidden="false" customHeight="false" outlineLevel="0" collapsed="false">
      <c r="A146" s="89" t="n">
        <v>42927</v>
      </c>
      <c r="B146" s="90" t="n">
        <v>112.22</v>
      </c>
      <c r="C146" s="91" t="n">
        <f aca="false">B146/B145-1</f>
        <v>0.000624164065982979</v>
      </c>
      <c r="G146" s="93" t="n">
        <v>42917</v>
      </c>
      <c r="H146" s="94" t="n">
        <v>353.12</v>
      </c>
      <c r="I146" s="95" t="n">
        <f aca="false">H146/H145-1</f>
        <v>-0.00786693639020009</v>
      </c>
      <c r="J146" s="88"/>
      <c r="K146" s="88"/>
    </row>
    <row r="147" customFormat="false" ht="18" hidden="false" customHeight="false" outlineLevel="0" collapsed="false">
      <c r="A147" s="89" t="n">
        <v>42928</v>
      </c>
      <c r="B147" s="90" t="n">
        <v>111.82</v>
      </c>
      <c r="C147" s="91" t="n">
        <f aca="false">B147/B146-1</f>
        <v>-0.0035644270183568</v>
      </c>
      <c r="G147" s="93" t="n">
        <v>42920</v>
      </c>
      <c r="H147" s="94" t="n">
        <v>353.41</v>
      </c>
      <c r="I147" s="95" t="n">
        <f aca="false">H147/H146-1</f>
        <v>0.000821250566379828</v>
      </c>
      <c r="J147" s="88"/>
      <c r="K147" s="88"/>
    </row>
    <row r="148" customFormat="false" ht="18" hidden="false" customHeight="false" outlineLevel="0" collapsed="false">
      <c r="A148" s="89" t="n">
        <v>42929</v>
      </c>
      <c r="B148" s="90" t="n">
        <v>112.3</v>
      </c>
      <c r="C148" s="91" t="n">
        <f aca="false">B148/B147-1</f>
        <v>0.00429261312824192</v>
      </c>
      <c r="G148" s="93" t="n">
        <v>42921</v>
      </c>
      <c r="H148" s="94" t="n">
        <v>350.16</v>
      </c>
      <c r="I148" s="95" t="n">
        <f aca="false">H148/H147-1</f>
        <v>-0.00919611782349117</v>
      </c>
      <c r="J148" s="88"/>
      <c r="K148" s="88"/>
    </row>
    <row r="149" customFormat="false" ht="18" hidden="false" customHeight="false" outlineLevel="0" collapsed="false">
      <c r="A149" s="89" t="n">
        <v>42930</v>
      </c>
      <c r="B149" s="90" t="n">
        <v>112.65</v>
      </c>
      <c r="C149" s="91" t="n">
        <f aca="false">B149/B148-1</f>
        <v>0.0031166518254675</v>
      </c>
      <c r="G149" s="93" t="n">
        <v>42922</v>
      </c>
      <c r="H149" s="94" t="n">
        <v>349.27</v>
      </c>
      <c r="I149" s="95" t="n">
        <f aca="false">H149/H148-1</f>
        <v>-0.00254169522504011</v>
      </c>
      <c r="J149" s="88"/>
      <c r="K149" s="88"/>
    </row>
    <row r="150" customFormat="false" ht="18" hidden="false" customHeight="false" outlineLevel="0" collapsed="false">
      <c r="A150" s="89" t="n">
        <v>42931</v>
      </c>
      <c r="B150" s="90" t="n">
        <v>112.5</v>
      </c>
      <c r="C150" s="91" t="n">
        <f aca="false">B150/B149-1</f>
        <v>-0.00133155792276973</v>
      </c>
      <c r="G150" s="93" t="n">
        <v>42923</v>
      </c>
      <c r="H150" s="94" t="n">
        <v>343.35</v>
      </c>
      <c r="I150" s="95" t="n">
        <f aca="false">H150/H149-1</f>
        <v>-0.0169496378160161</v>
      </c>
      <c r="J150" s="88"/>
      <c r="K150" s="88"/>
    </row>
    <row r="151" customFormat="false" ht="18" hidden="false" customHeight="false" outlineLevel="0" collapsed="false">
      <c r="A151" s="89" t="n">
        <v>42934</v>
      </c>
      <c r="B151" s="90" t="n">
        <v>112.52</v>
      </c>
      <c r="C151" s="91" t="n">
        <f aca="false">B151/B150-1</f>
        <v>0.000177777777777832</v>
      </c>
      <c r="G151" s="93" t="n">
        <v>42924</v>
      </c>
      <c r="H151" s="94" t="n">
        <v>345.29</v>
      </c>
      <c r="I151" s="95" t="n">
        <f aca="false">H151/H150-1</f>
        <v>0.00565021115479825</v>
      </c>
      <c r="J151" s="88"/>
      <c r="K151" s="88"/>
    </row>
    <row r="152" customFormat="false" ht="18" hidden="false" customHeight="false" outlineLevel="0" collapsed="false">
      <c r="A152" s="89" t="n">
        <v>42935</v>
      </c>
      <c r="B152" s="90" t="n">
        <v>112.83</v>
      </c>
      <c r="C152" s="91" t="n">
        <f aca="false">B152/B151-1</f>
        <v>0.00275506576608597</v>
      </c>
      <c r="G152" s="93" t="n">
        <v>42927</v>
      </c>
      <c r="H152" s="94" t="n">
        <v>347.23</v>
      </c>
      <c r="I152" s="95" t="n">
        <f aca="false">H152/H151-1</f>
        <v>0.00561846563757995</v>
      </c>
      <c r="J152" s="88"/>
      <c r="K152" s="88"/>
    </row>
    <row r="153" customFormat="false" ht="18" hidden="false" customHeight="false" outlineLevel="0" collapsed="false">
      <c r="A153" s="89" t="n">
        <v>42936</v>
      </c>
      <c r="B153" s="90" t="n">
        <v>112.4</v>
      </c>
      <c r="C153" s="91" t="n">
        <f aca="false">B153/B152-1</f>
        <v>-0.00381104316227943</v>
      </c>
      <c r="G153" s="93" t="n">
        <v>42928</v>
      </c>
      <c r="H153" s="94" t="n">
        <v>349.69</v>
      </c>
      <c r="I153" s="95" t="n">
        <f aca="false">H153/H152-1</f>
        <v>0.00708464130403463</v>
      </c>
      <c r="J153" s="88"/>
      <c r="K153" s="88"/>
    </row>
    <row r="154" customFormat="false" ht="18" hidden="false" customHeight="false" outlineLevel="0" collapsed="false">
      <c r="A154" s="89" t="n">
        <v>42937</v>
      </c>
      <c r="B154" s="90" t="n">
        <v>112.65</v>
      </c>
      <c r="C154" s="91" t="n">
        <f aca="false">B154/B153-1</f>
        <v>0.00222419928825612</v>
      </c>
      <c r="G154" s="93" t="n">
        <v>42929</v>
      </c>
      <c r="H154" s="94" t="n">
        <v>349.57</v>
      </c>
      <c r="I154" s="95" t="n">
        <f aca="false">H154/H153-1</f>
        <v>-0.000343161085532895</v>
      </c>
      <c r="J154" s="88"/>
      <c r="K154" s="88"/>
    </row>
    <row r="155" customFormat="false" ht="18" hidden="false" customHeight="false" outlineLevel="0" collapsed="false">
      <c r="A155" s="89" t="n">
        <v>42938</v>
      </c>
      <c r="B155" s="90" t="n">
        <v>112.66</v>
      </c>
      <c r="C155" s="91" t="n">
        <f aca="false">B155/B154-1</f>
        <v>8.87705281844564E-005</v>
      </c>
      <c r="G155" s="93" t="n">
        <v>42930</v>
      </c>
      <c r="H155" s="94" t="n">
        <v>351.76</v>
      </c>
      <c r="I155" s="95" t="n">
        <f aca="false">H155/H154-1</f>
        <v>0.0062648396601539</v>
      </c>
      <c r="J155" s="88"/>
      <c r="K155" s="88"/>
    </row>
    <row r="156" customFormat="false" ht="18" hidden="false" customHeight="false" outlineLevel="0" collapsed="false">
      <c r="A156" s="89" t="n">
        <v>42941</v>
      </c>
      <c r="B156" s="90" t="n">
        <v>112.35</v>
      </c>
      <c r="C156" s="91" t="n">
        <f aca="false">B156/B155-1</f>
        <v>-0.00275164210900058</v>
      </c>
      <c r="G156" s="93" t="n">
        <v>42931</v>
      </c>
      <c r="H156" s="94" t="n">
        <v>349.79</v>
      </c>
      <c r="I156" s="95" t="n">
        <f aca="false">H156/H155-1</f>
        <v>-0.00560040937002493</v>
      </c>
      <c r="J156" s="88"/>
      <c r="K156" s="88"/>
    </row>
    <row r="157" customFormat="false" ht="18" hidden="false" customHeight="false" outlineLevel="0" collapsed="false">
      <c r="A157" s="89" t="n">
        <v>42942</v>
      </c>
      <c r="B157" s="90" t="n">
        <v>112.05</v>
      </c>
      <c r="C157" s="91" t="n">
        <f aca="false">B157/B156-1</f>
        <v>-0.00267022696929231</v>
      </c>
      <c r="G157" s="93" t="n">
        <v>42934</v>
      </c>
      <c r="H157" s="94" t="n">
        <v>344.53</v>
      </c>
      <c r="I157" s="95" t="n">
        <f aca="false">H157/H156-1</f>
        <v>-0.0150375939849625</v>
      </c>
      <c r="J157" s="88"/>
      <c r="K157" s="88"/>
    </row>
    <row r="158" customFormat="false" ht="18" hidden="false" customHeight="false" outlineLevel="0" collapsed="false">
      <c r="A158" s="89" t="n">
        <v>42943</v>
      </c>
      <c r="B158" s="90" t="n">
        <v>112.33</v>
      </c>
      <c r="C158" s="91" t="n">
        <f aca="false">B158/B157-1</f>
        <v>0.00249888442659518</v>
      </c>
      <c r="G158" s="93" t="n">
        <v>42935</v>
      </c>
      <c r="H158" s="94" t="n">
        <v>342.95</v>
      </c>
      <c r="I158" s="95" t="n">
        <f aca="false">H158/H157-1</f>
        <v>-0.00458595768147907</v>
      </c>
      <c r="J158" s="88"/>
      <c r="K158" s="88"/>
    </row>
    <row r="159" customFormat="false" ht="18" hidden="false" customHeight="false" outlineLevel="0" collapsed="false">
      <c r="A159" s="89" t="n">
        <v>42944</v>
      </c>
      <c r="B159" s="90" t="n">
        <v>112.43</v>
      </c>
      <c r="C159" s="91" t="n">
        <f aca="false">B159/B158-1</f>
        <v>0.000890234131576628</v>
      </c>
      <c r="G159" s="93" t="n">
        <v>42936</v>
      </c>
      <c r="H159" s="94" t="n">
        <v>343.74</v>
      </c>
      <c r="I159" s="95" t="n">
        <f aca="false">H159/H158-1</f>
        <v>0.00230354279049427</v>
      </c>
      <c r="J159" s="88"/>
      <c r="K159" s="88"/>
    </row>
    <row r="160" customFormat="false" ht="18" hidden="false" customHeight="false" outlineLevel="0" collapsed="false">
      <c r="A160" s="89" t="n">
        <v>42945</v>
      </c>
      <c r="B160" s="90" t="n">
        <v>112.73</v>
      </c>
      <c r="C160" s="91" t="n">
        <f aca="false">B160/B159-1</f>
        <v>0.00266832695899666</v>
      </c>
      <c r="G160" s="93" t="n">
        <v>42937</v>
      </c>
      <c r="H160" s="94" t="n">
        <v>347.03</v>
      </c>
      <c r="I160" s="95" t="n">
        <f aca="false">H160/H159-1</f>
        <v>0.00957118752545516</v>
      </c>
      <c r="J160" s="88"/>
      <c r="K160" s="88"/>
    </row>
    <row r="161" customFormat="false" ht="18" hidden="false" customHeight="false" outlineLevel="0" collapsed="false">
      <c r="A161" s="89" t="n">
        <v>42948</v>
      </c>
      <c r="B161" s="90" t="n">
        <v>112.53</v>
      </c>
      <c r="C161" s="91" t="n">
        <f aca="false">B161/B160-1</f>
        <v>-0.0017741506253881</v>
      </c>
      <c r="G161" s="93" t="n">
        <v>42938</v>
      </c>
      <c r="H161" s="94" t="n">
        <v>342.79</v>
      </c>
      <c r="I161" s="95" t="n">
        <f aca="false">H161/H160-1</f>
        <v>-0.0122179638647955</v>
      </c>
      <c r="J161" s="88"/>
      <c r="K161" s="88"/>
    </row>
    <row r="162" customFormat="false" ht="18" hidden="false" customHeight="false" outlineLevel="0" collapsed="false">
      <c r="A162" s="89" t="n">
        <v>42949</v>
      </c>
      <c r="B162" s="90" t="n">
        <v>112.58</v>
      </c>
      <c r="C162" s="91" t="n">
        <f aca="false">B162/B161-1</f>
        <v>0.000444325957522418</v>
      </c>
      <c r="G162" s="93" t="n">
        <v>42941</v>
      </c>
      <c r="H162" s="94" t="n">
        <v>334.85</v>
      </c>
      <c r="I162" s="95" t="n">
        <f aca="false">H162/H161-1</f>
        <v>-0.0231628693952566</v>
      </c>
      <c r="J162" s="88"/>
      <c r="K162" s="88"/>
    </row>
    <row r="163" customFormat="false" ht="18" hidden="false" customHeight="false" outlineLevel="0" collapsed="false">
      <c r="A163" s="89" t="n">
        <v>42950</v>
      </c>
      <c r="B163" s="90" t="n">
        <v>112.63</v>
      </c>
      <c r="C163" s="91" t="n">
        <f aca="false">B163/B162-1</f>
        <v>0.000444128619648154</v>
      </c>
      <c r="G163" s="93" t="n">
        <v>42942</v>
      </c>
      <c r="H163" s="94" t="n">
        <v>327.16</v>
      </c>
      <c r="I163" s="95" t="n">
        <f aca="false">H163/H162-1</f>
        <v>-0.0229655069434075</v>
      </c>
      <c r="J163" s="88"/>
      <c r="K163" s="88"/>
    </row>
    <row r="164" customFormat="false" ht="18" hidden="false" customHeight="false" outlineLevel="0" collapsed="false">
      <c r="A164" s="89" t="n">
        <v>42951</v>
      </c>
      <c r="B164" s="90" t="n">
        <v>112.56</v>
      </c>
      <c r="C164" s="91" t="n">
        <f aca="false">B164/B163-1</f>
        <v>-0.000621504039776233</v>
      </c>
      <c r="G164" s="93" t="n">
        <v>42943</v>
      </c>
      <c r="H164" s="94" t="n">
        <v>331.47</v>
      </c>
      <c r="I164" s="95" t="n">
        <f aca="false">H164/H163-1</f>
        <v>0.013173982149407</v>
      </c>
      <c r="J164" s="88"/>
      <c r="K164" s="88"/>
    </row>
    <row r="165" customFormat="false" ht="18" hidden="false" customHeight="false" outlineLevel="0" collapsed="false">
      <c r="A165" s="89" t="n">
        <v>42952</v>
      </c>
      <c r="B165" s="90" t="n">
        <v>111.96</v>
      </c>
      <c r="C165" s="91" t="n">
        <f aca="false">B165/B164-1</f>
        <v>-0.00533049040511735</v>
      </c>
      <c r="G165" s="93" t="n">
        <v>42944</v>
      </c>
      <c r="H165" s="94" t="n">
        <v>338.17</v>
      </c>
      <c r="I165" s="95" t="n">
        <f aca="false">H165/H164-1</f>
        <v>0.0202129906175521</v>
      </c>
      <c r="J165" s="88"/>
      <c r="K165" s="88"/>
    </row>
    <row r="166" customFormat="false" ht="18" hidden="false" customHeight="false" outlineLevel="0" collapsed="false">
      <c r="A166" s="89" t="n">
        <v>42955</v>
      </c>
      <c r="B166" s="90" t="n">
        <v>111.59</v>
      </c>
      <c r="C166" s="91" t="n">
        <f aca="false">B166/B165-1</f>
        <v>-0.00330475169703459</v>
      </c>
      <c r="G166" s="93" t="n">
        <v>42945</v>
      </c>
      <c r="H166" s="94" t="n">
        <v>334.62</v>
      </c>
      <c r="I166" s="95" t="n">
        <f aca="false">H166/H165-1</f>
        <v>-0.0104976786823195</v>
      </c>
      <c r="J166" s="88"/>
      <c r="K166" s="88"/>
    </row>
    <row r="167" customFormat="false" ht="18" hidden="false" customHeight="false" outlineLevel="0" collapsed="false">
      <c r="A167" s="89" t="n">
        <v>42956</v>
      </c>
      <c r="B167" s="90" t="n">
        <v>111.57</v>
      </c>
      <c r="C167" s="91" t="n">
        <f aca="false">B167/B166-1</f>
        <v>-0.000179227529348625</v>
      </c>
      <c r="G167" s="93" t="n">
        <v>42948</v>
      </c>
      <c r="H167" s="94" t="n">
        <v>338.84</v>
      </c>
      <c r="I167" s="95" t="n">
        <f aca="false">H167/H166-1</f>
        <v>0.012611320303628</v>
      </c>
      <c r="J167" s="88"/>
      <c r="K167" s="88"/>
    </row>
    <row r="168" customFormat="false" ht="18" hidden="false" customHeight="false" outlineLevel="0" collapsed="false">
      <c r="A168" s="89" t="n">
        <v>42957</v>
      </c>
      <c r="B168" s="90" t="n">
        <v>111.64</v>
      </c>
      <c r="C168" s="91" t="n">
        <f aca="false">B168/B167-1</f>
        <v>0.000627408801649354</v>
      </c>
      <c r="G168" s="93" t="n">
        <v>42949</v>
      </c>
      <c r="H168" s="94" t="n">
        <v>338.05</v>
      </c>
      <c r="I168" s="95" t="n">
        <f aca="false">H168/H167-1</f>
        <v>-0.00233148388619986</v>
      </c>
      <c r="J168" s="88"/>
      <c r="K168" s="88"/>
    </row>
    <row r="169" customFormat="false" ht="18" hidden="false" customHeight="false" outlineLevel="0" collapsed="false">
      <c r="A169" s="89" t="n">
        <v>42958</v>
      </c>
      <c r="B169" s="90" t="n">
        <v>111.79</v>
      </c>
      <c r="C169" s="91" t="n">
        <f aca="false">B169/B168-1</f>
        <v>0.00134360444285209</v>
      </c>
      <c r="G169" s="93" t="n">
        <v>42950</v>
      </c>
      <c r="H169" s="94" t="n">
        <v>340.17</v>
      </c>
      <c r="I169" s="95" t="n">
        <f aca="false">H169/H168-1</f>
        <v>0.00627126164768521</v>
      </c>
      <c r="J169" s="88"/>
      <c r="K169" s="88"/>
    </row>
    <row r="170" customFormat="false" ht="18" hidden="false" customHeight="false" outlineLevel="0" collapsed="false">
      <c r="A170" s="89" t="n">
        <v>42959</v>
      </c>
      <c r="B170" s="90" t="n">
        <v>112.32</v>
      </c>
      <c r="C170" s="91" t="n">
        <f aca="false">B170/B169-1</f>
        <v>0.00474103229269152</v>
      </c>
      <c r="G170" s="93" t="n">
        <v>42951</v>
      </c>
      <c r="H170" s="94" t="n">
        <v>339.06</v>
      </c>
      <c r="I170" s="95" t="n">
        <f aca="false">H170/H169-1</f>
        <v>-0.00326307434518036</v>
      </c>
      <c r="J170" s="88"/>
      <c r="K170" s="88"/>
    </row>
    <row r="171" customFormat="false" ht="18" hidden="false" customHeight="false" outlineLevel="0" collapsed="false">
      <c r="A171" s="89" t="n">
        <v>42962</v>
      </c>
      <c r="B171" s="90" t="n">
        <v>112.34</v>
      </c>
      <c r="C171" s="91" t="n">
        <f aca="false">B171/B170-1</f>
        <v>0.000178062678062751</v>
      </c>
      <c r="G171" s="93" t="n">
        <v>42952</v>
      </c>
      <c r="H171" s="94" t="n">
        <v>336.9</v>
      </c>
      <c r="I171" s="95" t="n">
        <f aca="false">H171/H170-1</f>
        <v>-0.00637055388426833</v>
      </c>
      <c r="J171" s="88"/>
      <c r="K171" s="88"/>
    </row>
    <row r="172" customFormat="false" ht="18" hidden="false" customHeight="false" outlineLevel="0" collapsed="false">
      <c r="A172" s="89" t="n">
        <v>42963</v>
      </c>
      <c r="B172" s="90" t="n">
        <v>112.24</v>
      </c>
      <c r="C172" s="91" t="n">
        <f aca="false">B172/B171-1</f>
        <v>-0.000890154886950434</v>
      </c>
      <c r="G172" s="93" t="n">
        <v>42955</v>
      </c>
      <c r="H172" s="94" t="n">
        <v>337.54</v>
      </c>
      <c r="I172" s="95" t="n">
        <f aca="false">H172/H171-1</f>
        <v>0.0018996734936183</v>
      </c>
      <c r="J172" s="88"/>
      <c r="K172" s="88"/>
    </row>
    <row r="173" customFormat="false" ht="18" hidden="false" customHeight="false" outlineLevel="0" collapsed="false">
      <c r="A173" s="89" t="n">
        <v>42964</v>
      </c>
      <c r="B173" s="90" t="n">
        <v>112.15</v>
      </c>
      <c r="C173" s="91" t="n">
        <f aca="false">B173/B172-1</f>
        <v>-0.000801853171774725</v>
      </c>
      <c r="G173" s="93" t="n">
        <v>42956</v>
      </c>
      <c r="H173" s="94" t="n">
        <v>339.36</v>
      </c>
      <c r="I173" s="95" t="n">
        <f aca="false">H173/H172-1</f>
        <v>0.00539195354624633</v>
      </c>
      <c r="J173" s="88"/>
      <c r="K173" s="88"/>
    </row>
    <row r="174" customFormat="false" ht="18" hidden="false" customHeight="false" outlineLevel="0" collapsed="false">
      <c r="A174" s="89" t="n">
        <v>42965</v>
      </c>
      <c r="B174" s="90" t="n">
        <v>112.26</v>
      </c>
      <c r="C174" s="91" t="n">
        <f aca="false">B174/B173-1</f>
        <v>0.000980829246544745</v>
      </c>
      <c r="G174" s="93" t="n">
        <v>42957</v>
      </c>
      <c r="H174" s="94" t="n">
        <v>339.28</v>
      </c>
      <c r="I174" s="95" t="n">
        <f aca="false">H174/H173-1</f>
        <v>-0.000235737859500373</v>
      </c>
      <c r="J174" s="88"/>
      <c r="K174" s="88"/>
    </row>
    <row r="175" customFormat="false" ht="18" hidden="false" customHeight="false" outlineLevel="0" collapsed="false">
      <c r="A175" s="89" t="n">
        <v>42966</v>
      </c>
      <c r="B175" s="90" t="n">
        <v>112.1</v>
      </c>
      <c r="C175" s="91" t="n">
        <f aca="false">B175/B174-1</f>
        <v>-0.00142526278282573</v>
      </c>
      <c r="G175" s="93" t="n">
        <v>42958</v>
      </c>
      <c r="H175" s="94" t="n">
        <v>338.21</v>
      </c>
      <c r="I175" s="95" t="n">
        <f aca="false">H175/H174-1</f>
        <v>-0.00315373732610236</v>
      </c>
      <c r="J175" s="88"/>
      <c r="K175" s="88"/>
    </row>
    <row r="176" customFormat="false" ht="18" hidden="false" customHeight="false" outlineLevel="0" collapsed="false">
      <c r="A176" s="89" t="n">
        <v>42969</v>
      </c>
      <c r="B176" s="90" t="n">
        <v>112.52</v>
      </c>
      <c r="C176" s="91" t="n">
        <f aca="false">B176/B175-1</f>
        <v>0.00374665477252445</v>
      </c>
      <c r="G176" s="93" t="n">
        <v>42959</v>
      </c>
      <c r="H176" s="94" t="n">
        <v>336.45</v>
      </c>
      <c r="I176" s="95" t="n">
        <f aca="false">H176/H175-1</f>
        <v>-0.00520386741965051</v>
      </c>
      <c r="J176" s="88"/>
      <c r="K176" s="88"/>
    </row>
    <row r="177" customFormat="false" ht="18" hidden="false" customHeight="false" outlineLevel="0" collapsed="false">
      <c r="A177" s="89" t="n">
        <v>42970</v>
      </c>
      <c r="B177" s="90" t="n">
        <v>112.59</v>
      </c>
      <c r="C177" s="91" t="n">
        <f aca="false">B177/B176-1</f>
        <v>0.00062211162460013</v>
      </c>
      <c r="G177" s="93" t="n">
        <v>42962</v>
      </c>
      <c r="H177" s="94" t="n">
        <v>333.54</v>
      </c>
      <c r="I177" s="95" t="n">
        <f aca="false">H177/H176-1</f>
        <v>-0.00864913062862227</v>
      </c>
      <c r="J177" s="88"/>
      <c r="K177" s="88"/>
    </row>
    <row r="178" customFormat="false" ht="18" hidden="false" customHeight="false" outlineLevel="0" collapsed="false">
      <c r="A178" s="89" t="n">
        <v>42971</v>
      </c>
      <c r="B178" s="90" t="n">
        <v>112.51</v>
      </c>
      <c r="C178" s="91" t="n">
        <f aca="false">B178/B177-1</f>
        <v>-0.000710542676969572</v>
      </c>
      <c r="G178" s="93" t="n">
        <v>42963</v>
      </c>
      <c r="H178" s="94" t="n">
        <v>329.49</v>
      </c>
      <c r="I178" s="95" t="n">
        <f aca="false">H178/H177-1</f>
        <v>-0.0121424716675661</v>
      </c>
      <c r="J178" s="88"/>
      <c r="K178" s="88"/>
    </row>
    <row r="179" customFormat="false" ht="18" hidden="false" customHeight="false" outlineLevel="0" collapsed="false">
      <c r="A179" s="89" t="n">
        <v>42972</v>
      </c>
      <c r="B179" s="90" t="n">
        <v>112.33</v>
      </c>
      <c r="C179" s="91" t="n">
        <f aca="false">B179/B178-1</f>
        <v>-0.00159985779041871</v>
      </c>
      <c r="G179" s="93" t="n">
        <v>42964</v>
      </c>
      <c r="H179" s="94" t="n">
        <v>330.87</v>
      </c>
      <c r="I179" s="95" t="n">
        <f aca="false">H179/H178-1</f>
        <v>0.00418829099517426</v>
      </c>
      <c r="J179" s="88"/>
      <c r="K179" s="88"/>
    </row>
    <row r="180" customFormat="false" ht="18" hidden="false" customHeight="false" outlineLevel="0" collapsed="false">
      <c r="A180" s="89" t="n">
        <v>42973</v>
      </c>
      <c r="B180" s="90" t="n">
        <v>113.05</v>
      </c>
      <c r="C180" s="91" t="n">
        <f aca="false">B180/B179-1</f>
        <v>0.00640968574735146</v>
      </c>
      <c r="G180" s="93" t="n">
        <v>42965</v>
      </c>
      <c r="H180" s="94" t="n">
        <v>323.88</v>
      </c>
      <c r="I180" s="95" t="n">
        <f aca="false">H180/H179-1</f>
        <v>-0.0211261220418896</v>
      </c>
      <c r="J180" s="88"/>
      <c r="K180" s="88"/>
    </row>
    <row r="181" customFormat="false" ht="18" hidden="false" customHeight="false" outlineLevel="0" collapsed="false">
      <c r="A181" s="89" t="n">
        <v>42976</v>
      </c>
      <c r="B181" s="90" t="n">
        <v>113.35</v>
      </c>
      <c r="C181" s="91" t="n">
        <f aca="false">B181/B180-1</f>
        <v>0.0026536930561698</v>
      </c>
      <c r="G181" s="93" t="n">
        <v>42966</v>
      </c>
      <c r="H181" s="94" t="n">
        <v>321.23</v>
      </c>
      <c r="I181" s="95" t="n">
        <f aca="false">H181/H180-1</f>
        <v>-0.00818204273187595</v>
      </c>
      <c r="J181" s="88"/>
      <c r="K181" s="88"/>
    </row>
    <row r="182" customFormat="false" ht="18" hidden="false" customHeight="false" outlineLevel="0" collapsed="false">
      <c r="A182" s="89" t="n">
        <v>42977</v>
      </c>
      <c r="B182" s="90" t="n">
        <v>113.39</v>
      </c>
      <c r="C182" s="91" t="n">
        <f aca="false">B182/B181-1</f>
        <v>0.000352889280988089</v>
      </c>
      <c r="G182" s="93" t="n">
        <v>42969</v>
      </c>
      <c r="H182" s="94" t="n">
        <v>326.25</v>
      </c>
      <c r="I182" s="95" t="n">
        <f aca="false">H182/H181-1</f>
        <v>0.015627432058027</v>
      </c>
      <c r="J182" s="88"/>
      <c r="K182" s="88"/>
    </row>
    <row r="183" customFormat="false" ht="18" hidden="false" customHeight="false" outlineLevel="0" collapsed="false">
      <c r="A183" s="89" t="n">
        <v>42978</v>
      </c>
      <c r="B183" s="90" t="n">
        <v>113.24</v>
      </c>
      <c r="C183" s="91" t="n">
        <f aca="false">B183/B182-1</f>
        <v>-0.00132286797777592</v>
      </c>
      <c r="G183" s="93" t="n">
        <v>42970</v>
      </c>
      <c r="H183" s="94" t="n">
        <v>333.81</v>
      </c>
      <c r="I183" s="95" t="n">
        <f aca="false">H183/H182-1</f>
        <v>0.0231724137931035</v>
      </c>
      <c r="J183" s="88"/>
      <c r="K183" s="88"/>
    </row>
    <row r="184" customFormat="false" ht="18" hidden="false" customHeight="false" outlineLevel="0" collapsed="false">
      <c r="A184" s="89" t="n">
        <v>42979</v>
      </c>
      <c r="B184" s="90" t="n">
        <v>113.55</v>
      </c>
      <c r="C184" s="91" t="n">
        <f aca="false">B184/B183-1</f>
        <v>0.00273754856941011</v>
      </c>
      <c r="G184" s="93" t="n">
        <v>42971</v>
      </c>
      <c r="H184" s="94" t="n">
        <v>335.47</v>
      </c>
      <c r="I184" s="95" t="n">
        <f aca="false">H184/H183-1</f>
        <v>0.00497288876906032</v>
      </c>
      <c r="J184" s="88"/>
      <c r="K184" s="88"/>
    </row>
    <row r="185" customFormat="false" ht="18" hidden="false" customHeight="false" outlineLevel="0" collapsed="false">
      <c r="A185" s="89" t="n">
        <v>42980</v>
      </c>
      <c r="B185" s="90" t="n">
        <v>113.18</v>
      </c>
      <c r="C185" s="91" t="n">
        <f aca="false">B185/B184-1</f>
        <v>-0.00325847644209587</v>
      </c>
      <c r="G185" s="93" t="n">
        <v>42972</v>
      </c>
      <c r="H185" s="94" t="n">
        <v>333.09</v>
      </c>
      <c r="I185" s="95" t="n">
        <f aca="false">H185/H184-1</f>
        <v>-0.00709452410051581</v>
      </c>
      <c r="J185" s="88"/>
      <c r="K185" s="88"/>
    </row>
    <row r="186" customFormat="false" ht="18" hidden="false" customHeight="false" outlineLevel="0" collapsed="false">
      <c r="A186" s="89" t="n">
        <v>42984</v>
      </c>
      <c r="B186" s="90" t="n">
        <v>112.87</v>
      </c>
      <c r="C186" s="91" t="n">
        <f aca="false">B186/B185-1</f>
        <v>-0.0027389998232904</v>
      </c>
      <c r="G186" s="93" t="n">
        <v>42973</v>
      </c>
      <c r="H186" s="94" t="n">
        <v>335.25</v>
      </c>
      <c r="I186" s="95" t="n">
        <f aca="false">H186/H185-1</f>
        <v>0.0064847338557148</v>
      </c>
      <c r="J186" s="88"/>
      <c r="K186" s="88"/>
    </row>
    <row r="187" customFormat="false" ht="18" hidden="false" customHeight="false" outlineLevel="0" collapsed="false">
      <c r="A187" s="89" t="n">
        <v>42985</v>
      </c>
      <c r="B187" s="90" t="n">
        <v>113.07</v>
      </c>
      <c r="C187" s="91" t="n">
        <f aca="false">B187/B186-1</f>
        <v>0.00177195003100894</v>
      </c>
      <c r="G187" s="93" t="n">
        <v>42976</v>
      </c>
      <c r="H187" s="94" t="n">
        <v>338.88</v>
      </c>
      <c r="I187" s="95" t="n">
        <f aca="false">H187/H186-1</f>
        <v>0.0108277404921699</v>
      </c>
      <c r="J187" s="88"/>
      <c r="K187" s="88"/>
    </row>
    <row r="188" customFormat="false" ht="18" hidden="false" customHeight="false" outlineLevel="0" collapsed="false">
      <c r="A188" s="89" t="n">
        <v>42986</v>
      </c>
      <c r="B188" s="90" t="n">
        <v>113.26</v>
      </c>
      <c r="C188" s="91" t="n">
        <f aca="false">B188/B187-1</f>
        <v>0.00168037498894491</v>
      </c>
      <c r="G188" s="93" t="n">
        <v>42977</v>
      </c>
      <c r="H188" s="94" t="n">
        <v>343.62</v>
      </c>
      <c r="I188" s="95" t="n">
        <f aca="false">H188/H187-1</f>
        <v>0.013987252124646</v>
      </c>
      <c r="J188" s="88"/>
      <c r="K188" s="88"/>
    </row>
    <row r="189" customFormat="false" ht="18" hidden="false" customHeight="false" outlineLevel="0" collapsed="false">
      <c r="A189" s="89" t="n">
        <v>42987</v>
      </c>
      <c r="B189" s="90" t="n">
        <v>112.9</v>
      </c>
      <c r="C189" s="91" t="n">
        <f aca="false">B189/B188-1</f>
        <v>-0.00317852728235912</v>
      </c>
      <c r="G189" s="93" t="n">
        <v>42978</v>
      </c>
      <c r="H189" s="94" t="n">
        <v>345.15</v>
      </c>
      <c r="I189" s="95" t="n">
        <f aca="false">H189/H188-1</f>
        <v>0.00445259298061806</v>
      </c>
      <c r="J189" s="88"/>
      <c r="K189" s="88"/>
    </row>
    <row r="190" customFormat="false" ht="18" hidden="false" customHeight="false" outlineLevel="0" collapsed="false">
      <c r="A190" s="89" t="n">
        <v>42990</v>
      </c>
      <c r="B190" s="90" t="n">
        <v>113.05</v>
      </c>
      <c r="C190" s="91" t="n">
        <f aca="false">B190/B189-1</f>
        <v>0.00132860938883961</v>
      </c>
      <c r="G190" s="93" t="n">
        <v>42979</v>
      </c>
      <c r="H190" s="94" t="n">
        <v>345.18</v>
      </c>
      <c r="I190" s="95" t="n">
        <f aca="false">H190/H189-1</f>
        <v>8.69187309866515E-005</v>
      </c>
      <c r="J190" s="88"/>
      <c r="K190" s="88"/>
    </row>
    <row r="191" customFormat="false" ht="18" hidden="false" customHeight="false" outlineLevel="0" collapsed="false">
      <c r="A191" s="89" t="n">
        <v>42991</v>
      </c>
      <c r="B191" s="90" t="n">
        <v>113.27</v>
      </c>
      <c r="C191" s="91" t="n">
        <f aca="false">B191/B190-1</f>
        <v>0.00194604157452449</v>
      </c>
      <c r="G191" s="93" t="n">
        <v>42980</v>
      </c>
      <c r="H191" s="94" t="n">
        <v>346.12</v>
      </c>
      <c r="I191" s="95" t="n">
        <f aca="false">H191/H190-1</f>
        <v>0.00272321687235655</v>
      </c>
      <c r="J191" s="88"/>
      <c r="K191" s="88"/>
    </row>
    <row r="192" customFormat="false" ht="18" hidden="false" customHeight="false" outlineLevel="0" collapsed="false">
      <c r="A192" s="89" t="n">
        <v>42992</v>
      </c>
      <c r="B192" s="90" t="n">
        <v>113.25</v>
      </c>
      <c r="C192" s="91" t="n">
        <f aca="false">B192/B191-1</f>
        <v>-0.000176569259291881</v>
      </c>
      <c r="G192" s="93" t="n">
        <v>42983</v>
      </c>
      <c r="H192" s="94" t="n">
        <v>347.97</v>
      </c>
      <c r="I192" s="95" t="n">
        <f aca="false">H192/H191-1</f>
        <v>0.00534496706344623</v>
      </c>
      <c r="J192" s="88"/>
      <c r="K192" s="88"/>
    </row>
    <row r="193" customFormat="false" ht="18" hidden="false" customHeight="false" outlineLevel="0" collapsed="false">
      <c r="A193" s="89" t="n">
        <v>42993</v>
      </c>
      <c r="B193" s="90" t="n">
        <v>112.87</v>
      </c>
      <c r="C193" s="91" t="n">
        <f aca="false">B193/B192-1</f>
        <v>-0.00335540838852089</v>
      </c>
      <c r="G193" s="93" t="n">
        <v>42984</v>
      </c>
      <c r="H193" s="94" t="n">
        <v>348.89</v>
      </c>
      <c r="I193" s="95" t="n">
        <f aca="false">H193/H192-1</f>
        <v>0.00264390608385767</v>
      </c>
      <c r="J193" s="88"/>
      <c r="K193" s="88"/>
    </row>
    <row r="194" customFormat="false" ht="18" hidden="false" customHeight="false" outlineLevel="0" collapsed="false">
      <c r="A194" s="89" t="n">
        <v>42994</v>
      </c>
      <c r="B194" s="90" t="n">
        <v>112.5</v>
      </c>
      <c r="C194" s="91" t="n">
        <f aca="false">B194/B193-1</f>
        <v>-0.0032781075573669</v>
      </c>
      <c r="G194" s="93" t="n">
        <v>42985</v>
      </c>
      <c r="H194" s="94" t="n">
        <v>345.54</v>
      </c>
      <c r="I194" s="95" t="n">
        <f aca="false">H194/H193-1</f>
        <v>-0.00960188024878894</v>
      </c>
      <c r="J194" s="88"/>
      <c r="K194" s="88"/>
    </row>
    <row r="195" customFormat="false" ht="18" hidden="false" customHeight="false" outlineLevel="0" collapsed="false">
      <c r="A195" s="89" t="n">
        <v>42997</v>
      </c>
      <c r="B195" s="90" t="n">
        <v>111.98</v>
      </c>
      <c r="C195" s="91" t="n">
        <f aca="false">B195/B194-1</f>
        <v>-0.00462222222222219</v>
      </c>
      <c r="G195" s="93" t="n">
        <v>42986</v>
      </c>
      <c r="H195" s="94" t="n">
        <v>343.68</v>
      </c>
      <c r="I195" s="95" t="n">
        <f aca="false">H195/H194-1</f>
        <v>-0.00538287897204381</v>
      </c>
      <c r="J195" s="88"/>
      <c r="K195" s="88"/>
    </row>
    <row r="196" customFormat="false" ht="18" hidden="false" customHeight="false" outlineLevel="0" collapsed="false">
      <c r="A196" s="89" t="n">
        <v>42998</v>
      </c>
      <c r="B196" s="90" t="n">
        <v>112.19</v>
      </c>
      <c r="C196" s="91" t="n">
        <f aca="false">B196/B195-1</f>
        <v>0.00187533488122882</v>
      </c>
      <c r="G196" s="93" t="n">
        <v>42987</v>
      </c>
      <c r="H196" s="94" t="n">
        <v>345.63</v>
      </c>
      <c r="I196" s="95" t="n">
        <f aca="false">H196/H195-1</f>
        <v>0.0056738826815641</v>
      </c>
      <c r="J196" s="88"/>
      <c r="K196" s="88"/>
    </row>
    <row r="197" customFormat="false" ht="18" hidden="false" customHeight="false" outlineLevel="0" collapsed="false">
      <c r="A197" s="89" t="n">
        <v>42999</v>
      </c>
      <c r="B197" s="90" t="n">
        <v>112.26</v>
      </c>
      <c r="C197" s="91" t="n">
        <f aca="false">B197/B196-1</f>
        <v>0.00062394152776557</v>
      </c>
      <c r="G197" s="93" t="n">
        <v>42990</v>
      </c>
      <c r="H197" s="94" t="n">
        <v>344.47</v>
      </c>
      <c r="I197" s="95" t="n">
        <f aca="false">H197/H196-1</f>
        <v>-0.00335619014553123</v>
      </c>
      <c r="J197" s="88"/>
      <c r="K197" s="88"/>
    </row>
    <row r="198" customFormat="false" ht="18" hidden="false" customHeight="false" outlineLevel="0" collapsed="false">
      <c r="A198" s="89" t="n">
        <v>43000</v>
      </c>
      <c r="B198" s="90" t="n">
        <v>111.4</v>
      </c>
      <c r="C198" s="91" t="n">
        <f aca="false">B198/B197-1</f>
        <v>-0.0076607874576875</v>
      </c>
      <c r="G198" s="93" t="n">
        <v>42991</v>
      </c>
      <c r="H198" s="94" t="n">
        <v>342.42</v>
      </c>
      <c r="I198" s="95" t="n">
        <f aca="false">H198/H197-1</f>
        <v>-0.00595117136470524</v>
      </c>
      <c r="J198" s="88"/>
      <c r="K198" s="88"/>
    </row>
    <row r="199" customFormat="false" ht="18" hidden="false" customHeight="false" outlineLevel="0" collapsed="false">
      <c r="A199" s="89" t="n">
        <v>43001</v>
      </c>
      <c r="B199" s="90" t="n">
        <v>110.94</v>
      </c>
      <c r="C199" s="91" t="n">
        <f aca="false">B199/B198-1</f>
        <v>-0.00412926391382418</v>
      </c>
      <c r="G199" s="93" t="n">
        <v>42992</v>
      </c>
      <c r="H199" s="94" t="n">
        <v>340.71</v>
      </c>
      <c r="I199" s="95" t="n">
        <f aca="false">H199/H198-1</f>
        <v>-0.00499386718065542</v>
      </c>
      <c r="J199" s="88"/>
      <c r="K199" s="88"/>
    </row>
    <row r="200" customFormat="false" ht="18" hidden="false" customHeight="false" outlineLevel="0" collapsed="false">
      <c r="A200" s="89" t="n">
        <v>43004</v>
      </c>
      <c r="B200" s="90" t="n">
        <v>110.61</v>
      </c>
      <c r="C200" s="91" t="n">
        <f aca="false">B200/B199-1</f>
        <v>-0.00297458085451596</v>
      </c>
      <c r="G200" s="93" t="n">
        <v>42993</v>
      </c>
      <c r="H200" s="94" t="n">
        <v>337.88</v>
      </c>
      <c r="I200" s="95" t="n">
        <f aca="false">H200/H199-1</f>
        <v>-0.00830618414487394</v>
      </c>
      <c r="J200" s="88"/>
      <c r="K200" s="88"/>
    </row>
    <row r="201" customFormat="false" ht="18" hidden="false" customHeight="false" outlineLevel="0" collapsed="false">
      <c r="A201" s="89" t="n">
        <v>43005</v>
      </c>
      <c r="B201" s="90" t="n">
        <v>109.98</v>
      </c>
      <c r="C201" s="91" t="n">
        <f aca="false">B201/B200-1</f>
        <v>-0.00569568755085437</v>
      </c>
      <c r="G201" s="93" t="n">
        <v>42994</v>
      </c>
      <c r="H201" s="94" t="n">
        <v>337.68</v>
      </c>
      <c r="I201" s="95" t="n">
        <f aca="false">H201/H200-1</f>
        <v>-0.000591926127619269</v>
      </c>
      <c r="J201" s="88"/>
      <c r="K201" s="88"/>
    </row>
    <row r="202" customFormat="false" ht="18" hidden="false" customHeight="false" outlineLevel="0" collapsed="false">
      <c r="A202" s="89" t="n">
        <v>43006</v>
      </c>
      <c r="B202" s="90" t="n">
        <v>110.08</v>
      </c>
      <c r="C202" s="91" t="n">
        <f aca="false">B202/B201-1</f>
        <v>0.000909256228405209</v>
      </c>
      <c r="G202" s="93" t="n">
        <v>42997</v>
      </c>
      <c r="H202" s="94" t="n">
        <v>331.06</v>
      </c>
      <c r="I202" s="95" t="n">
        <f aca="false">H202/H201-1</f>
        <v>-0.019604359156598</v>
      </c>
      <c r="J202" s="88"/>
      <c r="K202" s="88"/>
    </row>
    <row r="203" customFormat="false" ht="18" hidden="false" customHeight="false" outlineLevel="0" collapsed="false">
      <c r="A203" s="89" t="n">
        <v>43007</v>
      </c>
      <c r="B203" s="90" t="n">
        <v>110.06</v>
      </c>
      <c r="C203" s="91" t="n">
        <f aca="false">B203/B202-1</f>
        <v>-0.000181686046511587</v>
      </c>
      <c r="G203" s="93" t="n">
        <v>42998</v>
      </c>
      <c r="H203" s="94" t="n">
        <v>332.2</v>
      </c>
      <c r="I203" s="95" t="n">
        <f aca="false">H203/H202-1</f>
        <v>0.00344348456473154</v>
      </c>
      <c r="J203" s="88"/>
      <c r="K203" s="88"/>
    </row>
    <row r="204" customFormat="false" ht="18" hidden="false" customHeight="false" outlineLevel="0" collapsed="false">
      <c r="A204" s="89" t="n">
        <v>43008</v>
      </c>
      <c r="B204" s="90" t="n">
        <v>109.69</v>
      </c>
      <c r="C204" s="91" t="n">
        <f aca="false">B204/B203-1</f>
        <v>-0.00336180265309838</v>
      </c>
      <c r="G204" s="93" t="n">
        <v>42999</v>
      </c>
      <c r="H204" s="94" t="n">
        <v>333.07</v>
      </c>
      <c r="I204" s="95" t="n">
        <f aca="false">H204/H203-1</f>
        <v>0.00261890427453348</v>
      </c>
      <c r="J204" s="88"/>
      <c r="K204" s="88"/>
    </row>
    <row r="205" customFormat="false" ht="18" hidden="false" customHeight="false" outlineLevel="0" collapsed="false">
      <c r="A205" s="89" t="n">
        <v>43011</v>
      </c>
      <c r="B205" s="90" t="n">
        <v>109.16</v>
      </c>
      <c r="C205" s="91" t="n">
        <f aca="false">B205/B204-1</f>
        <v>-0.00483179870544259</v>
      </c>
      <c r="G205" s="93" t="n">
        <v>43000</v>
      </c>
      <c r="H205" s="94" t="n">
        <v>336.36</v>
      </c>
      <c r="I205" s="95" t="n">
        <f aca="false">H205/H204-1</f>
        <v>0.0098778034647371</v>
      </c>
      <c r="J205" s="88"/>
      <c r="K205" s="88"/>
    </row>
    <row r="206" customFormat="false" ht="18" hidden="false" customHeight="false" outlineLevel="0" collapsed="false">
      <c r="A206" s="89" t="n">
        <v>43012</v>
      </c>
      <c r="B206" s="90" t="n">
        <v>109.23</v>
      </c>
      <c r="C206" s="91" t="n">
        <f aca="false">B206/B205-1</f>
        <v>0.000641260534994581</v>
      </c>
      <c r="G206" s="93" t="n">
        <v>43001</v>
      </c>
      <c r="H206" s="94" t="n">
        <v>334.03</v>
      </c>
      <c r="I206" s="95" t="n">
        <f aca="false">H206/H205-1</f>
        <v>-0.00692710191461543</v>
      </c>
      <c r="J206" s="88"/>
      <c r="K206" s="88"/>
    </row>
    <row r="207" customFormat="false" ht="18" hidden="false" customHeight="false" outlineLevel="0" collapsed="false">
      <c r="A207" s="89" t="n">
        <v>43013</v>
      </c>
      <c r="B207" s="90" t="n">
        <v>109</v>
      </c>
      <c r="C207" s="91" t="n">
        <f aca="false">B207/B206-1</f>
        <v>-0.00210564863132845</v>
      </c>
      <c r="G207" s="93" t="n">
        <v>43004</v>
      </c>
      <c r="H207" s="94" t="n">
        <v>334.7</v>
      </c>
      <c r="I207" s="95" t="n">
        <f aca="false">H207/H206-1</f>
        <v>0.00200580786156945</v>
      </c>
      <c r="J207" s="88"/>
      <c r="K207" s="88"/>
    </row>
    <row r="208" customFormat="false" ht="18" hidden="false" customHeight="false" outlineLevel="0" collapsed="false">
      <c r="A208" s="89" t="n">
        <v>43014</v>
      </c>
      <c r="B208" s="90" t="n">
        <v>109.12</v>
      </c>
      <c r="C208" s="91" t="n">
        <f aca="false">B208/B207-1</f>
        <v>0.00110091743119267</v>
      </c>
      <c r="G208" s="93" t="n">
        <v>43005</v>
      </c>
      <c r="H208" s="94" t="n">
        <v>332.91</v>
      </c>
      <c r="I208" s="95" t="n">
        <f aca="false">H208/H207-1</f>
        <v>-0.00534807290110539</v>
      </c>
      <c r="J208" s="88"/>
      <c r="K208" s="88"/>
    </row>
    <row r="209" customFormat="false" ht="18" hidden="false" customHeight="false" outlineLevel="0" collapsed="false">
      <c r="A209" s="89" t="n">
        <v>43015</v>
      </c>
      <c r="B209" s="90" t="n">
        <v>108.85</v>
      </c>
      <c r="C209" s="91" t="n">
        <f aca="false">B209/B208-1</f>
        <v>-0.00247434017595316</v>
      </c>
      <c r="G209" s="93" t="n">
        <v>43006</v>
      </c>
      <c r="H209" s="94" t="n">
        <v>330.45</v>
      </c>
      <c r="I209" s="95" t="n">
        <f aca="false">H209/H208-1</f>
        <v>-0.00738938451833837</v>
      </c>
      <c r="J209" s="88"/>
      <c r="K209" s="88"/>
    </row>
    <row r="210" customFormat="false" ht="18" hidden="false" customHeight="false" outlineLevel="0" collapsed="false">
      <c r="A210" s="89" t="n">
        <v>43018</v>
      </c>
      <c r="B210" s="90" t="n">
        <v>108.55</v>
      </c>
      <c r="C210" s="91" t="n">
        <f aca="false">B210/B209-1</f>
        <v>-0.00275608635737246</v>
      </c>
      <c r="G210" s="93" t="n">
        <v>43007</v>
      </c>
      <c r="H210" s="94" t="n">
        <v>331.89</v>
      </c>
      <c r="I210" s="95" t="n">
        <f aca="false">H210/H209-1</f>
        <v>0.00435769405356323</v>
      </c>
      <c r="J210" s="88"/>
      <c r="K210" s="88"/>
    </row>
    <row r="211" customFormat="false" ht="18" hidden="false" customHeight="false" outlineLevel="0" collapsed="false">
      <c r="A211" s="89" t="n">
        <v>43019</v>
      </c>
      <c r="B211" s="90" t="n">
        <v>108.9</v>
      </c>
      <c r="C211" s="91" t="n">
        <f aca="false">B211/B210-1</f>
        <v>0.0032243205895901</v>
      </c>
      <c r="G211" s="93" t="n">
        <v>43008</v>
      </c>
      <c r="H211" s="94" t="n">
        <v>330.75</v>
      </c>
      <c r="I211" s="95" t="n">
        <f aca="false">H211/H210-1</f>
        <v>-0.00343487300009038</v>
      </c>
      <c r="J211" s="88"/>
      <c r="K211" s="88"/>
    </row>
    <row r="212" customFormat="false" ht="18" hidden="false" customHeight="false" outlineLevel="0" collapsed="false">
      <c r="A212" s="89" t="n">
        <v>43020</v>
      </c>
      <c r="B212" s="90" t="n">
        <v>109.59</v>
      </c>
      <c r="C212" s="91" t="n">
        <f aca="false">B212/B211-1</f>
        <v>0.00633608815427</v>
      </c>
      <c r="G212" s="93" t="n">
        <v>43011</v>
      </c>
      <c r="H212" s="94" t="n">
        <v>328.07</v>
      </c>
      <c r="I212" s="95" t="n">
        <f aca="false">H212/H211-1</f>
        <v>-0.00810279667422531</v>
      </c>
      <c r="J212" s="88"/>
      <c r="K212" s="88"/>
    </row>
    <row r="213" customFormat="false" ht="18" hidden="false" customHeight="false" outlineLevel="0" collapsed="false">
      <c r="A213" s="89" t="n">
        <v>43021</v>
      </c>
      <c r="B213" s="90" t="n">
        <v>110.06</v>
      </c>
      <c r="C213" s="91" t="n">
        <f aca="false">B213/B212-1</f>
        <v>0.00428871247376583</v>
      </c>
      <c r="G213" s="93" t="n">
        <v>43012</v>
      </c>
      <c r="H213" s="94" t="n">
        <v>329.39</v>
      </c>
      <c r="I213" s="95" t="n">
        <f aca="false">H213/H212-1</f>
        <v>0.00402353156338586</v>
      </c>
      <c r="J213" s="88"/>
      <c r="K213" s="88"/>
    </row>
    <row r="214" customFormat="false" ht="18" hidden="false" customHeight="false" outlineLevel="0" collapsed="false">
      <c r="A214" s="89" t="n">
        <v>43022</v>
      </c>
      <c r="B214" s="90" t="n">
        <v>109.93</v>
      </c>
      <c r="C214" s="91" t="n">
        <f aca="false">B214/B213-1</f>
        <v>-0.00118117390514261</v>
      </c>
      <c r="G214" s="93" t="n">
        <v>43013</v>
      </c>
      <c r="H214" s="94" t="n">
        <v>327.22</v>
      </c>
      <c r="I214" s="95" t="n">
        <f aca="false">H214/H213-1</f>
        <v>-0.0065879352742948</v>
      </c>
      <c r="J214" s="88"/>
      <c r="K214" s="88"/>
    </row>
    <row r="215" customFormat="false" ht="18" hidden="false" customHeight="false" outlineLevel="0" collapsed="false">
      <c r="A215" s="89" t="n">
        <v>43025</v>
      </c>
      <c r="B215" s="90" t="n">
        <v>109.57</v>
      </c>
      <c r="C215" s="91" t="n">
        <f aca="false">B215/B214-1</f>
        <v>-0.00327481124351869</v>
      </c>
      <c r="G215" s="93" t="n">
        <v>43014</v>
      </c>
      <c r="H215" s="94" t="n">
        <v>333.88</v>
      </c>
      <c r="I215" s="95" t="n">
        <f aca="false">H215/H214-1</f>
        <v>0.0203532791394168</v>
      </c>
      <c r="J215" s="88"/>
      <c r="K215" s="88"/>
    </row>
    <row r="216" customFormat="false" ht="18" hidden="false" customHeight="false" outlineLevel="0" collapsed="false">
      <c r="A216" s="89" t="n">
        <v>43026</v>
      </c>
      <c r="B216" s="90" t="n">
        <v>109.49</v>
      </c>
      <c r="C216" s="91" t="n">
        <f aca="false">B216/B215-1</f>
        <v>-0.00073012685954188</v>
      </c>
      <c r="G216" s="93" t="n">
        <v>43015</v>
      </c>
      <c r="H216" s="94" t="n">
        <v>334.74</v>
      </c>
      <c r="I216" s="95" t="n">
        <f aca="false">H216/H215-1</f>
        <v>0.00257577572780643</v>
      </c>
      <c r="J216" s="88"/>
      <c r="K216" s="88"/>
    </row>
    <row r="217" customFormat="false" ht="18" hidden="false" customHeight="false" outlineLevel="0" collapsed="false">
      <c r="A217" s="89" t="n">
        <v>43027</v>
      </c>
      <c r="B217" s="90" t="n">
        <v>109.55</v>
      </c>
      <c r="C217" s="91" t="n">
        <f aca="false">B217/B216-1</f>
        <v>0.000547995250707922</v>
      </c>
      <c r="G217" s="93" t="n">
        <v>43018</v>
      </c>
      <c r="H217" s="94" t="n">
        <v>335.98</v>
      </c>
      <c r="I217" s="95" t="n">
        <f aca="false">H217/H216-1</f>
        <v>0.0037043675688595</v>
      </c>
      <c r="J217" s="88"/>
      <c r="K217" s="88"/>
    </row>
    <row r="218" customFormat="false" ht="18" hidden="false" customHeight="false" outlineLevel="0" collapsed="false">
      <c r="A218" s="89" t="n">
        <v>43028</v>
      </c>
      <c r="B218" s="90" t="n">
        <v>109.08</v>
      </c>
      <c r="C218" s="91" t="n">
        <f aca="false">B218/B217-1</f>
        <v>-0.00429027841168417</v>
      </c>
      <c r="G218" s="93" t="n">
        <v>43019</v>
      </c>
      <c r="H218" s="94" t="n">
        <v>333.96</v>
      </c>
      <c r="I218" s="95" t="n">
        <f aca="false">H218/H217-1</f>
        <v>-0.0060122626346808</v>
      </c>
      <c r="J218" s="88"/>
      <c r="K218" s="88"/>
    </row>
    <row r="219" customFormat="false" ht="18" hidden="false" customHeight="false" outlineLevel="0" collapsed="false">
      <c r="A219" s="89" t="n">
        <v>43029</v>
      </c>
      <c r="B219" s="90" t="n">
        <v>109.51</v>
      </c>
      <c r="C219" s="91" t="n">
        <f aca="false">B219/B218-1</f>
        <v>0.00394206087275406</v>
      </c>
      <c r="G219" s="93" t="n">
        <v>43020</v>
      </c>
      <c r="H219" s="94" t="n">
        <v>335.39</v>
      </c>
      <c r="I219" s="95" t="n">
        <f aca="false">H219/H218-1</f>
        <v>0.00428194993412379</v>
      </c>
      <c r="J219" s="88"/>
      <c r="K219" s="88"/>
    </row>
    <row r="220" customFormat="false" ht="18" hidden="false" customHeight="false" outlineLevel="0" collapsed="false">
      <c r="A220" s="89" t="n">
        <v>43032</v>
      </c>
      <c r="B220" s="90" t="n">
        <v>109.59</v>
      </c>
      <c r="C220" s="91" t="n">
        <f aca="false">B220/B219-1</f>
        <v>0.000730526892521288</v>
      </c>
      <c r="G220" s="93" t="n">
        <v>43021</v>
      </c>
      <c r="H220" s="94" t="n">
        <v>336.43</v>
      </c>
      <c r="I220" s="95" t="n">
        <f aca="false">H220/H219-1</f>
        <v>0.00310086764662043</v>
      </c>
      <c r="J220" s="88"/>
      <c r="K220" s="88"/>
    </row>
    <row r="221" customFormat="false" ht="18" hidden="false" customHeight="false" outlineLevel="0" collapsed="false">
      <c r="A221" s="89" t="n">
        <v>43033</v>
      </c>
      <c r="B221" s="90" t="n">
        <v>109.82</v>
      </c>
      <c r="C221" s="91" t="n">
        <f aca="false">B221/B220-1</f>
        <v>0.00209873163609808</v>
      </c>
      <c r="G221" s="93" t="n">
        <v>43022</v>
      </c>
      <c r="H221" s="94" t="n">
        <v>340.73</v>
      </c>
      <c r="I221" s="95" t="n">
        <f aca="false">H221/H220-1</f>
        <v>0.0127812620753203</v>
      </c>
      <c r="J221" s="88"/>
      <c r="K221" s="88"/>
    </row>
    <row r="222" customFormat="false" ht="18" hidden="false" customHeight="false" outlineLevel="0" collapsed="false">
      <c r="A222" s="89" t="n">
        <v>43034</v>
      </c>
      <c r="B222" s="90" t="n">
        <v>110.47</v>
      </c>
      <c r="C222" s="91" t="n">
        <f aca="false">B222/B221-1</f>
        <v>0.00591877617920233</v>
      </c>
      <c r="G222" s="93" t="n">
        <v>43025</v>
      </c>
      <c r="H222" s="94" t="n">
        <v>340.99</v>
      </c>
      <c r="I222" s="95" t="n">
        <f aca="false">H222/H221-1</f>
        <v>0.00076306753147648</v>
      </c>
      <c r="J222" s="88"/>
      <c r="K222" s="88"/>
    </row>
    <row r="223" customFormat="false" ht="18" hidden="false" customHeight="false" outlineLevel="0" collapsed="false">
      <c r="A223" s="89" t="n">
        <v>43035</v>
      </c>
      <c r="B223" s="90" t="n">
        <v>110.26</v>
      </c>
      <c r="C223" s="91" t="n">
        <f aca="false">B223/B222-1</f>
        <v>-0.0019009685887571</v>
      </c>
      <c r="G223" s="93" t="n">
        <v>43026</v>
      </c>
      <c r="H223" s="94" t="n">
        <v>343.88</v>
      </c>
      <c r="I223" s="95" t="n">
        <f aca="false">H223/H222-1</f>
        <v>0.00847532185694599</v>
      </c>
      <c r="J223" s="88"/>
      <c r="K223" s="88"/>
    </row>
    <row r="224" customFormat="false" ht="18" hidden="false" customHeight="false" outlineLevel="0" collapsed="false">
      <c r="A224" s="89" t="n">
        <v>43036</v>
      </c>
      <c r="B224" s="90" t="n">
        <v>109.89</v>
      </c>
      <c r="C224" s="91" t="n">
        <f aca="false">B224/B223-1</f>
        <v>-0.00335570469798663</v>
      </c>
      <c r="G224" s="93" t="n">
        <v>43027</v>
      </c>
      <c r="H224" s="94" t="n">
        <v>344.52</v>
      </c>
      <c r="I224" s="95" t="n">
        <f aca="false">H224/H223-1</f>
        <v>0.00186111434221226</v>
      </c>
      <c r="J224" s="88"/>
      <c r="K224" s="88"/>
    </row>
    <row r="225" customFormat="false" ht="18" hidden="false" customHeight="false" outlineLevel="0" collapsed="false">
      <c r="A225" s="89" t="n">
        <v>43039</v>
      </c>
      <c r="B225" s="90" t="n">
        <v>109.23</v>
      </c>
      <c r="C225" s="91" t="n">
        <f aca="false">B225/B224-1</f>
        <v>-0.00600600600600598</v>
      </c>
      <c r="G225" s="93" t="n">
        <v>43028</v>
      </c>
      <c r="H225" s="94" t="n">
        <v>342.55</v>
      </c>
      <c r="I225" s="95" t="n">
        <f aca="false">H225/H224-1</f>
        <v>-0.00571810054568667</v>
      </c>
      <c r="J225" s="88"/>
      <c r="K225" s="88"/>
    </row>
    <row r="226" customFormat="false" ht="18" hidden="false" customHeight="false" outlineLevel="0" collapsed="false">
      <c r="A226" s="89" t="n">
        <v>43040</v>
      </c>
      <c r="B226" s="90" t="n">
        <v>109.37</v>
      </c>
      <c r="C226" s="91" t="n">
        <f aca="false">B226/B225-1</f>
        <v>0.00128169916689558</v>
      </c>
      <c r="G226" s="93" t="n">
        <v>43029</v>
      </c>
      <c r="H226" s="94" t="n">
        <v>342.18</v>
      </c>
      <c r="I226" s="95" t="n">
        <f aca="false">H226/H225-1</f>
        <v>-0.00108013428696541</v>
      </c>
      <c r="J226" s="88"/>
      <c r="K226" s="88"/>
    </row>
    <row r="227" customFormat="false" ht="18" hidden="false" customHeight="false" outlineLevel="0" collapsed="false">
      <c r="A227" s="89" t="n">
        <v>43041</v>
      </c>
      <c r="B227" s="90" t="n">
        <v>109.2</v>
      </c>
      <c r="C227" s="91" t="n">
        <f aca="false">B227/B226-1</f>
        <v>-0.00155435677059523</v>
      </c>
      <c r="G227" s="93" t="n">
        <v>43032</v>
      </c>
      <c r="H227" s="94" t="n">
        <v>342.85</v>
      </c>
      <c r="I227" s="95" t="n">
        <f aca="false">H227/H226-1</f>
        <v>0.00195803378338888</v>
      </c>
      <c r="J227" s="88"/>
      <c r="K227" s="88"/>
    </row>
    <row r="228" customFormat="false" ht="18" hidden="false" customHeight="false" outlineLevel="0" collapsed="false">
      <c r="A228" s="89" t="n">
        <v>43042</v>
      </c>
      <c r="B228" s="90" t="n">
        <v>109.99</v>
      </c>
      <c r="C228" s="91" t="n">
        <f aca="false">B228/B227-1</f>
        <v>0.00723443223443221</v>
      </c>
      <c r="G228" s="93" t="n">
        <v>43033</v>
      </c>
      <c r="H228" s="94" t="n">
        <v>342.14</v>
      </c>
      <c r="I228" s="95" t="n">
        <f aca="false">H228/H227-1</f>
        <v>-0.00207087647659332</v>
      </c>
      <c r="J228" s="88"/>
      <c r="K228" s="88"/>
    </row>
    <row r="229" customFormat="false" ht="18" hidden="false" customHeight="false" outlineLevel="0" collapsed="false">
      <c r="A229" s="89" t="n">
        <v>43043</v>
      </c>
      <c r="B229" s="90" t="n">
        <v>110.82</v>
      </c>
      <c r="C229" s="91" t="n">
        <f aca="false">B229/B228-1</f>
        <v>0.00754614055823266</v>
      </c>
      <c r="G229" s="93" t="n">
        <v>43034</v>
      </c>
      <c r="H229" s="94" t="n">
        <v>339.39</v>
      </c>
      <c r="I229" s="95" t="n">
        <f aca="false">H229/H228-1</f>
        <v>-0.00803764540831242</v>
      </c>
      <c r="J229" s="88"/>
      <c r="K229" s="88"/>
    </row>
    <row r="230" customFormat="false" ht="18" hidden="false" customHeight="false" outlineLevel="0" collapsed="false">
      <c r="A230" s="89" t="n">
        <v>43046</v>
      </c>
      <c r="B230" s="90" t="n">
        <v>110.72</v>
      </c>
      <c r="C230" s="91" t="n">
        <f aca="false">B230/B229-1</f>
        <v>-0.000902364194188765</v>
      </c>
      <c r="G230" s="93" t="n">
        <v>43035</v>
      </c>
      <c r="H230" s="94" t="n">
        <v>337.29</v>
      </c>
      <c r="I230" s="95" t="n">
        <f aca="false">H230/H229-1</f>
        <v>-0.00618757182002994</v>
      </c>
      <c r="J230" s="88"/>
      <c r="K230" s="88"/>
    </row>
    <row r="231" customFormat="false" ht="18" hidden="false" customHeight="false" outlineLevel="0" collapsed="false">
      <c r="A231" s="89" t="n">
        <v>43047</v>
      </c>
      <c r="B231" s="90" t="n">
        <v>110.92</v>
      </c>
      <c r="C231" s="91" t="n">
        <f aca="false">B231/B230-1</f>
        <v>0.00180635838150289</v>
      </c>
      <c r="G231" s="93" t="n">
        <v>43036</v>
      </c>
      <c r="H231" s="94" t="n">
        <v>334.9</v>
      </c>
      <c r="I231" s="95" t="n">
        <f aca="false">H231/H230-1</f>
        <v>-0.00708589048000252</v>
      </c>
      <c r="J231" s="88"/>
      <c r="K231" s="88"/>
    </row>
    <row r="232" customFormat="false" ht="18" hidden="false" customHeight="false" outlineLevel="0" collapsed="false">
      <c r="A232" s="89" t="n">
        <v>43048</v>
      </c>
      <c r="B232" s="90" t="n">
        <v>109.3</v>
      </c>
      <c r="C232" s="91" t="n">
        <f aca="false">B232/B231-1</f>
        <v>-0.0146051208077894</v>
      </c>
      <c r="G232" s="93" t="n">
        <v>43039</v>
      </c>
      <c r="H232" s="94" t="n">
        <v>335.97</v>
      </c>
      <c r="I232" s="95" t="n">
        <f aca="false">H232/H231-1</f>
        <v>0.00319498357718739</v>
      </c>
      <c r="J232" s="88"/>
      <c r="K232" s="88"/>
    </row>
    <row r="233" customFormat="false" ht="18" hidden="false" customHeight="false" outlineLevel="0" collapsed="false">
      <c r="A233" s="89" t="n">
        <v>43049</v>
      </c>
      <c r="B233" s="90" t="n">
        <v>109.3</v>
      </c>
      <c r="C233" s="91" t="n">
        <f aca="false">B233/B232-1</f>
        <v>0</v>
      </c>
      <c r="G233" s="93" t="n">
        <v>43040</v>
      </c>
      <c r="H233" s="94" t="n">
        <v>334.32</v>
      </c>
      <c r="I233" s="95" t="n">
        <f aca="false">H233/H232-1</f>
        <v>-0.00491115278149845</v>
      </c>
      <c r="J233" s="88"/>
      <c r="K233" s="88"/>
    </row>
    <row r="234" customFormat="false" ht="18" hidden="false" customHeight="false" outlineLevel="0" collapsed="false">
      <c r="A234" s="89" t="n">
        <v>43050</v>
      </c>
      <c r="B234" s="90" t="n">
        <v>109.58</v>
      </c>
      <c r="C234" s="91" t="n">
        <f aca="false">B234/B233-1</f>
        <v>0.00256175663311997</v>
      </c>
      <c r="G234" s="93" t="n">
        <v>43041</v>
      </c>
      <c r="H234" s="94" t="n">
        <v>335.12</v>
      </c>
      <c r="I234" s="95" t="n">
        <f aca="false">H234/H233-1</f>
        <v>0.00239291696578126</v>
      </c>
      <c r="J234" s="88"/>
      <c r="K234" s="88"/>
    </row>
    <row r="235" customFormat="false" ht="18" hidden="false" customHeight="false" outlineLevel="0" collapsed="false">
      <c r="A235" s="89" t="n">
        <v>43053</v>
      </c>
      <c r="B235" s="90" t="n">
        <v>109.29</v>
      </c>
      <c r="C235" s="91" t="n">
        <f aca="false">B235/B234-1</f>
        <v>-0.00264646833363746</v>
      </c>
      <c r="G235" s="93" t="n">
        <v>43042</v>
      </c>
      <c r="H235" s="94" t="n">
        <v>336.3</v>
      </c>
      <c r="I235" s="95" t="n">
        <f aca="false">H235/H234-1</f>
        <v>0.00352112676056349</v>
      </c>
      <c r="J235" s="88"/>
      <c r="K235" s="88"/>
    </row>
    <row r="236" customFormat="false" ht="18" hidden="false" customHeight="false" outlineLevel="0" collapsed="false">
      <c r="A236" s="89" t="n">
        <v>43054</v>
      </c>
      <c r="B236" s="90" t="n">
        <v>109.04</v>
      </c>
      <c r="C236" s="91" t="n">
        <f aca="false">B236/B235-1</f>
        <v>-0.00228749199377798</v>
      </c>
      <c r="G236" s="93" t="n">
        <v>43043</v>
      </c>
      <c r="H236" s="94" t="n">
        <v>335.24</v>
      </c>
      <c r="I236" s="95" t="n">
        <f aca="false">H236/H235-1</f>
        <v>-0.00315194766577465</v>
      </c>
      <c r="J236" s="88"/>
      <c r="K236" s="88"/>
    </row>
    <row r="237" customFormat="false" ht="18" hidden="false" customHeight="false" outlineLevel="0" collapsed="false">
      <c r="A237" s="89" t="n">
        <v>43055</v>
      </c>
      <c r="B237" s="90" t="n">
        <v>109.16</v>
      </c>
      <c r="C237" s="91" t="n">
        <f aca="false">B237/B236-1</f>
        <v>0.00110051357300067</v>
      </c>
      <c r="G237" s="93" t="n">
        <v>43046</v>
      </c>
      <c r="H237" s="94" t="n">
        <v>337.32</v>
      </c>
      <c r="I237" s="95" t="n">
        <f aca="false">H237/H236-1</f>
        <v>0.00620451020164659</v>
      </c>
      <c r="J237" s="88"/>
      <c r="K237" s="88"/>
    </row>
    <row r="238" customFormat="false" ht="18" hidden="false" customHeight="false" outlineLevel="0" collapsed="false">
      <c r="A238" s="89" t="n">
        <v>43056</v>
      </c>
      <c r="B238" s="90" t="n">
        <v>109.44</v>
      </c>
      <c r="C238" s="91" t="n">
        <f aca="false">B238/B237-1</f>
        <v>0.0025650421399781</v>
      </c>
      <c r="G238" s="93" t="n">
        <v>43047</v>
      </c>
      <c r="H238" s="94" t="n">
        <v>338.32</v>
      </c>
      <c r="I238" s="95" t="n">
        <f aca="false">H238/H237-1</f>
        <v>0.00296454405312474</v>
      </c>
      <c r="J238" s="88"/>
      <c r="K238" s="88"/>
    </row>
    <row r="239" customFormat="false" ht="18" hidden="false" customHeight="false" outlineLevel="0" collapsed="false">
      <c r="A239" s="89" t="n">
        <v>43057</v>
      </c>
      <c r="B239" s="90" t="n">
        <v>109.41</v>
      </c>
      <c r="C239" s="91" t="n">
        <f aca="false">B239/B238-1</f>
        <v>-0.000274122807017552</v>
      </c>
      <c r="G239" s="93" t="n">
        <v>43048</v>
      </c>
      <c r="H239" s="94" t="n">
        <v>338.97</v>
      </c>
      <c r="I239" s="95" t="n">
        <f aca="false">H239/H238-1</f>
        <v>0.00192125798061027</v>
      </c>
      <c r="J239" s="88"/>
      <c r="K239" s="88"/>
    </row>
    <row r="240" customFormat="false" ht="18" hidden="false" customHeight="false" outlineLevel="0" collapsed="false">
      <c r="A240" s="89" t="n">
        <v>43060</v>
      </c>
      <c r="B240" s="90" t="n">
        <v>108.28</v>
      </c>
      <c r="C240" s="91" t="n">
        <f aca="false">B240/B239-1</f>
        <v>-0.0103281235718855</v>
      </c>
      <c r="G240" s="93" t="n">
        <v>43049</v>
      </c>
      <c r="H240" s="94" t="n">
        <v>341.22</v>
      </c>
      <c r="I240" s="95" t="n">
        <f aca="false">H240/H239-1</f>
        <v>0.00663775555358881</v>
      </c>
      <c r="J240" s="88"/>
      <c r="K240" s="88"/>
    </row>
    <row r="241" customFormat="false" ht="18" hidden="false" customHeight="false" outlineLevel="0" collapsed="false">
      <c r="A241" s="89" t="n">
        <v>43061</v>
      </c>
      <c r="B241" s="90" t="n">
        <v>107.6</v>
      </c>
      <c r="C241" s="91" t="n">
        <f aca="false">B241/B240-1</f>
        <v>-0.00628001477650542</v>
      </c>
      <c r="G241" s="93" t="n">
        <v>43050</v>
      </c>
      <c r="H241" s="94" t="n">
        <v>341.98</v>
      </c>
      <c r="I241" s="95" t="n">
        <f aca="false">H241/H240-1</f>
        <v>0.00222730203387833</v>
      </c>
      <c r="J241" s="88"/>
      <c r="K241" s="88"/>
    </row>
    <row r="242" customFormat="false" ht="18" hidden="false" customHeight="false" outlineLevel="0" collapsed="false">
      <c r="A242" s="89" t="n">
        <v>43062</v>
      </c>
      <c r="B242" s="90" t="n">
        <v>107.77</v>
      </c>
      <c r="C242" s="91" t="n">
        <f aca="false">B242/B241-1</f>
        <v>0.00157992565055753</v>
      </c>
      <c r="G242" s="93" t="n">
        <v>43053</v>
      </c>
      <c r="H242" s="94" t="n">
        <v>342.06</v>
      </c>
      <c r="I242" s="95" t="n">
        <f aca="false">H242/H241-1</f>
        <v>0.000233931808877763</v>
      </c>
      <c r="J242" s="88"/>
      <c r="K242" s="88"/>
    </row>
    <row r="243" customFormat="false" ht="18" hidden="false" customHeight="false" outlineLevel="0" collapsed="false">
      <c r="A243" s="89" t="n">
        <v>43064</v>
      </c>
      <c r="B243" s="90" t="n">
        <v>106.57</v>
      </c>
      <c r="C243" s="91" t="n">
        <f aca="false">B243/B242-1</f>
        <v>-0.0111348241625685</v>
      </c>
      <c r="G243" s="93" t="n">
        <v>43054</v>
      </c>
      <c r="H243" s="94" t="n">
        <v>342.54</v>
      </c>
      <c r="I243" s="95" t="n">
        <f aca="false">H243/H242-1</f>
        <v>0.00140326258551138</v>
      </c>
      <c r="J243" s="88"/>
      <c r="K243" s="88"/>
    </row>
    <row r="244" customFormat="false" ht="18" hidden="false" customHeight="false" outlineLevel="0" collapsed="false">
      <c r="A244" s="89" t="n">
        <v>43067</v>
      </c>
      <c r="B244" s="90" t="n">
        <v>107.49</v>
      </c>
      <c r="C244" s="91" t="n">
        <f aca="false">B244/B243-1</f>
        <v>0.00863282349629357</v>
      </c>
      <c r="G244" s="93" t="n">
        <v>43055</v>
      </c>
      <c r="H244" s="94" t="n">
        <v>341.62</v>
      </c>
      <c r="I244" s="95" t="n">
        <f aca="false">H244/H243-1</f>
        <v>-0.00268581771471954</v>
      </c>
      <c r="J244" s="88"/>
      <c r="K244" s="88"/>
    </row>
    <row r="245" customFormat="false" ht="18" hidden="false" customHeight="false" outlineLevel="0" collapsed="false">
      <c r="A245" s="89" t="n">
        <v>43068</v>
      </c>
      <c r="B245" s="90" t="n">
        <v>107.47</v>
      </c>
      <c r="C245" s="91" t="n">
        <f aca="false">B245/B244-1</f>
        <v>-0.00018606381989017</v>
      </c>
      <c r="G245" s="93" t="n">
        <v>43056</v>
      </c>
      <c r="H245" s="94" t="n">
        <v>337.38</v>
      </c>
      <c r="I245" s="95" t="n">
        <f aca="false">H245/H244-1</f>
        <v>-0.0124114513201803</v>
      </c>
      <c r="J245" s="88"/>
      <c r="K245" s="88"/>
    </row>
    <row r="246" customFormat="false" ht="18" hidden="false" customHeight="false" outlineLevel="0" collapsed="false">
      <c r="A246" s="89" t="n">
        <v>43069</v>
      </c>
      <c r="B246" s="90" t="n">
        <v>107.86</v>
      </c>
      <c r="C246" s="91" t="n">
        <f aca="false">B246/B245-1</f>
        <v>0.00362891969852042</v>
      </c>
      <c r="G246" s="93" t="n">
        <v>43057</v>
      </c>
      <c r="H246" s="94" t="n">
        <v>337.02</v>
      </c>
      <c r="I246" s="95" t="n">
        <f aca="false">H246/H245-1</f>
        <v>-0.00106704606082164</v>
      </c>
      <c r="J246" s="88"/>
      <c r="K246" s="88"/>
    </row>
    <row r="247" customFormat="false" ht="18" hidden="false" customHeight="false" outlineLevel="0" collapsed="false">
      <c r="A247" s="89" t="n">
        <v>43070</v>
      </c>
      <c r="B247" s="90" t="n">
        <v>108.5</v>
      </c>
      <c r="C247" s="91" t="n">
        <f aca="false">B247/B246-1</f>
        <v>0.00593361765251244</v>
      </c>
      <c r="G247" s="93" t="n">
        <v>43060</v>
      </c>
      <c r="H247" s="94" t="n">
        <v>333.63</v>
      </c>
      <c r="I247" s="95" t="n">
        <f aca="false">H247/H246-1</f>
        <v>-0.0100587502225387</v>
      </c>
      <c r="J247" s="88"/>
      <c r="K247" s="88"/>
    </row>
    <row r="248" customFormat="false" ht="18" hidden="false" customHeight="false" outlineLevel="0" collapsed="false">
      <c r="A248" s="89" t="n">
        <v>43071</v>
      </c>
      <c r="B248" s="90" t="n">
        <v>108.64</v>
      </c>
      <c r="C248" s="91" t="n">
        <f aca="false">B248/B247-1</f>
        <v>0.0012903225806451</v>
      </c>
      <c r="G248" s="93" t="n">
        <v>43061</v>
      </c>
      <c r="H248" s="94" t="n">
        <v>332.5</v>
      </c>
      <c r="I248" s="95" t="n">
        <f aca="false">H248/H247-1</f>
        <v>-0.00338698558283124</v>
      </c>
      <c r="J248" s="88"/>
      <c r="K248" s="88"/>
    </row>
    <row r="249" customFormat="false" ht="18" hidden="false" customHeight="false" outlineLevel="0" collapsed="false">
      <c r="A249" s="89" t="n">
        <v>43074</v>
      </c>
      <c r="B249" s="90" t="n">
        <v>108.74</v>
      </c>
      <c r="C249" s="91" t="n">
        <f aca="false">B249/B248-1</f>
        <v>0.00092047128129602</v>
      </c>
      <c r="G249" s="93" t="n">
        <v>43062</v>
      </c>
      <c r="H249" s="94" t="n">
        <v>332.53</v>
      </c>
      <c r="I249" s="95" t="n">
        <f aca="false">H249/H248-1</f>
        <v>9.02255639096961E-005</v>
      </c>
      <c r="J249" s="88"/>
      <c r="K249" s="88"/>
    </row>
    <row r="250" customFormat="false" ht="18" hidden="false" customHeight="false" outlineLevel="0" collapsed="false">
      <c r="A250" s="89" t="n">
        <v>43075</v>
      </c>
      <c r="B250" s="90" t="n">
        <v>109.32</v>
      </c>
      <c r="C250" s="91" t="n">
        <f aca="false">B250/B249-1</f>
        <v>0.00533382379988967</v>
      </c>
      <c r="G250" s="93" t="n">
        <v>43063</v>
      </c>
      <c r="H250" s="94" t="n">
        <v>333.41</v>
      </c>
      <c r="I250" s="95" t="n">
        <f aca="false">H250/H249-1</f>
        <v>0.00264637777042687</v>
      </c>
      <c r="J250" s="88"/>
      <c r="K250" s="88"/>
    </row>
    <row r="251" customFormat="false" ht="18" hidden="false" customHeight="false" outlineLevel="0" collapsed="false">
      <c r="A251" s="89" t="n">
        <v>43076</v>
      </c>
      <c r="B251" s="90" t="n">
        <v>109.16</v>
      </c>
      <c r="C251" s="91" t="n">
        <f aca="false">B251/B250-1</f>
        <v>-0.00146359312111233</v>
      </c>
      <c r="G251" s="93" t="n">
        <v>43064</v>
      </c>
      <c r="H251" s="94" t="n">
        <v>325.05</v>
      </c>
      <c r="I251" s="95" t="n">
        <f aca="false">H251/H250-1</f>
        <v>-0.025074232926427</v>
      </c>
      <c r="J251" s="88"/>
      <c r="K251" s="88"/>
    </row>
    <row r="252" customFormat="false" ht="18" hidden="false" customHeight="false" outlineLevel="0" collapsed="false">
      <c r="A252" s="89" t="n">
        <v>43077</v>
      </c>
      <c r="B252" s="90" t="n">
        <v>109.09</v>
      </c>
      <c r="C252" s="91" t="n">
        <f aca="false">B252/B251-1</f>
        <v>-0.00064126053499447</v>
      </c>
      <c r="G252" s="93" t="n">
        <v>43067</v>
      </c>
      <c r="H252" s="94" t="n">
        <v>323.91</v>
      </c>
      <c r="I252" s="95" t="n">
        <f aca="false">H252/H251-1</f>
        <v>-0.00350715274573143</v>
      </c>
      <c r="J252" s="88"/>
      <c r="K252" s="88"/>
    </row>
    <row r="253" customFormat="false" ht="18" hidden="false" customHeight="false" outlineLevel="0" collapsed="false">
      <c r="A253" s="89" t="n">
        <v>43078</v>
      </c>
      <c r="B253" s="90" t="n">
        <v>109.11</v>
      </c>
      <c r="C253" s="91" t="n">
        <f aca="false">B253/B252-1</f>
        <v>0.000183334861123763</v>
      </c>
      <c r="G253" s="93" t="n">
        <v>43068</v>
      </c>
      <c r="H253" s="94" t="n">
        <v>322.84</v>
      </c>
      <c r="I253" s="95" t="n">
        <f aca="false">H253/H252-1</f>
        <v>-0.00330338674323127</v>
      </c>
      <c r="J253" s="88"/>
      <c r="K253" s="88"/>
    </row>
    <row r="254" customFormat="false" ht="18" hidden="false" customHeight="false" outlineLevel="0" collapsed="false">
      <c r="A254" s="89" t="n">
        <v>43081</v>
      </c>
      <c r="B254" s="90" t="n">
        <v>109.56</v>
      </c>
      <c r="C254" s="91" t="n">
        <f aca="false">B254/B253-1</f>
        <v>0.00412427825130601</v>
      </c>
      <c r="G254" s="93" t="n">
        <v>43069</v>
      </c>
      <c r="H254" s="94" t="n">
        <v>324.96</v>
      </c>
      <c r="I254" s="95" t="n">
        <f aca="false">H254/H253-1</f>
        <v>0.00656672035683314</v>
      </c>
      <c r="J254" s="88"/>
      <c r="K254" s="88"/>
    </row>
    <row r="255" customFormat="false" ht="18" hidden="false" customHeight="false" outlineLevel="0" collapsed="false">
      <c r="A255" s="89" t="n">
        <v>43082</v>
      </c>
      <c r="B255" s="90" t="n">
        <v>109.28</v>
      </c>
      <c r="C255" s="91" t="n">
        <f aca="false">B255/B254-1</f>
        <v>-0.00255567725447248</v>
      </c>
      <c r="G255" s="93" t="n">
        <v>43070</v>
      </c>
      <c r="H255" s="94" t="n">
        <v>326.52</v>
      </c>
      <c r="I255" s="95" t="n">
        <f aca="false">H255/H254-1</f>
        <v>0.00480059084194973</v>
      </c>
      <c r="J255" s="88"/>
      <c r="K255" s="88"/>
    </row>
    <row r="256" customFormat="false" ht="18" hidden="false" customHeight="false" outlineLevel="0" collapsed="false">
      <c r="A256" s="89" t="n">
        <v>43083</v>
      </c>
      <c r="B256" s="90" t="n">
        <v>108.93</v>
      </c>
      <c r="C256" s="91" t="n">
        <f aca="false">B256/B255-1</f>
        <v>-0.00320278184480227</v>
      </c>
      <c r="G256" s="93" t="n">
        <v>43071</v>
      </c>
      <c r="H256" s="94" t="n">
        <v>323.44</v>
      </c>
      <c r="I256" s="95" t="n">
        <f aca="false">H256/H255-1</f>
        <v>-0.00943280656621337</v>
      </c>
      <c r="J256" s="88"/>
      <c r="K256" s="88"/>
    </row>
    <row r="257" customFormat="false" ht="18" hidden="false" customHeight="false" outlineLevel="0" collapsed="false">
      <c r="A257" s="89" t="n">
        <v>43084</v>
      </c>
      <c r="B257" s="90" t="n">
        <v>108.67</v>
      </c>
      <c r="C257" s="91" t="n">
        <f aca="false">B257/B256-1</f>
        <v>-0.00238685394289917</v>
      </c>
      <c r="G257" s="93" t="n">
        <v>43074</v>
      </c>
      <c r="H257" s="94" t="n">
        <v>322.01</v>
      </c>
      <c r="I257" s="95" t="n">
        <f aca="false">H257/H256-1</f>
        <v>-0.00442122186495175</v>
      </c>
      <c r="J257" s="88"/>
      <c r="K257" s="88"/>
    </row>
    <row r="258" customFormat="false" ht="18" hidden="false" customHeight="false" outlineLevel="0" collapsed="false">
      <c r="A258" s="89" t="n">
        <v>43085</v>
      </c>
      <c r="B258" s="90" t="n">
        <v>108.48</v>
      </c>
      <c r="C258" s="91" t="n">
        <f aca="false">B258/B257-1</f>
        <v>-0.00174841262537961</v>
      </c>
      <c r="G258" s="93" t="n">
        <v>43075</v>
      </c>
      <c r="H258" s="94" t="n">
        <v>326.63</v>
      </c>
      <c r="I258" s="95" t="n">
        <f aca="false">H258/H257-1</f>
        <v>0.0143473805161332</v>
      </c>
      <c r="J258" s="88"/>
      <c r="K258" s="88"/>
    </row>
    <row r="259" customFormat="false" ht="18" hidden="false" customHeight="false" outlineLevel="0" collapsed="false">
      <c r="A259" s="89" t="n">
        <v>43088</v>
      </c>
      <c r="B259" s="90" t="n">
        <v>107.9</v>
      </c>
      <c r="C259" s="91" t="n">
        <f aca="false">B259/B258-1</f>
        <v>-0.00534660766961648</v>
      </c>
      <c r="G259" s="93" t="n">
        <v>43076</v>
      </c>
      <c r="H259" s="94" t="n">
        <v>328.96</v>
      </c>
      <c r="I259" s="95" t="n">
        <f aca="false">H259/H258-1</f>
        <v>0.00713345375501318</v>
      </c>
      <c r="J259" s="88"/>
      <c r="K259" s="88"/>
    </row>
    <row r="260" customFormat="false" ht="18" hidden="false" customHeight="false" outlineLevel="0" collapsed="false">
      <c r="A260" s="89" t="n">
        <v>43089</v>
      </c>
      <c r="B260" s="90" t="n">
        <v>108.22</v>
      </c>
      <c r="C260" s="91" t="n">
        <f aca="false">B260/B259-1</f>
        <v>0.00296570898980542</v>
      </c>
      <c r="G260" s="93" t="n">
        <v>43077</v>
      </c>
      <c r="H260" s="94" t="n">
        <v>329.87</v>
      </c>
      <c r="I260" s="95" t="n">
        <f aca="false">H260/H259-1</f>
        <v>0.00276629377431914</v>
      </c>
      <c r="J260" s="88"/>
      <c r="K260" s="88"/>
    </row>
    <row r="261" customFormat="false" ht="18" hidden="false" customHeight="false" outlineLevel="0" collapsed="false">
      <c r="A261" s="89" t="n">
        <v>43090</v>
      </c>
      <c r="B261" s="90" t="n">
        <v>108.34</v>
      </c>
      <c r="C261" s="91" t="n">
        <f aca="false">B261/B260-1</f>
        <v>0.00110885233783042</v>
      </c>
      <c r="G261" s="93" t="n">
        <v>43078</v>
      </c>
      <c r="H261" s="94" t="n">
        <v>328.36</v>
      </c>
      <c r="I261" s="95" t="n">
        <f aca="false">H261/H260-1</f>
        <v>-0.00457756085730743</v>
      </c>
      <c r="J261" s="88"/>
      <c r="K261" s="88"/>
    </row>
    <row r="262" customFormat="false" ht="18" hidden="false" customHeight="false" outlineLevel="0" collapsed="false">
      <c r="A262" s="89" t="n">
        <v>43091</v>
      </c>
      <c r="B262" s="90" t="n">
        <v>108.5</v>
      </c>
      <c r="C262" s="91" t="n">
        <f aca="false">B262/B261-1</f>
        <v>0.00147683219494188</v>
      </c>
      <c r="G262" s="93" t="n">
        <v>43081</v>
      </c>
      <c r="H262" s="94" t="n">
        <v>326.16</v>
      </c>
      <c r="I262" s="95" t="n">
        <f aca="false">H262/H261-1</f>
        <v>-0.00669996345474477</v>
      </c>
      <c r="J262" s="88"/>
      <c r="K262" s="88"/>
    </row>
    <row r="263" customFormat="false" ht="18" hidden="false" customHeight="false" outlineLevel="0" collapsed="false">
      <c r="A263" s="89" t="n">
        <v>43095</v>
      </c>
      <c r="B263" s="90" t="n">
        <v>108.9</v>
      </c>
      <c r="C263" s="91" t="n">
        <f aca="false">B263/B262-1</f>
        <v>0.00368663594470053</v>
      </c>
      <c r="G263" s="93" t="n">
        <v>43082</v>
      </c>
      <c r="H263" s="94" t="n">
        <v>324.17</v>
      </c>
      <c r="I263" s="95" t="n">
        <f aca="false">H263/H262-1</f>
        <v>-0.00610129997547215</v>
      </c>
      <c r="J263" s="88"/>
      <c r="K263" s="88"/>
    </row>
    <row r="264" customFormat="false" ht="18" hidden="false" customHeight="false" outlineLevel="0" collapsed="false">
      <c r="A264" s="89" t="n">
        <v>43096</v>
      </c>
      <c r="B264" s="90" t="n">
        <v>108.8</v>
      </c>
      <c r="C264" s="91" t="n">
        <f aca="false">B264/B263-1</f>
        <v>-0.000918273645546419</v>
      </c>
      <c r="G264" s="93" t="n">
        <v>43083</v>
      </c>
      <c r="H264" s="94" t="n">
        <v>321.59</v>
      </c>
      <c r="I264" s="95" t="n">
        <f aca="false">H264/H263-1</f>
        <v>-0.00795878705617437</v>
      </c>
      <c r="J264" s="88"/>
      <c r="K264" s="88"/>
    </row>
    <row r="265" customFormat="false" ht="18" hidden="false" customHeight="false" outlineLevel="0" collapsed="false">
      <c r="A265" s="89" t="n">
        <v>43097</v>
      </c>
      <c r="B265" s="90" t="n">
        <v>108.69</v>
      </c>
      <c r="C265" s="91" t="n">
        <f aca="false">B265/B264-1</f>
        <v>-0.00101102941176467</v>
      </c>
      <c r="G265" s="93" t="n">
        <v>43084</v>
      </c>
      <c r="H265" s="94" t="n">
        <v>323.85</v>
      </c>
      <c r="I265" s="95" t="n">
        <f aca="false">H265/H264-1</f>
        <v>0.00702758170341133</v>
      </c>
      <c r="J265" s="88"/>
      <c r="K265" s="88"/>
    </row>
    <row r="266" customFormat="false" ht="18" hidden="false" customHeight="false" outlineLevel="0" collapsed="false">
      <c r="A266" s="89" t="n">
        <v>43098</v>
      </c>
      <c r="B266" s="90" t="n">
        <v>109.2</v>
      </c>
      <c r="C266" s="91" t="n">
        <f aca="false">B266/B265-1</f>
        <v>0.00469224399668788</v>
      </c>
      <c r="G266" s="93" t="n">
        <v>43085</v>
      </c>
      <c r="H266" s="94" t="n">
        <v>321.5</v>
      </c>
      <c r="I266" s="95" t="n">
        <f aca="false">H266/H265-1</f>
        <v>-0.00725644588544083</v>
      </c>
      <c r="J266" s="88"/>
      <c r="K266" s="88"/>
    </row>
    <row r="267" customFormat="false" ht="18" hidden="false" customHeight="false" outlineLevel="0" collapsed="false">
      <c r="A267" s="89" t="n">
        <v>43099</v>
      </c>
      <c r="B267" s="90" t="n">
        <v>109.06</v>
      </c>
      <c r="C267" s="91" t="n">
        <f aca="false">B267/B266-1</f>
        <v>-0.00128205128205128</v>
      </c>
      <c r="G267" s="93" t="n">
        <v>43088</v>
      </c>
      <c r="H267" s="94" t="n">
        <v>314.64</v>
      </c>
      <c r="I267" s="95" t="n">
        <f aca="false">H267/H266-1</f>
        <v>-0.0213374805598756</v>
      </c>
      <c r="J267" s="88"/>
      <c r="K267" s="88"/>
    </row>
    <row r="268" customFormat="false" ht="18" hidden="false" customHeight="false" outlineLevel="0" collapsed="false">
      <c r="A268" s="89" t="n">
        <v>43102</v>
      </c>
      <c r="B268" s="90" t="n">
        <v>107.98</v>
      </c>
      <c r="C268" s="91" t="n">
        <f aca="false">B268/B267-1</f>
        <v>-0.00990280579497527</v>
      </c>
      <c r="G268" s="93" t="n">
        <v>43089</v>
      </c>
      <c r="H268" s="94" t="n">
        <v>319.6</v>
      </c>
      <c r="I268" s="95" t="n">
        <f aca="false">H268/H267-1</f>
        <v>0.0157640478006611</v>
      </c>
      <c r="J268" s="88"/>
      <c r="K268" s="88"/>
    </row>
    <row r="269" customFormat="false" ht="18" hidden="false" customHeight="false" outlineLevel="0" collapsed="false">
      <c r="A269" s="89" t="n">
        <v>43103</v>
      </c>
      <c r="B269" s="90" t="n">
        <v>107.92</v>
      </c>
      <c r="C269" s="91" t="n">
        <f aca="false">B269/B268-1</f>
        <v>-0.000555658455269503</v>
      </c>
      <c r="G269" s="93" t="n">
        <v>43090</v>
      </c>
      <c r="H269" s="94" t="n">
        <v>320.72</v>
      </c>
      <c r="I269" s="95" t="n">
        <f aca="false">H269/H268-1</f>
        <v>0.00350438047559454</v>
      </c>
      <c r="J269" s="88"/>
      <c r="K269" s="88"/>
    </row>
    <row r="270" customFormat="false" ht="18" hidden="false" customHeight="false" outlineLevel="0" collapsed="false">
      <c r="A270" s="89" t="n">
        <v>43104</v>
      </c>
      <c r="B270" s="90" t="n">
        <v>106.89</v>
      </c>
      <c r="C270" s="91" t="n">
        <f aca="false">B270/B269-1</f>
        <v>-0.00954410674573758</v>
      </c>
      <c r="G270" s="93" t="n">
        <v>43091</v>
      </c>
      <c r="H270" s="94" t="n">
        <v>323.51</v>
      </c>
      <c r="I270" s="95" t="n">
        <f aca="false">H270/H269-1</f>
        <v>0.00869917685208277</v>
      </c>
      <c r="J270" s="88"/>
      <c r="K270" s="88"/>
    </row>
    <row r="271" customFormat="false" ht="18" hidden="false" customHeight="false" outlineLevel="0" collapsed="false">
      <c r="A271" s="89" t="n">
        <v>43105</v>
      </c>
      <c r="B271" s="90" t="n">
        <v>106.79</v>
      </c>
      <c r="C271" s="91" t="n">
        <f aca="false">B271/B270-1</f>
        <v>-0.000935541210590252</v>
      </c>
      <c r="G271" s="93" t="n">
        <v>43092</v>
      </c>
      <c r="H271" s="94" t="n">
        <v>323.61</v>
      </c>
      <c r="I271" s="95" t="n">
        <f aca="false">H271/H270-1</f>
        <v>0.000309109455658429</v>
      </c>
      <c r="J271" s="88"/>
      <c r="K271" s="88"/>
    </row>
    <row r="272" customFormat="false" ht="18" hidden="false" customHeight="false" outlineLevel="0" collapsed="false">
      <c r="A272" s="89" t="n">
        <v>43106</v>
      </c>
      <c r="B272" s="90" t="n">
        <v>106.58</v>
      </c>
      <c r="C272" s="91" t="n">
        <f aca="false">B272/B271-1</f>
        <v>-0.00196647626182234</v>
      </c>
      <c r="G272" s="93" t="n">
        <v>43095</v>
      </c>
      <c r="H272" s="94" t="n">
        <v>324.19</v>
      </c>
      <c r="I272" s="95" t="n">
        <f aca="false">H272/H271-1</f>
        <v>0.00179228083186556</v>
      </c>
      <c r="J272" s="88"/>
      <c r="K272" s="88"/>
    </row>
    <row r="273" customFormat="false" ht="18" hidden="false" customHeight="false" outlineLevel="0" collapsed="false">
      <c r="A273" s="89" t="n">
        <v>43109</v>
      </c>
      <c r="B273" s="90" t="n">
        <v>106.22</v>
      </c>
      <c r="C273" s="91" t="n">
        <f aca="false">B273/B272-1</f>
        <v>-0.00337774441733907</v>
      </c>
      <c r="G273" s="93" t="n">
        <v>43096</v>
      </c>
      <c r="H273" s="94" t="n">
        <v>324.95</v>
      </c>
      <c r="I273" s="95" t="n">
        <f aca="false">H273/H272-1</f>
        <v>0.00234430426601673</v>
      </c>
      <c r="J273" s="88"/>
      <c r="K273" s="88"/>
    </row>
    <row r="274" customFormat="false" ht="18" hidden="false" customHeight="false" outlineLevel="0" collapsed="false">
      <c r="A274" s="89" t="n">
        <v>43110</v>
      </c>
      <c r="B274" s="90" t="n">
        <v>106.44</v>
      </c>
      <c r="C274" s="91" t="n">
        <f aca="false">B274/B273-1</f>
        <v>0.00207117303709281</v>
      </c>
      <c r="G274" s="93" t="n">
        <v>43097</v>
      </c>
      <c r="H274" s="94" t="n">
        <v>322.9</v>
      </c>
      <c r="I274" s="95" t="n">
        <f aca="false">H274/H273-1</f>
        <v>-0.00630866287121101</v>
      </c>
      <c r="J274" s="88"/>
      <c r="K274" s="88"/>
    </row>
    <row r="275" customFormat="false" ht="18" hidden="false" customHeight="false" outlineLevel="0" collapsed="false">
      <c r="A275" s="89" t="n">
        <v>43111</v>
      </c>
      <c r="B275" s="90" t="n">
        <v>106.22</v>
      </c>
      <c r="C275" s="91" t="n">
        <f aca="false">B275/B274-1</f>
        <v>-0.0020668921458098</v>
      </c>
      <c r="G275" s="93" t="n">
        <v>43098</v>
      </c>
      <c r="H275" s="94" t="n">
        <v>325.86</v>
      </c>
      <c r="I275" s="95" t="n">
        <f aca="false">H275/H274-1</f>
        <v>0.00916692474450298</v>
      </c>
      <c r="J275" s="88"/>
      <c r="K275" s="88"/>
    </row>
    <row r="276" customFormat="false" ht="18" hidden="false" customHeight="false" outlineLevel="0" collapsed="false">
      <c r="A276" s="89" t="n">
        <v>43112</v>
      </c>
      <c r="B276" s="90" t="n">
        <v>105.86</v>
      </c>
      <c r="C276" s="91" t="n">
        <f aca="false">B276/B275-1</f>
        <v>-0.00338919224251555</v>
      </c>
      <c r="G276" s="93" t="n">
        <v>43099</v>
      </c>
      <c r="H276" s="94" t="n">
        <v>327.39</v>
      </c>
      <c r="I276" s="95" t="n">
        <f aca="false">H276/H275-1</f>
        <v>0.00469526790646291</v>
      </c>
      <c r="J276" s="88"/>
      <c r="K276" s="88"/>
    </row>
    <row r="277" customFormat="false" ht="18" hidden="false" customHeight="false" outlineLevel="0" collapsed="false">
      <c r="A277" s="89" t="n">
        <v>43113</v>
      </c>
      <c r="B277" s="90" t="n">
        <v>104.93</v>
      </c>
      <c r="C277" s="91" t="n">
        <f aca="false">B277/B276-1</f>
        <v>-0.00878518798412986</v>
      </c>
      <c r="G277" s="93" t="n">
        <v>43102</v>
      </c>
      <c r="H277" s="94" t="n">
        <v>328.07</v>
      </c>
      <c r="I277" s="95" t="n">
        <f aca="false">H277/H276-1</f>
        <v>0.0020770335074376</v>
      </c>
      <c r="J277" s="88"/>
      <c r="K277" s="88"/>
    </row>
    <row r="278" customFormat="false" ht="18" hidden="false" customHeight="false" outlineLevel="0" collapsed="false">
      <c r="A278" s="89" t="n">
        <v>43117</v>
      </c>
      <c r="B278" s="90" t="n">
        <v>103.96</v>
      </c>
      <c r="C278" s="91" t="n">
        <f aca="false">B278/B277-1</f>
        <v>-0.00924425807681328</v>
      </c>
      <c r="G278" s="93" t="n">
        <v>43103</v>
      </c>
      <c r="H278" s="94" t="n">
        <v>327.93</v>
      </c>
      <c r="I278" s="95" t="n">
        <f aca="false">H278/H277-1</f>
        <v>-0.000426738196116605</v>
      </c>
      <c r="J278" s="88"/>
      <c r="K278" s="88"/>
    </row>
    <row r="279" customFormat="false" ht="18" hidden="false" customHeight="false" outlineLevel="0" collapsed="false">
      <c r="A279" s="89" t="n">
        <v>43118</v>
      </c>
      <c r="B279" s="90" t="n">
        <v>104.66</v>
      </c>
      <c r="C279" s="91" t="n">
        <f aca="false">B279/B278-1</f>
        <v>0.00673335898422467</v>
      </c>
      <c r="G279" s="93" t="n">
        <v>43104</v>
      </c>
      <c r="H279" s="94" t="n">
        <v>325.46</v>
      </c>
      <c r="I279" s="95" t="n">
        <f aca="false">H279/H278-1</f>
        <v>-0.00753209526423326</v>
      </c>
      <c r="J279" s="88"/>
      <c r="K279" s="88"/>
    </row>
    <row r="280" customFormat="false" ht="18" hidden="false" customHeight="false" outlineLevel="0" collapsed="false">
      <c r="A280" s="89" t="n">
        <v>43119</v>
      </c>
      <c r="B280" s="90" t="n">
        <v>105.03</v>
      </c>
      <c r="C280" s="91" t="n">
        <f aca="false">B280/B279-1</f>
        <v>0.00353525702274027</v>
      </c>
      <c r="G280" s="93" t="n">
        <v>43105</v>
      </c>
      <c r="H280" s="94" t="n">
        <v>324.43</v>
      </c>
      <c r="I280" s="95" t="n">
        <f aca="false">H280/H279-1</f>
        <v>-0.00316475142874695</v>
      </c>
      <c r="J280" s="88"/>
      <c r="K280" s="88"/>
    </row>
    <row r="281" customFormat="false" ht="18" hidden="false" customHeight="false" outlineLevel="0" collapsed="false">
      <c r="A281" s="89" t="n">
        <v>43120</v>
      </c>
      <c r="B281" s="90" t="n">
        <v>105.59</v>
      </c>
      <c r="C281" s="91" t="n">
        <f aca="false">B281/B280-1</f>
        <v>0.00533180995905935</v>
      </c>
      <c r="G281" s="93" t="n">
        <v>43106</v>
      </c>
      <c r="H281" s="94" t="n">
        <v>325.81</v>
      </c>
      <c r="I281" s="95" t="n">
        <f aca="false">H281/H280-1</f>
        <v>0.00425361403076163</v>
      </c>
      <c r="J281" s="88"/>
      <c r="K281" s="88"/>
    </row>
    <row r="282" customFormat="false" ht="18" hidden="false" customHeight="false" outlineLevel="0" collapsed="false">
      <c r="A282" s="89" t="n">
        <v>43123</v>
      </c>
      <c r="B282" s="90" t="n">
        <v>104.88</v>
      </c>
      <c r="C282" s="91" t="n">
        <f aca="false">B282/B281-1</f>
        <v>-0.00672412160242453</v>
      </c>
      <c r="G282" s="93" t="n">
        <v>43109</v>
      </c>
      <c r="H282" s="94" t="n">
        <v>328.12</v>
      </c>
      <c r="I282" s="95" t="n">
        <f aca="false">H282/H281-1</f>
        <v>0.00709002179184193</v>
      </c>
      <c r="J282" s="88"/>
      <c r="K282" s="88"/>
    </row>
    <row r="283" customFormat="false" ht="18" hidden="false" customHeight="false" outlineLevel="0" collapsed="false">
      <c r="A283" s="89" t="n">
        <v>43124</v>
      </c>
      <c r="B283" s="90" t="n">
        <v>105.04</v>
      </c>
      <c r="C283" s="91" t="n">
        <f aca="false">B283/B282-1</f>
        <v>0.0015255530129672</v>
      </c>
      <c r="G283" s="93" t="n">
        <v>43110</v>
      </c>
      <c r="H283" s="94" t="n">
        <v>330.92</v>
      </c>
      <c r="I283" s="95" t="n">
        <f aca="false">H283/H282-1</f>
        <v>0.00853346336706085</v>
      </c>
      <c r="J283" s="88"/>
      <c r="K283" s="88"/>
    </row>
    <row r="284" customFormat="false" ht="18" hidden="false" customHeight="false" outlineLevel="0" collapsed="false">
      <c r="A284" s="89" t="n">
        <v>43125</v>
      </c>
      <c r="B284" s="90" t="n">
        <v>104.49</v>
      </c>
      <c r="C284" s="91" t="n">
        <f aca="false">B284/B283-1</f>
        <v>-0.00523610053313039</v>
      </c>
      <c r="G284" s="93" t="n">
        <v>43111</v>
      </c>
      <c r="H284" s="94" t="n">
        <v>336.3</v>
      </c>
      <c r="I284" s="95" t="n">
        <f aca="false">H284/H283-1</f>
        <v>0.0162577057899189</v>
      </c>
      <c r="J284" s="88"/>
      <c r="K284" s="88"/>
    </row>
    <row r="285" customFormat="false" ht="18" hidden="false" customHeight="false" outlineLevel="0" collapsed="false">
      <c r="A285" s="89" t="n">
        <v>43126</v>
      </c>
      <c r="B285" s="90" t="n">
        <v>105.08</v>
      </c>
      <c r="C285" s="91" t="n">
        <f aca="false">B285/B284-1</f>
        <v>0.00564647334673185</v>
      </c>
      <c r="G285" s="93" t="n">
        <v>43112</v>
      </c>
      <c r="H285" s="94" t="n">
        <v>334.62</v>
      </c>
      <c r="I285" s="95" t="n">
        <f aca="false">H285/H284-1</f>
        <v>-0.00499553969669941</v>
      </c>
      <c r="J285" s="88"/>
      <c r="K285" s="88"/>
    </row>
    <row r="286" customFormat="false" ht="18" hidden="false" customHeight="false" outlineLevel="0" collapsed="false">
      <c r="A286" s="89" t="n">
        <v>43127</v>
      </c>
      <c r="B286" s="90" t="n">
        <v>105.41</v>
      </c>
      <c r="C286" s="91" t="n">
        <f aca="false">B286/B285-1</f>
        <v>0.00314046440806992</v>
      </c>
      <c r="G286" s="93" t="n">
        <v>43113</v>
      </c>
      <c r="H286" s="94" t="n">
        <v>333.92</v>
      </c>
      <c r="I286" s="95" t="n">
        <f aca="false">H286/H285-1</f>
        <v>-0.00209192516884826</v>
      </c>
      <c r="J286" s="88"/>
      <c r="K286" s="88"/>
    </row>
    <row r="287" customFormat="false" ht="18" hidden="false" customHeight="false" outlineLevel="0" collapsed="false">
      <c r="A287" s="89" t="n">
        <v>43130</v>
      </c>
      <c r="B287" s="90" t="n">
        <v>105.38</v>
      </c>
      <c r="C287" s="91" t="n">
        <f aca="false">B287/B286-1</f>
        <v>-0.000284602978844473</v>
      </c>
      <c r="G287" s="93" t="n">
        <v>43116</v>
      </c>
      <c r="H287" s="94" t="n">
        <v>334.06</v>
      </c>
      <c r="I287" s="95" t="n">
        <f aca="false">H287/H286-1</f>
        <v>0.000419262098706241</v>
      </c>
      <c r="J287" s="88"/>
      <c r="K287" s="88"/>
    </row>
    <row r="288" customFormat="false" ht="18" hidden="false" customHeight="false" outlineLevel="0" collapsed="false">
      <c r="A288" s="89" t="n">
        <v>43131</v>
      </c>
      <c r="B288" s="90" t="n">
        <v>105.28</v>
      </c>
      <c r="C288" s="91" t="n">
        <f aca="false">B288/B287-1</f>
        <v>-0.000948946669197093</v>
      </c>
      <c r="G288" s="93" t="n">
        <v>43117</v>
      </c>
      <c r="H288" s="94" t="n">
        <v>330.6</v>
      </c>
      <c r="I288" s="95" t="n">
        <f aca="false">H288/H287-1</f>
        <v>-0.0103574208226067</v>
      </c>
      <c r="J288" s="88"/>
      <c r="K288" s="88"/>
    </row>
    <row r="289" customFormat="false" ht="18" hidden="false" customHeight="false" outlineLevel="0" collapsed="false">
      <c r="A289" s="89" t="n">
        <v>43132</v>
      </c>
      <c r="B289" s="90" t="n">
        <v>105.76</v>
      </c>
      <c r="C289" s="91" t="n">
        <f aca="false">B289/B288-1</f>
        <v>0.00455927051671745</v>
      </c>
      <c r="G289" s="93" t="n">
        <v>43118</v>
      </c>
      <c r="H289" s="94" t="n">
        <v>330.67</v>
      </c>
      <c r="I289" s="95" t="n">
        <f aca="false">H289/H288-1</f>
        <v>0.000211736237144544</v>
      </c>
      <c r="J289" s="88"/>
      <c r="K289" s="88"/>
    </row>
    <row r="290" customFormat="false" ht="18" hidden="false" customHeight="false" outlineLevel="0" collapsed="false">
      <c r="A290" s="89" t="n">
        <v>43133</v>
      </c>
      <c r="B290" s="90" t="n">
        <v>104.85</v>
      </c>
      <c r="C290" s="91" t="n">
        <f aca="false">B290/B289-1</f>
        <v>-0.00860438729198198</v>
      </c>
      <c r="G290" s="93" t="n">
        <v>43119</v>
      </c>
      <c r="H290" s="94" t="n">
        <v>334.27</v>
      </c>
      <c r="I290" s="95" t="n">
        <f aca="false">H290/H289-1</f>
        <v>0.0108869870263404</v>
      </c>
      <c r="J290" s="88"/>
      <c r="K290" s="88"/>
    </row>
    <row r="291" customFormat="false" ht="18" hidden="false" customHeight="false" outlineLevel="0" collapsed="false">
      <c r="A291" s="89" t="n">
        <v>43134</v>
      </c>
      <c r="B291" s="90" t="n">
        <v>104.35</v>
      </c>
      <c r="C291" s="91" t="n">
        <f aca="false">B291/B290-1</f>
        <v>-0.00476871721506911</v>
      </c>
      <c r="G291" s="93" t="n">
        <v>43120</v>
      </c>
      <c r="H291" s="94" t="n">
        <v>330.67</v>
      </c>
      <c r="I291" s="95" t="n">
        <f aca="false">H291/H290-1</f>
        <v>-0.0107697370389205</v>
      </c>
      <c r="J291" s="88"/>
      <c r="K291" s="88"/>
    </row>
    <row r="292" customFormat="false" ht="18" hidden="false" customHeight="false" outlineLevel="0" collapsed="false">
      <c r="A292" s="89" t="n">
        <v>43137</v>
      </c>
      <c r="B292" s="90" t="n">
        <v>104.23</v>
      </c>
      <c r="C292" s="91" t="n">
        <f aca="false">B292/B291-1</f>
        <v>-0.00114997604216571</v>
      </c>
      <c r="G292" s="93" t="n">
        <v>43123</v>
      </c>
      <c r="H292" s="94" t="n">
        <v>325.07</v>
      </c>
      <c r="I292" s="95" t="n">
        <f aca="false">H292/H291-1</f>
        <v>-0.0169353131520852</v>
      </c>
      <c r="J292" s="88"/>
      <c r="K292" s="88"/>
    </row>
    <row r="293" customFormat="false" ht="18" hidden="false" customHeight="false" outlineLevel="0" collapsed="false">
      <c r="A293" s="89" t="n">
        <v>43138</v>
      </c>
      <c r="B293" s="90" t="n">
        <v>103.96</v>
      </c>
      <c r="C293" s="91" t="n">
        <f aca="false">B293/B292-1</f>
        <v>-0.00259042502158702</v>
      </c>
      <c r="G293" s="93" t="n">
        <v>43124</v>
      </c>
      <c r="H293" s="94" t="n">
        <v>322.73</v>
      </c>
      <c r="I293" s="95" t="n">
        <f aca="false">H293/H292-1</f>
        <v>-0.00719844956470905</v>
      </c>
      <c r="J293" s="88"/>
      <c r="K293" s="88"/>
    </row>
    <row r="294" customFormat="false" ht="18" hidden="false" customHeight="false" outlineLevel="0" collapsed="false">
      <c r="A294" s="89" t="n">
        <v>43139</v>
      </c>
      <c r="B294" s="90" t="n">
        <v>104.33</v>
      </c>
      <c r="C294" s="91" t="n">
        <f aca="false">B294/B293-1</f>
        <v>0.00355906117737592</v>
      </c>
      <c r="G294" s="93" t="n">
        <v>43125</v>
      </c>
      <c r="H294" s="94" t="n">
        <v>322.88</v>
      </c>
      <c r="I294" s="95" t="n">
        <f aca="false">H294/H293-1</f>
        <v>0.000464784804635299</v>
      </c>
      <c r="J294" s="88"/>
      <c r="K294" s="88"/>
    </row>
    <row r="295" customFormat="false" ht="18" hidden="false" customHeight="false" outlineLevel="0" collapsed="false">
      <c r="A295" s="89" t="n">
        <v>43140</v>
      </c>
      <c r="B295" s="90" t="n">
        <v>102.96</v>
      </c>
      <c r="C295" s="91" t="n">
        <f aca="false">B295/B294-1</f>
        <v>-0.0131314099491997</v>
      </c>
      <c r="G295" s="93" t="n">
        <v>43126</v>
      </c>
      <c r="H295" s="94" t="n">
        <v>319.26</v>
      </c>
      <c r="I295" s="95" t="n">
        <f aca="false">H295/H294-1</f>
        <v>-0.0112115956392468</v>
      </c>
      <c r="J295" s="88"/>
      <c r="K295" s="88"/>
    </row>
    <row r="296" customFormat="false" ht="18" hidden="false" customHeight="false" outlineLevel="0" collapsed="false">
      <c r="A296" s="89" t="n">
        <v>43141</v>
      </c>
      <c r="B296" s="90" t="n">
        <v>102.36</v>
      </c>
      <c r="C296" s="91" t="n">
        <f aca="false">B296/B295-1</f>
        <v>-0.0058275058275058</v>
      </c>
      <c r="G296" s="93" t="n">
        <v>43127</v>
      </c>
      <c r="H296" s="94" t="n">
        <v>318.61</v>
      </c>
      <c r="I296" s="95" t="n">
        <f aca="false">H296/H295-1</f>
        <v>-0.00203595815322932</v>
      </c>
      <c r="J296" s="88"/>
      <c r="K296" s="88"/>
    </row>
    <row r="297" customFormat="false" ht="18" hidden="false" customHeight="false" outlineLevel="0" collapsed="false">
      <c r="A297" s="89" t="n">
        <v>43144</v>
      </c>
      <c r="B297" s="90" t="n">
        <v>102.75</v>
      </c>
      <c r="C297" s="91" t="n">
        <f aca="false">B297/B296-1</f>
        <v>0.00381008206330602</v>
      </c>
      <c r="G297" s="93" t="n">
        <v>43130</v>
      </c>
      <c r="H297" s="94" t="n">
        <v>324.16</v>
      </c>
      <c r="I297" s="95" t="n">
        <f aca="false">H297/H296-1</f>
        <v>0.0174194155864538</v>
      </c>
      <c r="J297" s="88"/>
      <c r="K297" s="88"/>
    </row>
    <row r="298" customFormat="false" ht="18" hidden="false" customHeight="false" outlineLevel="0" collapsed="false">
      <c r="A298" s="89" t="n">
        <v>43145</v>
      </c>
      <c r="B298" s="90" t="n">
        <v>103.14</v>
      </c>
      <c r="C298" s="91" t="n">
        <f aca="false">B298/B297-1</f>
        <v>0.00379562043795612</v>
      </c>
      <c r="G298" s="93" t="n">
        <v>43131</v>
      </c>
      <c r="H298" s="94" t="n">
        <v>325.96</v>
      </c>
      <c r="I298" s="95" t="n">
        <f aca="false">H298/H297-1</f>
        <v>0.00555281342546876</v>
      </c>
      <c r="J298" s="88"/>
      <c r="K298" s="88"/>
    </row>
    <row r="299" customFormat="false" ht="18" hidden="false" customHeight="false" outlineLevel="0" collapsed="false">
      <c r="A299" s="89" t="n">
        <v>43146</v>
      </c>
      <c r="B299" s="90" t="n">
        <v>103.44</v>
      </c>
      <c r="C299" s="91" t="n">
        <f aca="false">B299/B298-1</f>
        <v>0.00290866783013377</v>
      </c>
      <c r="G299" s="93" t="n">
        <v>43132</v>
      </c>
      <c r="H299" s="94" t="n">
        <v>325.51</v>
      </c>
      <c r="I299" s="95" t="n">
        <f aca="false">H299/H298-1</f>
        <v>-0.00138053748926248</v>
      </c>
      <c r="J299" s="88"/>
      <c r="K299" s="88"/>
    </row>
    <row r="300" customFormat="false" ht="18" hidden="false" customHeight="false" outlineLevel="0" collapsed="false">
      <c r="A300" s="89" t="n">
        <v>43147</v>
      </c>
      <c r="B300" s="90" t="n">
        <v>102.96</v>
      </c>
      <c r="C300" s="91" t="n">
        <f aca="false">B300/B299-1</f>
        <v>-0.0046403712296984</v>
      </c>
      <c r="G300" s="93" t="n">
        <v>43133</v>
      </c>
      <c r="H300" s="94" t="n">
        <v>324.19</v>
      </c>
      <c r="I300" s="95" t="n">
        <f aca="false">H300/H299-1</f>
        <v>-0.00405517495622254</v>
      </c>
      <c r="J300" s="88"/>
      <c r="K300" s="88"/>
    </row>
    <row r="301" customFormat="false" ht="18" hidden="false" customHeight="false" outlineLevel="0" collapsed="false">
      <c r="A301" s="89" t="n">
        <v>43148</v>
      </c>
      <c r="B301" s="90" t="n">
        <v>103</v>
      </c>
      <c r="C301" s="91" t="n">
        <f aca="false">B301/B300-1</f>
        <v>0.000388500388500468</v>
      </c>
      <c r="G301" s="93" t="n">
        <v>43134</v>
      </c>
      <c r="H301" s="94" t="n">
        <v>325.6</v>
      </c>
      <c r="I301" s="95" t="n">
        <f aca="false">H301/H300-1</f>
        <v>0.0043493013356366</v>
      </c>
      <c r="J301" s="88"/>
      <c r="K301" s="88"/>
    </row>
    <row r="302" customFormat="false" ht="18" hidden="false" customHeight="false" outlineLevel="0" collapsed="false">
      <c r="A302" s="89" t="n">
        <v>43152</v>
      </c>
      <c r="B302" s="90" t="n">
        <v>101.7</v>
      </c>
      <c r="C302" s="91" t="n">
        <f aca="false">B302/B301-1</f>
        <v>-0.012621359223301</v>
      </c>
      <c r="G302" s="93" t="n">
        <v>43137</v>
      </c>
      <c r="H302" s="94" t="n">
        <v>325.87</v>
      </c>
      <c r="I302" s="95" t="n">
        <f aca="false">H302/H301-1</f>
        <v>0.000829238329238313</v>
      </c>
      <c r="J302" s="88"/>
      <c r="K302" s="88"/>
    </row>
    <row r="303" customFormat="false" ht="18" hidden="false" customHeight="false" outlineLevel="0" collapsed="false">
      <c r="A303" s="89" t="n">
        <v>43153</v>
      </c>
      <c r="B303" s="90" t="n">
        <v>99.99</v>
      </c>
      <c r="C303" s="91" t="n">
        <f aca="false">B303/B302-1</f>
        <v>-0.0168141592920354</v>
      </c>
      <c r="G303" s="93" t="n">
        <v>43138</v>
      </c>
      <c r="H303" s="94" t="n">
        <v>327.07</v>
      </c>
      <c r="I303" s="95" t="n">
        <f aca="false">H303/H302-1</f>
        <v>0.00368245005677115</v>
      </c>
      <c r="J303" s="88"/>
      <c r="K303" s="88"/>
    </row>
    <row r="304" customFormat="false" ht="18" hidden="false" customHeight="false" outlineLevel="0" collapsed="false">
      <c r="A304" s="89" t="n">
        <v>43154</v>
      </c>
      <c r="B304" s="90" t="n">
        <v>98.98</v>
      </c>
      <c r="C304" s="91" t="n">
        <f aca="false">B304/B303-1</f>
        <v>-0.0101010101010101</v>
      </c>
      <c r="G304" s="93" t="n">
        <v>43139</v>
      </c>
      <c r="H304" s="94" t="n">
        <v>331.92</v>
      </c>
      <c r="I304" s="95" t="n">
        <f aca="false">H304/H303-1</f>
        <v>0.0148286299568901</v>
      </c>
      <c r="J304" s="88"/>
      <c r="K304" s="88"/>
    </row>
    <row r="305" customFormat="false" ht="18" hidden="false" customHeight="false" outlineLevel="0" collapsed="false">
      <c r="A305" s="89" t="n">
        <v>43155</v>
      </c>
      <c r="B305" s="90" t="n">
        <v>100.17</v>
      </c>
      <c r="C305" s="91" t="n">
        <f aca="false">B305/B304-1</f>
        <v>0.0120226308345119</v>
      </c>
      <c r="G305" s="93" t="n">
        <v>43140</v>
      </c>
      <c r="H305" s="94" t="n">
        <v>333.71</v>
      </c>
      <c r="I305" s="95" t="n">
        <f aca="false">H305/H304-1</f>
        <v>0.00539286575078313</v>
      </c>
      <c r="J305" s="88"/>
      <c r="K305" s="88"/>
    </row>
    <row r="306" customFormat="false" ht="18" hidden="false" customHeight="false" outlineLevel="0" collapsed="false">
      <c r="A306" s="89" t="n">
        <v>43158</v>
      </c>
      <c r="B306" s="90" t="n">
        <v>99.2</v>
      </c>
      <c r="C306" s="91" t="n">
        <f aca="false">B306/B305-1</f>
        <v>-0.00968353798542476</v>
      </c>
      <c r="G306" s="93" t="n">
        <v>43141</v>
      </c>
      <c r="H306" s="94" t="n">
        <v>330.42</v>
      </c>
      <c r="I306" s="95" t="n">
        <f aca="false">H306/H305-1</f>
        <v>-0.00985885948877763</v>
      </c>
      <c r="J306" s="88"/>
      <c r="K306" s="88"/>
    </row>
    <row r="307" customFormat="false" ht="18" hidden="false" customHeight="false" outlineLevel="0" collapsed="false">
      <c r="A307" s="89" t="n">
        <v>43159</v>
      </c>
      <c r="B307" s="90" t="n">
        <v>97.32</v>
      </c>
      <c r="C307" s="91" t="n">
        <f aca="false">B307/B306-1</f>
        <v>-0.0189516129032259</v>
      </c>
      <c r="G307" s="93" t="n">
        <v>43144</v>
      </c>
      <c r="H307" s="94" t="n">
        <v>325.08</v>
      </c>
      <c r="I307" s="95" t="n">
        <f aca="false">H307/H306-1</f>
        <v>-0.0161612493190486</v>
      </c>
      <c r="J307" s="88"/>
      <c r="K307" s="88"/>
    </row>
    <row r="308" customFormat="false" ht="18" hidden="false" customHeight="false" outlineLevel="0" collapsed="false">
      <c r="A308" s="89" t="n">
        <v>43160</v>
      </c>
      <c r="B308" s="90" t="n">
        <v>97.11</v>
      </c>
      <c r="C308" s="91" t="n">
        <f aca="false">B308/B307-1</f>
        <v>-0.00215782983970403</v>
      </c>
      <c r="G308" s="93" t="n">
        <v>43145</v>
      </c>
      <c r="H308" s="94" t="n">
        <v>329.02</v>
      </c>
      <c r="I308" s="95" t="n">
        <f aca="false">H308/H307-1</f>
        <v>0.0121200935154424</v>
      </c>
      <c r="J308" s="88"/>
      <c r="K308" s="88"/>
    </row>
    <row r="309" customFormat="false" ht="18" hidden="false" customHeight="false" outlineLevel="0" collapsed="false">
      <c r="A309" s="89" t="n">
        <v>43161</v>
      </c>
      <c r="B309" s="90" t="n">
        <v>96.69</v>
      </c>
      <c r="C309" s="91" t="n">
        <f aca="false">B309/B308-1</f>
        <v>-0.0043249922767995</v>
      </c>
      <c r="G309" s="93" t="n">
        <v>43146</v>
      </c>
      <c r="H309" s="94" t="n">
        <v>332.03</v>
      </c>
      <c r="I309" s="95" t="n">
        <f aca="false">H309/H308-1</f>
        <v>0.0091483800376877</v>
      </c>
      <c r="J309" s="88"/>
      <c r="K309" s="88"/>
    </row>
    <row r="310" customFormat="false" ht="18" hidden="false" customHeight="false" outlineLevel="0" collapsed="false">
      <c r="A310" s="89" t="n">
        <v>43162</v>
      </c>
      <c r="B310" s="90" t="n">
        <v>94.61</v>
      </c>
      <c r="C310" s="91" t="n">
        <f aca="false">B310/B309-1</f>
        <v>-0.021512048815803</v>
      </c>
      <c r="G310" s="93" t="n">
        <v>43147</v>
      </c>
      <c r="H310" s="94" t="n">
        <v>331.18</v>
      </c>
      <c r="I310" s="95" t="n">
        <f aca="false">H310/H309-1</f>
        <v>-0.00256000963768321</v>
      </c>
      <c r="J310" s="88"/>
      <c r="K310" s="88"/>
    </row>
    <row r="311" customFormat="false" ht="18" hidden="false" customHeight="false" outlineLevel="0" collapsed="false">
      <c r="A311" s="89" t="n">
        <v>43165</v>
      </c>
      <c r="B311" s="90" t="n">
        <v>93.87</v>
      </c>
      <c r="C311" s="91" t="n">
        <f aca="false">B311/B310-1</f>
        <v>-0.00782158334214134</v>
      </c>
      <c r="G311" s="93" t="n">
        <v>43148</v>
      </c>
      <c r="H311" s="94" t="n">
        <v>328.52</v>
      </c>
      <c r="I311" s="95" t="n">
        <f aca="false">H311/H310-1</f>
        <v>-0.00803188598345317</v>
      </c>
      <c r="J311" s="88"/>
      <c r="K311" s="88"/>
    </row>
    <row r="312" customFormat="false" ht="18" hidden="false" customHeight="false" outlineLevel="0" collapsed="false">
      <c r="A312" s="89" t="n">
        <v>43166</v>
      </c>
      <c r="B312" s="90" t="n">
        <v>94.69</v>
      </c>
      <c r="C312" s="91" t="n">
        <f aca="false">B312/B311-1</f>
        <v>0.00873548524555234</v>
      </c>
      <c r="G312" s="93" t="n">
        <v>43151</v>
      </c>
      <c r="H312" s="94" t="n">
        <v>325.37</v>
      </c>
      <c r="I312" s="95" t="n">
        <f aca="false">H312/H311-1</f>
        <v>-0.00958845732375491</v>
      </c>
      <c r="J312" s="88"/>
      <c r="K312" s="88"/>
    </row>
    <row r="313" customFormat="false" ht="18" hidden="false" customHeight="false" outlineLevel="0" collapsed="false">
      <c r="A313" s="89" t="n">
        <v>43167</v>
      </c>
      <c r="B313" s="90" t="n">
        <v>95.61</v>
      </c>
      <c r="C313" s="91" t="n">
        <f aca="false">B313/B312-1</f>
        <v>0.00971591509135084</v>
      </c>
      <c r="G313" s="93" t="n">
        <v>43152</v>
      </c>
      <c r="H313" s="94" t="n">
        <v>321.67</v>
      </c>
      <c r="I313" s="95" t="n">
        <f aca="false">H313/H312-1</f>
        <v>-0.0113716691766297</v>
      </c>
      <c r="J313" s="88"/>
      <c r="K313" s="88"/>
    </row>
    <row r="314" customFormat="false" ht="18" hidden="false" customHeight="false" outlineLevel="0" collapsed="false">
      <c r="A314" s="89" t="n">
        <v>43168</v>
      </c>
      <c r="B314" s="90" t="n">
        <v>95.75</v>
      </c>
      <c r="C314" s="91" t="n">
        <f aca="false">B314/B313-1</f>
        <v>0.00146428197887261</v>
      </c>
      <c r="G314" s="93" t="n">
        <v>43153</v>
      </c>
      <c r="H314" s="94" t="n">
        <v>321.9</v>
      </c>
      <c r="I314" s="95" t="n">
        <f aca="false">H314/H313-1</f>
        <v>0.000715018497217557</v>
      </c>
      <c r="J314" s="88"/>
      <c r="K314" s="88"/>
    </row>
    <row r="315" customFormat="false" ht="18" hidden="false" customHeight="false" outlineLevel="0" collapsed="false">
      <c r="A315" s="89" t="n">
        <v>43169</v>
      </c>
      <c r="B315" s="90" t="n">
        <v>95.01</v>
      </c>
      <c r="C315" s="91" t="n">
        <f aca="false">B315/B314-1</f>
        <v>-0.0077284595300261</v>
      </c>
      <c r="G315" s="93" t="n">
        <v>43154</v>
      </c>
      <c r="H315" s="94" t="n">
        <v>308.29</v>
      </c>
      <c r="I315" s="95" t="n">
        <f aca="false">H315/H314-1</f>
        <v>-0.0422802112457283</v>
      </c>
      <c r="J315" s="88"/>
      <c r="K315" s="88"/>
    </row>
    <row r="316" customFormat="false" ht="18" hidden="false" customHeight="false" outlineLevel="0" collapsed="false">
      <c r="A316" s="89" t="n">
        <v>43172</v>
      </c>
      <c r="B316" s="90" t="n">
        <v>94.81</v>
      </c>
      <c r="C316" s="91" t="n">
        <f aca="false">B316/B315-1</f>
        <v>-0.00210504157457114</v>
      </c>
      <c r="G316" s="93" t="n">
        <v>43155</v>
      </c>
      <c r="H316" s="94" t="n">
        <v>313.45</v>
      </c>
      <c r="I316" s="95" t="n">
        <f aca="false">H316/H315-1</f>
        <v>0.0167374874306658</v>
      </c>
      <c r="J316" s="88"/>
      <c r="K316" s="88"/>
    </row>
    <row r="317" customFormat="false" ht="18" hidden="false" customHeight="false" outlineLevel="0" collapsed="false">
      <c r="A317" s="89" t="n">
        <v>43173</v>
      </c>
      <c r="B317" s="90" t="n">
        <v>95.38</v>
      </c>
      <c r="C317" s="91" t="n">
        <f aca="false">B317/B316-1</f>
        <v>0.00601202404809609</v>
      </c>
      <c r="G317" s="93" t="n">
        <v>43158</v>
      </c>
      <c r="H317" s="94" t="n">
        <v>312.85</v>
      </c>
      <c r="I317" s="95" t="n">
        <f aca="false">H317/H316-1</f>
        <v>-0.00191418089009399</v>
      </c>
      <c r="J317" s="88"/>
      <c r="K317" s="88"/>
    </row>
    <row r="318" customFormat="false" ht="18" hidden="false" customHeight="false" outlineLevel="0" collapsed="false">
      <c r="A318" s="89" t="n">
        <v>43174</v>
      </c>
      <c r="B318" s="90" t="n">
        <v>97.33</v>
      </c>
      <c r="C318" s="91" t="n">
        <f aca="false">B318/B317-1</f>
        <v>0.020444537638918</v>
      </c>
      <c r="G318" s="93" t="n">
        <v>43159</v>
      </c>
      <c r="H318" s="94" t="n">
        <v>314.65</v>
      </c>
      <c r="I318" s="95" t="n">
        <f aca="false">H318/H317-1</f>
        <v>0.00575355601726058</v>
      </c>
      <c r="J318" s="88"/>
      <c r="K318" s="88"/>
    </row>
    <row r="319" customFormat="false" ht="18" hidden="false" customHeight="false" outlineLevel="0" collapsed="false">
      <c r="A319" s="89" t="n">
        <v>43175</v>
      </c>
      <c r="B319" s="90" t="n">
        <v>97.95</v>
      </c>
      <c r="C319" s="91" t="n">
        <f aca="false">B319/B318-1</f>
        <v>0.0063700811671632</v>
      </c>
      <c r="G319" s="93" t="n">
        <v>43160</v>
      </c>
      <c r="H319" s="94" t="n">
        <v>312.51</v>
      </c>
      <c r="I319" s="95" t="n">
        <f aca="false">H319/H318-1</f>
        <v>-0.00680120769108528</v>
      </c>
      <c r="J319" s="88"/>
      <c r="K319" s="88"/>
    </row>
    <row r="320" customFormat="false" ht="18" hidden="false" customHeight="false" outlineLevel="0" collapsed="false">
      <c r="A320" s="89" t="n">
        <v>43176</v>
      </c>
      <c r="B320" s="90" t="n">
        <v>97.55</v>
      </c>
      <c r="C320" s="91" t="n">
        <f aca="false">B320/B319-1</f>
        <v>-0.00408371618172543</v>
      </c>
      <c r="G320" s="93" t="n">
        <v>43161</v>
      </c>
      <c r="H320" s="94" t="n">
        <v>312.6</v>
      </c>
      <c r="I320" s="95" t="n">
        <f aca="false">H320/H319-1</f>
        <v>0.000287990784294978</v>
      </c>
      <c r="J320" s="88"/>
      <c r="K320" s="88"/>
    </row>
    <row r="321" customFormat="false" ht="18" hidden="false" customHeight="false" outlineLevel="0" collapsed="false">
      <c r="A321" s="89" t="n">
        <v>43179</v>
      </c>
      <c r="B321" s="90" t="n">
        <v>95.84</v>
      </c>
      <c r="C321" s="91" t="n">
        <f aca="false">B321/B320-1</f>
        <v>-0.0175294720656073</v>
      </c>
      <c r="G321" s="93" t="n">
        <v>43162</v>
      </c>
      <c r="H321" s="94" t="n">
        <v>305.89</v>
      </c>
      <c r="I321" s="95" t="n">
        <f aca="false">H321/H320-1</f>
        <v>-0.0214651311580295</v>
      </c>
      <c r="J321" s="88"/>
      <c r="K321" s="88"/>
    </row>
    <row r="322" customFormat="false" ht="18" hidden="false" customHeight="false" outlineLevel="0" collapsed="false">
      <c r="A322" s="89" t="n">
        <v>43180</v>
      </c>
      <c r="B322" s="90" t="n">
        <v>95.67</v>
      </c>
      <c r="C322" s="91" t="n">
        <f aca="false">B322/B321-1</f>
        <v>-0.00177378964941566</v>
      </c>
      <c r="G322" s="93" t="n">
        <v>43165</v>
      </c>
      <c r="H322" s="94" t="n">
        <v>296.24</v>
      </c>
      <c r="I322" s="95" t="n">
        <f aca="false">H322/H321-1</f>
        <v>-0.0315472882408708</v>
      </c>
      <c r="J322" s="88"/>
      <c r="K322" s="88"/>
    </row>
    <row r="323" customFormat="false" ht="18" hidden="false" customHeight="false" outlineLevel="0" collapsed="false">
      <c r="A323" s="89" t="n">
        <v>43181</v>
      </c>
      <c r="B323" s="90" t="n">
        <v>95.75</v>
      </c>
      <c r="C323" s="91" t="n">
        <f aca="false">B323/B322-1</f>
        <v>0.0008362077976376</v>
      </c>
      <c r="G323" s="93" t="n">
        <v>43166</v>
      </c>
      <c r="H323" s="94" t="n">
        <v>288.91</v>
      </c>
      <c r="I323" s="95" t="n">
        <f aca="false">H323/H322-1</f>
        <v>-0.0247434512557385</v>
      </c>
      <c r="J323" s="88"/>
      <c r="K323" s="88"/>
    </row>
    <row r="324" customFormat="false" ht="18" hidden="false" customHeight="false" outlineLevel="0" collapsed="false">
      <c r="A324" s="89" t="n">
        <v>43182</v>
      </c>
      <c r="B324" s="90" t="n">
        <v>96.13</v>
      </c>
      <c r="C324" s="91" t="n">
        <f aca="false">B324/B323-1</f>
        <v>0.00396866840731058</v>
      </c>
      <c r="G324" s="93" t="n">
        <v>43167</v>
      </c>
      <c r="H324" s="94" t="n">
        <v>292.6</v>
      </c>
      <c r="I324" s="95" t="n">
        <f aca="false">H324/H323-1</f>
        <v>0.0127721435741235</v>
      </c>
      <c r="J324" s="88"/>
      <c r="K324" s="88"/>
    </row>
    <row r="325" customFormat="false" ht="18" hidden="false" customHeight="false" outlineLevel="0" collapsed="false">
      <c r="A325" s="89" t="n">
        <v>43183</v>
      </c>
      <c r="B325" s="90" t="n">
        <v>95.91</v>
      </c>
      <c r="C325" s="91" t="n">
        <f aca="false">B325/B324-1</f>
        <v>-0.00228856756475604</v>
      </c>
      <c r="G325" s="93" t="n">
        <v>43168</v>
      </c>
      <c r="H325" s="94" t="n">
        <v>294.03</v>
      </c>
      <c r="I325" s="95" t="n">
        <f aca="false">H325/H324-1</f>
        <v>0.00488721804511272</v>
      </c>
      <c r="J325" s="88"/>
      <c r="K325" s="88"/>
    </row>
    <row r="326" customFormat="false" ht="18" hidden="false" customHeight="false" outlineLevel="0" collapsed="false">
      <c r="A326" s="89" t="n">
        <v>43186</v>
      </c>
      <c r="B326" s="90" t="n">
        <v>96.84</v>
      </c>
      <c r="C326" s="91" t="n">
        <f aca="false">B326/B325-1</f>
        <v>0.00969659055364414</v>
      </c>
      <c r="G326" s="93" t="n">
        <v>43169</v>
      </c>
      <c r="H326" s="94" t="n">
        <v>290.22</v>
      </c>
      <c r="I326" s="95" t="n">
        <f aca="false">H326/H325-1</f>
        <v>-0.0129578614427097</v>
      </c>
      <c r="J326" s="88"/>
      <c r="K326" s="88"/>
    </row>
    <row r="327" customFormat="false" ht="18" hidden="false" customHeight="false" outlineLevel="0" collapsed="false">
      <c r="A327" s="89" t="n">
        <v>43187</v>
      </c>
      <c r="B327" s="90" t="n">
        <v>97.79</v>
      </c>
      <c r="C327" s="91" t="n">
        <f aca="false">B327/B326-1</f>
        <v>0.00980999586947551</v>
      </c>
      <c r="G327" s="93" t="n">
        <v>43172</v>
      </c>
      <c r="H327" s="94" t="n">
        <v>282.39</v>
      </c>
      <c r="I327" s="95" t="n">
        <f aca="false">H327/H326-1</f>
        <v>-0.0269795327682449</v>
      </c>
      <c r="J327" s="88"/>
      <c r="K327" s="88"/>
    </row>
    <row r="328" customFormat="false" ht="18" hidden="false" customHeight="false" outlineLevel="0" collapsed="false">
      <c r="A328" s="89" t="n">
        <v>43188</v>
      </c>
      <c r="B328" s="90" t="n">
        <v>97.86</v>
      </c>
      <c r="C328" s="91" t="n">
        <f aca="false">B328/B327-1</f>
        <v>0.000715819613457347</v>
      </c>
      <c r="G328" s="93" t="n">
        <v>43173</v>
      </c>
      <c r="H328" s="94" t="n">
        <v>275.45</v>
      </c>
      <c r="I328" s="95" t="n">
        <f aca="false">H328/H327-1</f>
        <v>-0.0245759410744006</v>
      </c>
      <c r="J328" s="88"/>
      <c r="K328" s="88"/>
    </row>
    <row r="329" customFormat="false" ht="18" hidden="false" customHeight="false" outlineLevel="0" collapsed="false">
      <c r="A329" s="89" t="n">
        <v>43189</v>
      </c>
      <c r="B329" s="90" t="n">
        <v>97.76</v>
      </c>
      <c r="C329" s="91" t="n">
        <f aca="false">B329/B328-1</f>
        <v>-0.00102186797465764</v>
      </c>
      <c r="G329" s="93" t="n">
        <v>43174</v>
      </c>
      <c r="H329" s="94" t="n">
        <v>290.45</v>
      </c>
      <c r="I329" s="95" t="n">
        <f aca="false">H329/H328-1</f>
        <v>0.0544563441640951</v>
      </c>
      <c r="J329" s="88"/>
      <c r="K329" s="88"/>
    </row>
    <row r="330" customFormat="false" ht="18" hidden="false" customHeight="false" outlineLevel="0" collapsed="false">
      <c r="A330" s="89" t="n">
        <v>43190</v>
      </c>
      <c r="B330" s="90" t="n">
        <v>97.73</v>
      </c>
      <c r="C330" s="91" t="n">
        <f aca="false">B330/B329-1</f>
        <v>-0.00030687397708673</v>
      </c>
      <c r="G330" s="93" t="n">
        <v>43175</v>
      </c>
      <c r="H330" s="94" t="n">
        <v>298.56</v>
      </c>
      <c r="I330" s="95" t="n">
        <f aca="false">H330/H329-1</f>
        <v>0.0279221897056292</v>
      </c>
      <c r="J330" s="88"/>
      <c r="K330" s="88"/>
    </row>
    <row r="331" customFormat="false" ht="18" hidden="false" customHeight="false" outlineLevel="0" collapsed="false">
      <c r="A331" s="89" t="n">
        <v>43193</v>
      </c>
      <c r="B331" s="90" t="n">
        <v>98.11</v>
      </c>
      <c r="C331" s="91" t="n">
        <f aca="false">B331/B330-1</f>
        <v>0.00388826358334171</v>
      </c>
      <c r="G331" s="93" t="n">
        <v>43176</v>
      </c>
      <c r="H331" s="94" t="n">
        <v>300.37</v>
      </c>
      <c r="I331" s="95" t="n">
        <f aca="false">H331/H330-1</f>
        <v>0.00606243301178999</v>
      </c>
      <c r="J331" s="88"/>
      <c r="K331" s="88"/>
    </row>
    <row r="332" customFormat="false" ht="18" hidden="false" customHeight="false" outlineLevel="0" collapsed="false">
      <c r="A332" s="89" t="n">
        <v>43194</v>
      </c>
      <c r="B332" s="90" t="n">
        <v>96.53</v>
      </c>
      <c r="C332" s="91" t="n">
        <f aca="false">B332/B331-1</f>
        <v>-0.0161043726429517</v>
      </c>
      <c r="G332" s="93" t="n">
        <v>43179</v>
      </c>
      <c r="H332" s="94" t="n">
        <v>298.5</v>
      </c>
      <c r="I332" s="95" t="n">
        <f aca="false">H332/H331-1</f>
        <v>-0.00622565502546857</v>
      </c>
      <c r="J332" s="88"/>
      <c r="K332" s="88"/>
    </row>
    <row r="333" customFormat="false" ht="18" hidden="false" customHeight="false" outlineLevel="0" collapsed="false">
      <c r="A333" s="89" t="n">
        <v>43195</v>
      </c>
      <c r="B333" s="90" t="n">
        <v>96.24</v>
      </c>
      <c r="C333" s="91" t="n">
        <f aca="false">B333/B332-1</f>
        <v>-0.00300424738423299</v>
      </c>
      <c r="G333" s="93" t="n">
        <v>43180</v>
      </c>
      <c r="H333" s="94" t="n">
        <v>302.64</v>
      </c>
      <c r="I333" s="95" t="n">
        <f aca="false">H333/H332-1</f>
        <v>0.0138693467336684</v>
      </c>
      <c r="J333" s="88"/>
      <c r="K333" s="88"/>
    </row>
    <row r="334" customFormat="false" ht="18" hidden="false" customHeight="false" outlineLevel="0" collapsed="false">
      <c r="A334" s="89" t="n">
        <v>43196</v>
      </c>
      <c r="B334" s="90" t="n">
        <v>95.96</v>
      </c>
      <c r="C334" s="91" t="n">
        <f aca="false">B334/B333-1</f>
        <v>-0.00290939318370742</v>
      </c>
      <c r="G334" s="93" t="n">
        <v>43181</v>
      </c>
      <c r="H334" s="94" t="n">
        <v>304.24</v>
      </c>
      <c r="I334" s="95" t="n">
        <f aca="false">H334/H333-1</f>
        <v>0.00528680941052073</v>
      </c>
      <c r="J334" s="88"/>
      <c r="K334" s="88"/>
    </row>
    <row r="335" customFormat="false" ht="18" hidden="false" customHeight="false" outlineLevel="0" collapsed="false">
      <c r="A335" s="89" t="n">
        <v>43197</v>
      </c>
      <c r="B335" s="90" t="n">
        <v>95.13</v>
      </c>
      <c r="C335" s="91" t="n">
        <f aca="false">B335/B334-1</f>
        <v>-0.00864943726552725</v>
      </c>
      <c r="G335" s="93" t="n">
        <v>43182</v>
      </c>
      <c r="H335" s="94" t="n">
        <v>303.88</v>
      </c>
      <c r="I335" s="95" t="n">
        <f aca="false">H335/H334-1</f>
        <v>-0.00118327636076787</v>
      </c>
      <c r="J335" s="88"/>
      <c r="K335" s="88"/>
    </row>
    <row r="336" customFormat="false" ht="18" hidden="false" customHeight="false" outlineLevel="0" collapsed="false">
      <c r="A336" s="89" t="n">
        <v>43200</v>
      </c>
      <c r="B336" s="90" t="n">
        <v>94</v>
      </c>
      <c r="C336" s="91" t="n">
        <f aca="false">B336/B335-1</f>
        <v>-0.0118784820771576</v>
      </c>
      <c r="G336" s="93" t="n">
        <v>43183</v>
      </c>
      <c r="H336" s="94" t="n">
        <v>301.17</v>
      </c>
      <c r="I336" s="95" t="n">
        <f aca="false">H336/H335-1</f>
        <v>-0.00891799394497816</v>
      </c>
      <c r="J336" s="88"/>
      <c r="K336" s="88"/>
    </row>
    <row r="337" customFormat="false" ht="18" hidden="false" customHeight="false" outlineLevel="0" collapsed="false">
      <c r="A337" s="89" t="n">
        <v>43201</v>
      </c>
      <c r="B337" s="90" t="n">
        <v>94.35</v>
      </c>
      <c r="C337" s="91" t="n">
        <f aca="false">B337/B336-1</f>
        <v>0.00372340425531914</v>
      </c>
      <c r="G337" s="93" t="n">
        <v>43186</v>
      </c>
      <c r="H337" s="94" t="n">
        <v>301.21</v>
      </c>
      <c r="I337" s="95" t="n">
        <f aca="false">H337/H336-1</f>
        <v>0.000132815353454774</v>
      </c>
      <c r="J337" s="88"/>
      <c r="K337" s="88"/>
    </row>
    <row r="338" customFormat="false" ht="18" hidden="false" customHeight="false" outlineLevel="0" collapsed="false">
      <c r="A338" s="89" t="n">
        <v>43202</v>
      </c>
      <c r="B338" s="90" t="n">
        <v>94.59</v>
      </c>
      <c r="C338" s="91" t="n">
        <f aca="false">B338/B337-1</f>
        <v>0.0025437201907792</v>
      </c>
      <c r="G338" s="93" t="n">
        <v>43187</v>
      </c>
      <c r="H338" s="94" t="n">
        <v>304.05</v>
      </c>
      <c r="I338" s="95" t="n">
        <f aca="false">H338/H337-1</f>
        <v>0.00942863782742953</v>
      </c>
      <c r="J338" s="88"/>
      <c r="K338" s="88"/>
    </row>
    <row r="339" customFormat="false" ht="18" hidden="false" customHeight="false" outlineLevel="0" collapsed="false">
      <c r="A339" s="89" t="n">
        <v>43203</v>
      </c>
      <c r="B339" s="90" t="n">
        <v>93.71</v>
      </c>
      <c r="C339" s="91" t="n">
        <f aca="false">B339/B338-1</f>
        <v>-0.00930330901786669</v>
      </c>
      <c r="G339" s="93" t="n">
        <v>43188</v>
      </c>
      <c r="H339" s="94" t="n">
        <v>307.36</v>
      </c>
      <c r="I339" s="95" t="n">
        <f aca="false">H339/H338-1</f>
        <v>0.0108863673737871</v>
      </c>
      <c r="J339" s="88"/>
      <c r="K339" s="88"/>
    </row>
    <row r="340" customFormat="false" ht="18" hidden="false" customHeight="false" outlineLevel="0" collapsed="false">
      <c r="A340" s="89" t="n">
        <v>43207</v>
      </c>
      <c r="B340" s="90" t="n">
        <v>93.66</v>
      </c>
      <c r="C340" s="91" t="n">
        <f aca="false">B340/B339-1</f>
        <v>-0.000533560986020643</v>
      </c>
      <c r="G340" s="93" t="n">
        <v>43189</v>
      </c>
      <c r="H340" s="94" t="n">
        <v>304.87</v>
      </c>
      <c r="I340" s="95" t="n">
        <f aca="false">H340/H339-1</f>
        <v>-0.00810124934929723</v>
      </c>
      <c r="J340" s="88"/>
      <c r="K340" s="88"/>
    </row>
    <row r="341" customFormat="false" ht="18" hidden="false" customHeight="false" outlineLevel="0" collapsed="false">
      <c r="A341" s="89" t="n">
        <v>43208</v>
      </c>
      <c r="B341" s="90" t="n">
        <v>93.29</v>
      </c>
      <c r="C341" s="91" t="n">
        <f aca="false">B341/B340-1</f>
        <v>-0.00395045910740965</v>
      </c>
      <c r="G341" s="93" t="n">
        <v>43190</v>
      </c>
      <c r="H341" s="94" t="n">
        <v>307.12</v>
      </c>
      <c r="I341" s="95" t="n">
        <f aca="false">H341/H340-1</f>
        <v>0.00738019483714369</v>
      </c>
      <c r="J341" s="88"/>
      <c r="K341" s="88"/>
    </row>
    <row r="342" customFormat="false" ht="18" hidden="false" customHeight="false" outlineLevel="0" collapsed="false">
      <c r="A342" s="89" t="n">
        <v>43209</v>
      </c>
      <c r="B342" s="90" t="n">
        <v>93.93</v>
      </c>
      <c r="C342" s="91" t="n">
        <f aca="false">B342/B341-1</f>
        <v>0.00686032800943304</v>
      </c>
      <c r="G342" s="93" t="n">
        <v>43193</v>
      </c>
      <c r="H342" s="94" t="n">
        <v>311.65</v>
      </c>
      <c r="I342" s="95" t="n">
        <f aca="false">H342/H341-1</f>
        <v>0.0147499348788747</v>
      </c>
      <c r="J342" s="88"/>
      <c r="K342" s="88"/>
    </row>
    <row r="343" customFormat="false" ht="18" hidden="false" customHeight="false" outlineLevel="0" collapsed="false">
      <c r="A343" s="89" t="n">
        <v>43210</v>
      </c>
      <c r="B343" s="90" t="n">
        <v>93.08</v>
      </c>
      <c r="C343" s="91" t="n">
        <f aca="false">B343/B342-1</f>
        <v>-0.00904929202597693</v>
      </c>
      <c r="G343" s="93" t="n">
        <v>43194</v>
      </c>
      <c r="H343" s="94" t="n">
        <v>309.92</v>
      </c>
      <c r="I343" s="95" t="n">
        <f aca="false">H343/H342-1</f>
        <v>-0.00555109898925066</v>
      </c>
      <c r="J343" s="88"/>
      <c r="K343" s="88"/>
    </row>
    <row r="344" customFormat="false" ht="18" hidden="false" customHeight="false" outlineLevel="0" collapsed="false">
      <c r="A344" s="89" t="n">
        <v>43211</v>
      </c>
      <c r="B344" s="90" t="n">
        <v>92.09</v>
      </c>
      <c r="C344" s="91" t="n">
        <f aca="false">B344/B343-1</f>
        <v>-0.0106360120326601</v>
      </c>
      <c r="G344" s="93" t="n">
        <v>43195</v>
      </c>
      <c r="H344" s="94" t="n">
        <v>307.1</v>
      </c>
      <c r="I344" s="95" t="n">
        <f aca="false">H344/H343-1</f>
        <v>-0.00909912235415589</v>
      </c>
      <c r="J344" s="88"/>
      <c r="K344" s="88"/>
    </row>
    <row r="345" customFormat="false" ht="18" hidden="false" customHeight="false" outlineLevel="0" collapsed="false">
      <c r="A345" s="89" t="n">
        <v>43214</v>
      </c>
      <c r="B345" s="90" t="n">
        <v>93.17</v>
      </c>
      <c r="C345" s="91" t="n">
        <f aca="false">B345/B344-1</f>
        <v>0.0117276577261374</v>
      </c>
      <c r="G345" s="93" t="n">
        <v>43196</v>
      </c>
      <c r="H345" s="94" t="n">
        <v>302.59</v>
      </c>
      <c r="I345" s="95" t="n">
        <f aca="false">H345/H344-1</f>
        <v>-0.014685770107457</v>
      </c>
      <c r="J345" s="88"/>
      <c r="K345" s="88"/>
    </row>
    <row r="346" customFormat="false" ht="18" hidden="false" customHeight="false" outlineLevel="0" collapsed="false">
      <c r="A346" s="89" t="n">
        <v>43215</v>
      </c>
      <c r="B346" s="90" t="n">
        <v>92.53</v>
      </c>
      <c r="C346" s="91" t="n">
        <f aca="false">B346/B345-1</f>
        <v>-0.00686916389395731</v>
      </c>
      <c r="G346" s="93" t="n">
        <v>43197</v>
      </c>
      <c r="H346" s="94" t="n">
        <v>303.61</v>
      </c>
      <c r="I346" s="95" t="n">
        <f aca="false">H346/H345-1</f>
        <v>0.00337089791467005</v>
      </c>
      <c r="J346" s="88"/>
      <c r="K346" s="88"/>
    </row>
    <row r="347" customFormat="false" ht="18" hidden="false" customHeight="false" outlineLevel="0" collapsed="false">
      <c r="A347" s="89" t="n">
        <v>43216</v>
      </c>
      <c r="B347" s="90" t="n">
        <v>92.28</v>
      </c>
      <c r="C347" s="91" t="n">
        <f aca="false">B347/B346-1</f>
        <v>-0.00270182643466987</v>
      </c>
      <c r="G347" s="93" t="n">
        <v>43200</v>
      </c>
      <c r="H347" s="94" t="n">
        <v>299.58</v>
      </c>
      <c r="I347" s="95" t="n">
        <f aca="false">H347/H346-1</f>
        <v>-0.0132736075886829</v>
      </c>
      <c r="J347" s="88"/>
      <c r="K347" s="88"/>
    </row>
    <row r="348" customFormat="false" ht="18" hidden="false" customHeight="false" outlineLevel="0" collapsed="false">
      <c r="A348" s="89" t="n">
        <v>43217</v>
      </c>
      <c r="B348" s="90" t="n">
        <v>92.45</v>
      </c>
      <c r="C348" s="91" t="n">
        <f aca="false">B348/B347-1</f>
        <v>0.00184221933246653</v>
      </c>
      <c r="G348" s="93" t="n">
        <v>43201</v>
      </c>
      <c r="H348" s="94" t="n">
        <v>299.17</v>
      </c>
      <c r="I348" s="95" t="n">
        <f aca="false">H348/H347-1</f>
        <v>-0.0013685826824219</v>
      </c>
      <c r="J348" s="88"/>
      <c r="K348" s="88"/>
    </row>
    <row r="349" customFormat="false" ht="18" hidden="false" customHeight="false" outlineLevel="0" collapsed="false">
      <c r="A349" s="89" t="n">
        <v>43218</v>
      </c>
      <c r="B349" s="90" t="n">
        <v>90.88</v>
      </c>
      <c r="C349" s="91" t="n">
        <f aca="false">B349/B348-1</f>
        <v>-0.016982152514873</v>
      </c>
      <c r="G349" s="93" t="n">
        <v>43202</v>
      </c>
      <c r="H349" s="94" t="n">
        <v>300.61</v>
      </c>
      <c r="I349" s="95" t="n">
        <f aca="false">H349/H348-1</f>
        <v>0.00481331684326647</v>
      </c>
      <c r="J349" s="88"/>
      <c r="K349" s="88"/>
    </row>
    <row r="350" customFormat="false" ht="18" hidden="false" customHeight="false" outlineLevel="0" collapsed="false">
      <c r="A350" s="89" t="n">
        <v>43221</v>
      </c>
      <c r="B350" s="90" t="n">
        <v>90.02</v>
      </c>
      <c r="C350" s="91" t="n">
        <f aca="false">B350/B349-1</f>
        <v>-0.00946302816901412</v>
      </c>
      <c r="G350" s="93" t="n">
        <v>43203</v>
      </c>
      <c r="H350" s="94" t="n">
        <v>299.93</v>
      </c>
      <c r="I350" s="95" t="n">
        <f aca="false">H350/H349-1</f>
        <v>-0.00226206713016863</v>
      </c>
      <c r="J350" s="88"/>
      <c r="K350" s="88"/>
    </row>
    <row r="351" customFormat="false" ht="18" hidden="false" customHeight="false" outlineLevel="0" collapsed="false">
      <c r="A351" s="89" t="n">
        <v>43222</v>
      </c>
      <c r="B351" s="90" t="n">
        <v>90.4</v>
      </c>
      <c r="C351" s="91" t="n">
        <f aca="false">B351/B350-1</f>
        <v>0.00422128415907586</v>
      </c>
      <c r="G351" s="93" t="n">
        <v>43204</v>
      </c>
      <c r="H351" s="94" t="n">
        <v>299.17</v>
      </c>
      <c r="I351" s="95" t="n">
        <f aca="false">H351/H350-1</f>
        <v>-0.00253392458240254</v>
      </c>
      <c r="J351" s="88"/>
      <c r="K351" s="88"/>
    </row>
    <row r="352" customFormat="false" ht="18" hidden="false" customHeight="false" outlineLevel="0" collapsed="false">
      <c r="A352" s="89" t="n">
        <v>43223</v>
      </c>
      <c r="B352" s="90" t="n">
        <v>91.95</v>
      </c>
      <c r="C352" s="91" t="n">
        <f aca="false">B352/B351-1</f>
        <v>0.0171460176991149</v>
      </c>
      <c r="G352" s="93" t="n">
        <v>43207</v>
      </c>
      <c r="H352" s="94" t="n">
        <v>297.59</v>
      </c>
      <c r="I352" s="95" t="n">
        <f aca="false">H352/H351-1</f>
        <v>-0.00528127820302848</v>
      </c>
      <c r="J352" s="88"/>
      <c r="K352" s="88"/>
    </row>
    <row r="353" customFormat="false" ht="18" hidden="false" customHeight="false" outlineLevel="0" collapsed="false">
      <c r="A353" s="89" t="n">
        <v>43224</v>
      </c>
      <c r="B353" s="90" t="n">
        <v>90.57</v>
      </c>
      <c r="C353" s="91" t="n">
        <f aca="false">B353/B352-1</f>
        <v>-0.0150081566068516</v>
      </c>
      <c r="G353" s="93" t="n">
        <v>43208</v>
      </c>
      <c r="H353" s="94" t="n">
        <v>294.92</v>
      </c>
      <c r="I353" s="95" t="n">
        <f aca="false">H353/H352-1</f>
        <v>-0.00897207567458569</v>
      </c>
      <c r="J353" s="88"/>
      <c r="K353" s="88"/>
    </row>
    <row r="354" customFormat="false" ht="18" hidden="false" customHeight="false" outlineLevel="0" collapsed="false">
      <c r="A354" s="89" t="n">
        <v>43225</v>
      </c>
      <c r="B354" s="90" t="n">
        <v>89.35</v>
      </c>
      <c r="C354" s="91" t="n">
        <f aca="false">B354/B353-1</f>
        <v>-0.0134702440101578</v>
      </c>
      <c r="G354" s="93" t="n">
        <v>43209</v>
      </c>
      <c r="H354" s="94" t="n">
        <v>294.34</v>
      </c>
      <c r="I354" s="95" t="n">
        <f aca="false">H354/H353-1</f>
        <v>-0.00196663501966654</v>
      </c>
      <c r="J354" s="88"/>
      <c r="K354" s="88"/>
    </row>
    <row r="355" customFormat="false" ht="18" hidden="false" customHeight="false" outlineLevel="0" collapsed="false">
      <c r="A355" s="89" t="n">
        <v>43228</v>
      </c>
      <c r="B355" s="90" t="n">
        <v>88.56</v>
      </c>
      <c r="C355" s="91" t="n">
        <f aca="false">B355/B354-1</f>
        <v>-0.00884163402350302</v>
      </c>
      <c r="G355" s="93" t="n">
        <v>43210</v>
      </c>
      <c r="H355" s="94" t="n">
        <v>291.91</v>
      </c>
      <c r="I355" s="95" t="n">
        <f aca="false">H355/H354-1</f>
        <v>-0.00825575864646311</v>
      </c>
      <c r="J355" s="88"/>
      <c r="K355" s="88"/>
    </row>
    <row r="356" customFormat="false" ht="18" hidden="false" customHeight="false" outlineLevel="0" collapsed="false">
      <c r="A356" s="89" t="n">
        <v>43229</v>
      </c>
      <c r="B356" s="90" t="n">
        <v>89</v>
      </c>
      <c r="C356" s="91" t="n">
        <f aca="false">B356/B355-1</f>
        <v>0.0049683830171634</v>
      </c>
      <c r="G356" s="93" t="n">
        <v>43211</v>
      </c>
      <c r="H356" s="94" t="n">
        <v>288.94</v>
      </c>
      <c r="I356" s="95" t="n">
        <f aca="false">H356/H355-1</f>
        <v>-0.0101743688123053</v>
      </c>
      <c r="J356" s="88"/>
      <c r="K356" s="88"/>
    </row>
    <row r="357" customFormat="false" ht="18" hidden="false" customHeight="false" outlineLevel="0" collapsed="false">
      <c r="A357" s="89" t="n">
        <v>43230</v>
      </c>
      <c r="B357" s="90" t="n">
        <v>89.39</v>
      </c>
      <c r="C357" s="91" t="n">
        <f aca="false">B357/B356-1</f>
        <v>0.00438202247191022</v>
      </c>
      <c r="G357" s="93" t="n">
        <v>43214</v>
      </c>
      <c r="H357" s="94" t="n">
        <v>281.29</v>
      </c>
      <c r="I357" s="95" t="n">
        <f aca="false">H357/H356-1</f>
        <v>-0.026476085000346</v>
      </c>
      <c r="J357" s="88"/>
      <c r="K357" s="88"/>
    </row>
    <row r="358" customFormat="false" ht="18" hidden="false" customHeight="false" outlineLevel="0" collapsed="false">
      <c r="A358" s="89" t="n">
        <v>43231</v>
      </c>
      <c r="B358" s="90" t="n">
        <v>89.45</v>
      </c>
      <c r="C358" s="91" t="n">
        <f aca="false">B358/B357-1</f>
        <v>0.000671216019689114</v>
      </c>
      <c r="G358" s="93" t="n">
        <v>43215</v>
      </c>
      <c r="H358" s="94" t="n">
        <v>281.32</v>
      </c>
      <c r="I358" s="95" t="n">
        <f aca="false">H358/H357-1</f>
        <v>0.000106651498453347</v>
      </c>
      <c r="J358" s="88"/>
      <c r="K358" s="88"/>
    </row>
    <row r="359" customFormat="false" ht="18" hidden="false" customHeight="false" outlineLevel="0" collapsed="false">
      <c r="A359" s="89" t="n">
        <v>43232</v>
      </c>
      <c r="B359" s="90" t="n">
        <v>89.3</v>
      </c>
      <c r="C359" s="91" t="n">
        <f aca="false">B359/B358-1</f>
        <v>-0.00167691447736174</v>
      </c>
      <c r="G359" s="93" t="n">
        <v>43216</v>
      </c>
      <c r="H359" s="94" t="n">
        <v>281.36</v>
      </c>
      <c r="I359" s="95" t="n">
        <f aca="false">H359/H358-1</f>
        <v>0.000142186833499203</v>
      </c>
      <c r="J359" s="88"/>
      <c r="K359" s="88"/>
    </row>
    <row r="360" customFormat="false" ht="18" hidden="false" customHeight="false" outlineLevel="0" collapsed="false">
      <c r="A360" s="89" t="n">
        <v>43235</v>
      </c>
      <c r="B360" s="90" t="n">
        <v>88.82</v>
      </c>
      <c r="C360" s="91" t="n">
        <f aca="false">B360/B359-1</f>
        <v>-0.00537513997760364</v>
      </c>
      <c r="G360" s="93" t="n">
        <v>43217</v>
      </c>
      <c r="H360" s="94" t="n">
        <v>283.63</v>
      </c>
      <c r="I360" s="95" t="n">
        <f aca="false">H360/H359-1</f>
        <v>0.00806795564401464</v>
      </c>
      <c r="J360" s="88"/>
      <c r="K360" s="88"/>
    </row>
    <row r="361" customFormat="false" ht="18" hidden="false" customHeight="false" outlineLevel="0" collapsed="false">
      <c r="A361" s="89" t="n">
        <v>43236</v>
      </c>
      <c r="B361" s="90" t="n">
        <v>89.14</v>
      </c>
      <c r="C361" s="91" t="n">
        <f aca="false">B361/B360-1</f>
        <v>0.00360279216392723</v>
      </c>
      <c r="G361" s="93" t="n">
        <v>43218</v>
      </c>
      <c r="H361" s="94" t="n">
        <v>287.7</v>
      </c>
      <c r="I361" s="95" t="n">
        <f aca="false">H361/H360-1</f>
        <v>0.0143496809223285</v>
      </c>
      <c r="J361" s="88"/>
      <c r="K361" s="88"/>
    </row>
    <row r="362" customFormat="false" ht="18" hidden="false" customHeight="false" outlineLevel="0" collapsed="false">
      <c r="A362" s="89" t="n">
        <v>43237</v>
      </c>
      <c r="B362" s="90" t="n">
        <v>88.57</v>
      </c>
      <c r="C362" s="91" t="n">
        <f aca="false">B362/B361-1</f>
        <v>-0.00639443571909359</v>
      </c>
      <c r="G362" s="93" t="n">
        <v>43221</v>
      </c>
      <c r="H362" s="94" t="n">
        <v>287.11</v>
      </c>
      <c r="I362" s="95" t="n">
        <f aca="false">H362/H361-1</f>
        <v>-0.00205074730622168</v>
      </c>
      <c r="J362" s="88"/>
      <c r="K362" s="88"/>
    </row>
    <row r="363" customFormat="false" ht="18" hidden="false" customHeight="false" outlineLevel="0" collapsed="false">
      <c r="A363" s="89" t="n">
        <v>43238</v>
      </c>
      <c r="B363" s="90" t="n">
        <v>89.05</v>
      </c>
      <c r="C363" s="91" t="n">
        <f aca="false">B363/B362-1</f>
        <v>0.00541944224906854</v>
      </c>
      <c r="G363" s="93" t="n">
        <v>43222</v>
      </c>
      <c r="H363" s="94" t="n">
        <v>286.72</v>
      </c>
      <c r="I363" s="95" t="n">
        <f aca="false">H363/H362-1</f>
        <v>-0.00135836438995507</v>
      </c>
      <c r="J363" s="88"/>
      <c r="K363" s="88"/>
    </row>
    <row r="364" customFormat="false" ht="18" hidden="false" customHeight="false" outlineLevel="0" collapsed="false">
      <c r="A364" s="89" t="n">
        <v>43239</v>
      </c>
      <c r="B364" s="90" t="n">
        <v>89.63</v>
      </c>
      <c r="C364" s="91" t="n">
        <f aca="false">B364/B363-1</f>
        <v>0.00651319483436263</v>
      </c>
      <c r="G364" s="93" t="n">
        <v>43223</v>
      </c>
      <c r="H364" s="94" t="n">
        <v>285.45</v>
      </c>
      <c r="I364" s="95" t="n">
        <f aca="false">H364/H363-1</f>
        <v>-0.00442940848214302</v>
      </c>
      <c r="J364" s="88"/>
      <c r="K364" s="88"/>
    </row>
    <row r="365" customFormat="false" ht="18" hidden="false" customHeight="false" outlineLevel="0" collapsed="false">
      <c r="A365" s="89" t="n">
        <v>43242</v>
      </c>
      <c r="B365" s="90" t="n">
        <v>89.69</v>
      </c>
      <c r="C365" s="91" t="n">
        <f aca="false">B365/B364-1</f>
        <v>0.000669418721410242</v>
      </c>
      <c r="G365" s="93" t="n">
        <v>43224</v>
      </c>
      <c r="H365" s="94" t="n">
        <v>283.43</v>
      </c>
      <c r="I365" s="95" t="n">
        <f aca="false">H365/H364-1</f>
        <v>-0.00707654580486949</v>
      </c>
      <c r="J365" s="88"/>
      <c r="K365" s="88"/>
    </row>
    <row r="366" customFormat="false" ht="18" hidden="false" customHeight="false" outlineLevel="0" collapsed="false">
      <c r="A366" s="89" t="n">
        <v>43243</v>
      </c>
      <c r="B366" s="90" t="n">
        <v>90.47</v>
      </c>
      <c r="C366" s="91" t="n">
        <f aca="false">B366/B365-1</f>
        <v>0.00869662169695618</v>
      </c>
      <c r="G366" s="93" t="n">
        <v>43225</v>
      </c>
      <c r="H366" s="94" t="n">
        <v>276.92</v>
      </c>
      <c r="I366" s="95" t="n">
        <f aca="false">H366/H365-1</f>
        <v>-0.0229686342306742</v>
      </c>
      <c r="J366" s="88"/>
      <c r="K366" s="88"/>
    </row>
    <row r="367" customFormat="false" ht="18" hidden="false" customHeight="false" outlineLevel="0" collapsed="false">
      <c r="A367" s="89" t="n">
        <v>43244</v>
      </c>
      <c r="B367" s="90" t="n">
        <v>91.27</v>
      </c>
      <c r="C367" s="91" t="n">
        <f aca="false">B367/B366-1</f>
        <v>0.00884271029070405</v>
      </c>
      <c r="G367" s="93" t="n">
        <v>43228</v>
      </c>
      <c r="H367" s="94" t="n">
        <v>271.36</v>
      </c>
      <c r="I367" s="95" t="n">
        <f aca="false">H367/H366-1</f>
        <v>-0.0200780008666763</v>
      </c>
      <c r="J367" s="88"/>
      <c r="K367" s="88"/>
    </row>
    <row r="368" customFormat="false" ht="18" hidden="false" customHeight="false" outlineLevel="0" collapsed="false">
      <c r="A368" s="89" t="n">
        <v>43245</v>
      </c>
      <c r="B368" s="90" t="n">
        <v>91.57</v>
      </c>
      <c r="C368" s="91" t="n">
        <f aca="false">B368/B367-1</f>
        <v>0.00328695080530284</v>
      </c>
      <c r="G368" s="93" t="n">
        <v>43229</v>
      </c>
      <c r="H368" s="94" t="n">
        <v>269.69</v>
      </c>
      <c r="I368" s="95" t="n">
        <f aca="false">H368/H367-1</f>
        <v>-0.00615418632075482</v>
      </c>
      <c r="J368" s="88"/>
      <c r="K368" s="88"/>
    </row>
    <row r="369" customFormat="false" ht="18" hidden="false" customHeight="false" outlineLevel="0" collapsed="false">
      <c r="A369" s="89" t="n">
        <v>43246</v>
      </c>
      <c r="B369" s="90" t="n">
        <v>91.72</v>
      </c>
      <c r="C369" s="91" t="n">
        <f aca="false">B369/B368-1</f>
        <v>0.00163809107786395</v>
      </c>
      <c r="G369" s="93" t="n">
        <v>43230</v>
      </c>
      <c r="H369" s="94" t="n">
        <v>270.1</v>
      </c>
      <c r="I369" s="95" t="n">
        <f aca="false">H369/H368-1</f>
        <v>0.00152026400682281</v>
      </c>
      <c r="J369" s="88"/>
      <c r="K369" s="88"/>
    </row>
    <row r="370" customFormat="false" ht="18" hidden="false" customHeight="false" outlineLevel="0" collapsed="false">
      <c r="A370" s="89" t="n">
        <v>43250</v>
      </c>
      <c r="B370" s="90" t="n">
        <v>91.25</v>
      </c>
      <c r="C370" s="91" t="n">
        <f aca="false">B370/B369-1</f>
        <v>-0.00512429132141301</v>
      </c>
      <c r="G370" s="93" t="n">
        <v>43231</v>
      </c>
      <c r="H370" s="94" t="n">
        <v>264.84</v>
      </c>
      <c r="I370" s="95" t="n">
        <f aca="false">H370/H369-1</f>
        <v>-0.0194742687893374</v>
      </c>
      <c r="J370" s="88"/>
      <c r="K370" s="88"/>
    </row>
    <row r="371" customFormat="false" ht="18" hidden="false" customHeight="false" outlineLevel="0" collapsed="false">
      <c r="A371" s="89" t="n">
        <v>43251</v>
      </c>
      <c r="B371" s="90" t="n">
        <v>90.75</v>
      </c>
      <c r="C371" s="91" t="n">
        <f aca="false">B371/B370-1</f>
        <v>-0.0054794520547945</v>
      </c>
      <c r="G371" s="93" t="n">
        <v>43232</v>
      </c>
      <c r="H371" s="94" t="n">
        <v>269.28</v>
      </c>
      <c r="I371" s="95" t="n">
        <f aca="false">H371/H370-1</f>
        <v>0.016764839148165</v>
      </c>
      <c r="J371" s="88"/>
      <c r="K371" s="88"/>
    </row>
    <row r="372" customFormat="false" ht="18" hidden="false" customHeight="false" outlineLevel="0" collapsed="false">
      <c r="A372" s="89" t="n">
        <v>43252</v>
      </c>
      <c r="B372" s="90" t="n">
        <v>91.63</v>
      </c>
      <c r="C372" s="91" t="n">
        <f aca="false">B372/B371-1</f>
        <v>0.00969696969696954</v>
      </c>
      <c r="G372" s="93" t="n">
        <v>43235</v>
      </c>
      <c r="H372" s="94" t="n">
        <v>269.9</v>
      </c>
      <c r="I372" s="95" t="n">
        <f aca="false">H372/H371-1</f>
        <v>0.00230243612596559</v>
      </c>
      <c r="J372" s="88"/>
      <c r="K372" s="88"/>
    </row>
    <row r="373" customFormat="false" ht="18" hidden="false" customHeight="false" outlineLevel="0" collapsed="false">
      <c r="A373" s="89" t="n">
        <v>43253</v>
      </c>
      <c r="B373" s="90" t="n">
        <v>91.01</v>
      </c>
      <c r="C373" s="91" t="n">
        <f aca="false">B373/B372-1</f>
        <v>-0.00676634290079659</v>
      </c>
      <c r="G373" s="93" t="n">
        <v>43236</v>
      </c>
      <c r="H373" s="94" t="n">
        <v>275.8</v>
      </c>
      <c r="I373" s="95" t="n">
        <f aca="false">H373/H372-1</f>
        <v>0.0218599481289368</v>
      </c>
      <c r="J373" s="88"/>
      <c r="K373" s="88"/>
    </row>
    <row r="374" customFormat="false" ht="18" hidden="false" customHeight="false" outlineLevel="0" collapsed="false">
      <c r="A374" s="89" t="n">
        <v>43256</v>
      </c>
      <c r="B374" s="90" t="n">
        <v>89.81</v>
      </c>
      <c r="C374" s="91" t="n">
        <f aca="false">B374/B373-1</f>
        <v>-0.0131853642456873</v>
      </c>
      <c r="G374" s="93" t="n">
        <v>43237</v>
      </c>
      <c r="H374" s="94" t="n">
        <v>275.46</v>
      </c>
      <c r="I374" s="95" t="n">
        <f aca="false">H374/H373-1</f>
        <v>-0.00123277737490946</v>
      </c>
      <c r="J374" s="88"/>
      <c r="K374" s="88"/>
    </row>
    <row r="375" customFormat="false" ht="18" hidden="false" customHeight="false" outlineLevel="0" collapsed="false">
      <c r="A375" s="89" t="n">
        <v>43257</v>
      </c>
      <c r="B375" s="90" t="n">
        <v>90.34</v>
      </c>
      <c r="C375" s="91" t="n">
        <f aca="false">B375/B374-1</f>
        <v>0.0059013472887206</v>
      </c>
      <c r="G375" s="93" t="n">
        <v>43238</v>
      </c>
      <c r="H375" s="94" t="n">
        <v>272.17</v>
      </c>
      <c r="I375" s="95" t="n">
        <f aca="false">H375/H374-1</f>
        <v>-0.011943657881362</v>
      </c>
      <c r="J375" s="88"/>
      <c r="K375" s="88"/>
    </row>
    <row r="376" customFormat="false" ht="18" hidden="false" customHeight="false" outlineLevel="0" collapsed="false">
      <c r="A376" s="89" t="n">
        <v>43258</v>
      </c>
      <c r="B376" s="90" t="n">
        <v>89.45</v>
      </c>
      <c r="C376" s="91" t="n">
        <f aca="false">B376/B375-1</f>
        <v>-0.00985167146336063</v>
      </c>
      <c r="G376" s="93" t="n">
        <v>43239</v>
      </c>
      <c r="H376" s="94" t="n">
        <v>276.56</v>
      </c>
      <c r="I376" s="95" t="n">
        <f aca="false">H376/H375-1</f>
        <v>0.0161296248668112</v>
      </c>
      <c r="J376" s="88"/>
      <c r="K376" s="88"/>
    </row>
    <row r="377" customFormat="false" ht="18" hidden="false" customHeight="false" outlineLevel="0" collapsed="false">
      <c r="A377" s="89" t="n">
        <v>43259</v>
      </c>
      <c r="B377" s="90" t="n">
        <v>88.71</v>
      </c>
      <c r="C377" s="91" t="n">
        <f aca="false">B377/B376-1</f>
        <v>-0.00827277808831761</v>
      </c>
      <c r="G377" s="93" t="n">
        <v>43242</v>
      </c>
      <c r="H377" s="94" t="n">
        <v>276.66</v>
      </c>
      <c r="I377" s="95" t="n">
        <f aca="false">H377/H376-1</f>
        <v>0.000361585189470714</v>
      </c>
      <c r="J377" s="88"/>
      <c r="K377" s="88"/>
    </row>
    <row r="378" customFormat="false" ht="18" hidden="false" customHeight="false" outlineLevel="0" collapsed="false">
      <c r="A378" s="89" t="n">
        <v>43260</v>
      </c>
      <c r="B378" s="90" t="n">
        <v>87.22</v>
      </c>
      <c r="C378" s="91" t="n">
        <f aca="false">B378/B377-1</f>
        <v>-0.0167963025588997</v>
      </c>
      <c r="G378" s="93" t="n">
        <v>43243</v>
      </c>
      <c r="H378" s="94" t="n">
        <v>272.01</v>
      </c>
      <c r="I378" s="95" t="n">
        <f aca="false">H378/H377-1</f>
        <v>-0.0168076339188897</v>
      </c>
      <c r="J378" s="88"/>
      <c r="K378" s="88"/>
    </row>
    <row r="379" customFormat="false" ht="18" hidden="false" customHeight="false" outlineLevel="0" collapsed="false">
      <c r="A379" s="89" t="n">
        <v>43263</v>
      </c>
      <c r="B379" s="90" t="n">
        <v>84.91</v>
      </c>
      <c r="C379" s="91" t="n">
        <f aca="false">B379/B378-1</f>
        <v>-0.0264847512038524</v>
      </c>
      <c r="G379" s="93" t="n">
        <v>43244</v>
      </c>
      <c r="H379" s="94" t="n">
        <v>272.47</v>
      </c>
      <c r="I379" s="95" t="n">
        <f aca="false">H379/H378-1</f>
        <v>0.00169111429726865</v>
      </c>
      <c r="J379" s="88"/>
      <c r="K379" s="88"/>
    </row>
    <row r="380" customFormat="false" ht="18" hidden="false" customHeight="false" outlineLevel="0" collapsed="false">
      <c r="A380" s="89" t="n">
        <v>43264</v>
      </c>
      <c r="B380" s="90" t="n">
        <v>84.87</v>
      </c>
      <c r="C380" s="91" t="n">
        <f aca="false">B380/B379-1</f>
        <v>-0.00047108703332932</v>
      </c>
      <c r="G380" s="93" t="n">
        <v>43245</v>
      </c>
      <c r="H380" s="94" t="n">
        <v>274.97</v>
      </c>
      <c r="I380" s="95" t="n">
        <f aca="false">H380/H379-1</f>
        <v>0.009175322053804</v>
      </c>
      <c r="J380" s="88"/>
      <c r="K380" s="88"/>
    </row>
    <row r="381" customFormat="false" ht="18" hidden="false" customHeight="false" outlineLevel="0" collapsed="false">
      <c r="A381" s="89" t="n">
        <v>43265</v>
      </c>
      <c r="B381" s="90" t="n">
        <v>87.41</v>
      </c>
      <c r="C381" s="91" t="n">
        <f aca="false">B381/B380-1</f>
        <v>0.0299281253682102</v>
      </c>
      <c r="G381" s="93" t="n">
        <v>43246</v>
      </c>
      <c r="H381" s="94" t="n">
        <v>278.9</v>
      </c>
      <c r="I381" s="95" t="n">
        <f aca="false">H381/H380-1</f>
        <v>0.0142924682692656</v>
      </c>
      <c r="J381" s="88"/>
      <c r="K381" s="88"/>
    </row>
    <row r="382" customFormat="false" ht="18" hidden="false" customHeight="false" outlineLevel="0" collapsed="false">
      <c r="A382" s="89" t="n">
        <v>43266</v>
      </c>
      <c r="B382" s="90" t="n">
        <v>85.47</v>
      </c>
      <c r="C382" s="91" t="n">
        <f aca="false">B382/B381-1</f>
        <v>-0.0221942569500057</v>
      </c>
      <c r="G382" s="93" t="n">
        <v>43249</v>
      </c>
      <c r="H382" s="94" t="n">
        <v>283.68</v>
      </c>
      <c r="I382" s="95" t="n">
        <f aca="false">H382/H381-1</f>
        <v>0.0171387594119756</v>
      </c>
      <c r="J382" s="88"/>
      <c r="K382" s="88"/>
    </row>
    <row r="383" customFormat="false" ht="18" hidden="false" customHeight="false" outlineLevel="0" collapsed="false">
      <c r="A383" s="89" t="n">
        <v>43267</v>
      </c>
      <c r="B383" s="90" t="n">
        <v>85.93</v>
      </c>
      <c r="C383" s="91" t="n">
        <f aca="false">B383/B382-1</f>
        <v>0.00538200538200551</v>
      </c>
      <c r="G383" s="93" t="n">
        <v>43250</v>
      </c>
      <c r="H383" s="94" t="n">
        <v>286.8</v>
      </c>
      <c r="I383" s="95" t="n">
        <f aca="false">H383/H382-1</f>
        <v>0.0109983079526228</v>
      </c>
      <c r="J383" s="88"/>
      <c r="K383" s="88"/>
    </row>
    <row r="384" customFormat="false" ht="18" hidden="false" customHeight="false" outlineLevel="0" collapsed="false">
      <c r="A384" s="89" t="n">
        <v>43271</v>
      </c>
      <c r="B384" s="90" t="n">
        <v>85.68</v>
      </c>
      <c r="C384" s="91" t="n">
        <f aca="false">B384/B383-1</f>
        <v>-0.0029093448155475</v>
      </c>
      <c r="G384" s="93" t="n">
        <v>43251</v>
      </c>
      <c r="H384" s="94" t="n">
        <v>284.32</v>
      </c>
      <c r="I384" s="95" t="n">
        <f aca="false">H384/H383-1</f>
        <v>-0.00864714086471419</v>
      </c>
      <c r="J384" s="88"/>
      <c r="K384" s="88"/>
    </row>
    <row r="385" customFormat="false" ht="18" hidden="false" customHeight="false" outlineLevel="0" collapsed="false">
      <c r="A385" s="89" t="n">
        <v>43272</v>
      </c>
      <c r="B385" s="90" t="n">
        <v>85.81</v>
      </c>
      <c r="C385" s="91" t="n">
        <f aca="false">B385/B384-1</f>
        <v>0.0015172735760971</v>
      </c>
      <c r="G385" s="93" t="n">
        <v>43252</v>
      </c>
      <c r="H385" s="94" t="n">
        <v>284.52</v>
      </c>
      <c r="I385" s="95" t="n">
        <f aca="false">H385/H384-1</f>
        <v>0.000703432751828936</v>
      </c>
      <c r="J385" s="88"/>
      <c r="K385" s="88"/>
    </row>
    <row r="386" customFormat="false" ht="18" hidden="false" customHeight="false" outlineLevel="0" collapsed="false">
      <c r="A386" s="89" t="n">
        <v>43273</v>
      </c>
      <c r="B386" s="90" t="n">
        <v>86.38</v>
      </c>
      <c r="C386" s="91" t="n">
        <f aca="false">B386/B385-1</f>
        <v>0.00664258244959792</v>
      </c>
      <c r="G386" s="93" t="n">
        <v>43253</v>
      </c>
      <c r="H386" s="94" t="n">
        <v>283.41</v>
      </c>
      <c r="I386" s="95" t="n">
        <f aca="false">H386/H385-1</f>
        <v>-0.00390130746520445</v>
      </c>
      <c r="J386" s="88"/>
      <c r="K386" s="88"/>
    </row>
    <row r="387" customFormat="false" ht="18" hidden="false" customHeight="false" outlineLevel="0" collapsed="false">
      <c r="A387" s="89" t="n">
        <v>43274</v>
      </c>
      <c r="B387" s="90" t="n">
        <v>86.49</v>
      </c>
      <c r="C387" s="91" t="n">
        <f aca="false">B387/B386-1</f>
        <v>0.00127344292660347</v>
      </c>
      <c r="G387" s="93" t="n">
        <v>43256</v>
      </c>
      <c r="H387" s="94" t="n">
        <v>286.03</v>
      </c>
      <c r="I387" s="95" t="n">
        <f aca="false">H387/H386-1</f>
        <v>0.00924455735506835</v>
      </c>
      <c r="J387" s="88"/>
      <c r="K387" s="88"/>
    </row>
    <row r="388" customFormat="false" ht="18" hidden="false" customHeight="false" outlineLevel="0" collapsed="false">
      <c r="A388" s="89" t="n">
        <v>43277</v>
      </c>
      <c r="B388" s="90" t="n">
        <v>85.31</v>
      </c>
      <c r="C388" s="91" t="n">
        <f aca="false">B388/B387-1</f>
        <v>-0.0136431957451728</v>
      </c>
      <c r="G388" s="93" t="n">
        <v>43257</v>
      </c>
      <c r="H388" s="94" t="n">
        <v>284.61</v>
      </c>
      <c r="I388" s="95" t="n">
        <f aca="false">H388/H387-1</f>
        <v>-0.00496451421179578</v>
      </c>
      <c r="J388" s="88"/>
      <c r="K388" s="88"/>
    </row>
    <row r="389" customFormat="false" ht="18" hidden="false" customHeight="false" outlineLevel="0" collapsed="false">
      <c r="A389" s="89" t="n">
        <v>43278</v>
      </c>
      <c r="B389" s="90" t="n">
        <v>84.66</v>
      </c>
      <c r="C389" s="91" t="n">
        <f aca="false">B389/B388-1</f>
        <v>-0.0076192708943853</v>
      </c>
      <c r="G389" s="93" t="n">
        <v>43258</v>
      </c>
      <c r="H389" s="94" t="n">
        <v>287.78</v>
      </c>
      <c r="I389" s="95" t="n">
        <f aca="false">H389/H388-1</f>
        <v>0.0111380485576753</v>
      </c>
      <c r="J389" s="88"/>
      <c r="K389" s="88"/>
    </row>
    <row r="390" customFormat="false" ht="18" hidden="false" customHeight="false" outlineLevel="0" collapsed="false">
      <c r="A390" s="89" t="n">
        <v>43279</v>
      </c>
      <c r="B390" s="90" t="n">
        <v>84.97</v>
      </c>
      <c r="C390" s="91" t="n">
        <f aca="false">B390/B389-1</f>
        <v>0.0036617056461139</v>
      </c>
      <c r="G390" s="93" t="n">
        <v>43259</v>
      </c>
      <c r="H390" s="94" t="n">
        <v>284.72</v>
      </c>
      <c r="I390" s="95" t="n">
        <f aca="false">H390/H389-1</f>
        <v>-0.0106331225241502</v>
      </c>
      <c r="J390" s="88"/>
      <c r="K390" s="88"/>
    </row>
    <row r="391" customFormat="false" ht="18" hidden="false" customHeight="false" outlineLevel="0" collapsed="false">
      <c r="A391" s="89" t="n">
        <v>43280</v>
      </c>
      <c r="B391" s="90" t="n">
        <v>85.32</v>
      </c>
      <c r="C391" s="91" t="n">
        <f aca="false">B391/B390-1</f>
        <v>0.00411910085912659</v>
      </c>
      <c r="G391" s="93" t="n">
        <v>43260</v>
      </c>
      <c r="H391" s="94" t="n">
        <v>281.85</v>
      </c>
      <c r="I391" s="95" t="n">
        <f aca="false">H391/H390-1</f>
        <v>-0.0100800786737848</v>
      </c>
      <c r="J391" s="88"/>
      <c r="K391" s="88"/>
    </row>
    <row r="392" customFormat="false" ht="18" hidden="false" customHeight="false" outlineLevel="0" collapsed="false">
      <c r="A392" s="89" t="n">
        <v>43281</v>
      </c>
      <c r="B392" s="90" t="n">
        <v>86.15</v>
      </c>
      <c r="C392" s="91" t="n">
        <f aca="false">B392/B391-1</f>
        <v>0.0097280825128927</v>
      </c>
      <c r="G392" s="93" t="n">
        <v>43263</v>
      </c>
      <c r="H392" s="94" t="n">
        <v>272.14</v>
      </c>
      <c r="I392" s="95" t="n">
        <f aca="false">H392/H391-1</f>
        <v>-0.0344509490863936</v>
      </c>
      <c r="J392" s="88"/>
      <c r="K392" s="88"/>
    </row>
    <row r="393" customFormat="false" ht="18" hidden="false" customHeight="false" outlineLevel="0" collapsed="false">
      <c r="A393" s="89" t="n">
        <v>43285</v>
      </c>
      <c r="B393" s="90" t="n">
        <v>85.47</v>
      </c>
      <c r="C393" s="91" t="n">
        <f aca="false">B393/B392-1</f>
        <v>-0.0078932095182821</v>
      </c>
      <c r="G393" s="93" t="n">
        <v>43264</v>
      </c>
      <c r="H393" s="94" t="n">
        <v>273.59</v>
      </c>
      <c r="I393" s="95" t="n">
        <f aca="false">H393/H392-1</f>
        <v>0.00532813992797832</v>
      </c>
      <c r="J393" s="88"/>
      <c r="K393" s="88"/>
    </row>
    <row r="394" customFormat="false" ht="18" hidden="false" customHeight="false" outlineLevel="0" collapsed="false">
      <c r="A394" s="89" t="n">
        <v>43286</v>
      </c>
      <c r="B394" s="90" t="n">
        <v>84.78</v>
      </c>
      <c r="C394" s="91" t="n">
        <f aca="false">B394/B393-1</f>
        <v>-0.00807300807300804</v>
      </c>
      <c r="G394" s="93" t="n">
        <v>43265</v>
      </c>
      <c r="H394" s="94" t="n">
        <v>274.91</v>
      </c>
      <c r="I394" s="95" t="n">
        <f aca="false">H394/H393-1</f>
        <v>0.00482473774626291</v>
      </c>
      <c r="J394" s="88"/>
      <c r="K394" s="88"/>
    </row>
    <row r="395" customFormat="false" ht="18" hidden="false" customHeight="false" outlineLevel="0" collapsed="false">
      <c r="A395" s="89" t="n">
        <v>43287</v>
      </c>
      <c r="B395" s="90" t="n">
        <v>85.03</v>
      </c>
      <c r="C395" s="91" t="n">
        <f aca="false">B395/B394-1</f>
        <v>0.00294880868129277</v>
      </c>
      <c r="G395" s="93" t="n">
        <v>43266</v>
      </c>
      <c r="H395" s="94" t="n">
        <v>270.71</v>
      </c>
      <c r="I395" s="95" t="n">
        <f aca="false">H395/H394-1</f>
        <v>-0.0152777272561931</v>
      </c>
      <c r="J395" s="88"/>
      <c r="K395" s="88"/>
    </row>
    <row r="396" customFormat="false" ht="18" hidden="false" customHeight="false" outlineLevel="0" collapsed="false">
      <c r="A396" s="89" t="n">
        <v>43288</v>
      </c>
      <c r="B396" s="90" t="n">
        <v>84.63</v>
      </c>
      <c r="C396" s="91" t="n">
        <f aca="false">B396/B395-1</f>
        <v>-0.00470422203928034</v>
      </c>
      <c r="G396" s="93" t="n">
        <v>43267</v>
      </c>
      <c r="H396" s="94" t="n">
        <v>269.87</v>
      </c>
      <c r="I396" s="95" t="n">
        <f aca="false">H396/H395-1</f>
        <v>-0.00310295149791284</v>
      </c>
      <c r="J396" s="88"/>
      <c r="K396" s="88"/>
    </row>
    <row r="397" customFormat="false" ht="18" hidden="false" customHeight="false" outlineLevel="0" collapsed="false">
      <c r="A397" s="89" t="n">
        <v>43291</v>
      </c>
      <c r="B397" s="90" t="n">
        <v>83.92</v>
      </c>
      <c r="C397" s="91" t="n">
        <f aca="false">B397/B396-1</f>
        <v>-0.00838946000236318</v>
      </c>
      <c r="G397" s="93" t="n">
        <v>43270</v>
      </c>
      <c r="H397" s="94" t="n">
        <v>268.97</v>
      </c>
      <c r="I397" s="95" t="n">
        <f aca="false">H397/H396-1</f>
        <v>-0.00333493904472515</v>
      </c>
      <c r="J397" s="88"/>
      <c r="K397" s="88"/>
    </row>
    <row r="398" customFormat="false" ht="18" hidden="false" customHeight="false" outlineLevel="0" collapsed="false">
      <c r="A398" s="89" t="n">
        <v>43292</v>
      </c>
      <c r="B398" s="90" t="n">
        <v>83.68</v>
      </c>
      <c r="C398" s="91" t="n">
        <f aca="false">B398/B397-1</f>
        <v>-0.00285986653956138</v>
      </c>
      <c r="G398" s="93" t="n">
        <v>43271</v>
      </c>
      <c r="H398" s="94" t="n">
        <v>273.79</v>
      </c>
      <c r="I398" s="95" t="n">
        <f aca="false">H398/H397-1</f>
        <v>0.017920214150277</v>
      </c>
      <c r="J398" s="88"/>
      <c r="K398" s="88"/>
    </row>
    <row r="399" customFormat="false" ht="18" hidden="false" customHeight="false" outlineLevel="0" collapsed="false">
      <c r="A399" s="89" t="n">
        <v>43293</v>
      </c>
      <c r="B399" s="90" t="n">
        <v>83.34</v>
      </c>
      <c r="C399" s="91" t="n">
        <f aca="false">B399/B398-1</f>
        <v>-0.00406309751434042</v>
      </c>
      <c r="G399" s="93" t="n">
        <v>43272</v>
      </c>
      <c r="H399" s="94" t="n">
        <v>268.32</v>
      </c>
      <c r="I399" s="95" t="n">
        <f aca="false">H399/H398-1</f>
        <v>-0.0199788158807847</v>
      </c>
      <c r="J399" s="88"/>
      <c r="K399" s="88"/>
    </row>
    <row r="400" customFormat="false" ht="18" hidden="false" customHeight="false" outlineLevel="0" collapsed="false">
      <c r="A400" s="89" t="n">
        <v>43294</v>
      </c>
      <c r="B400" s="90" t="n">
        <v>81.88</v>
      </c>
      <c r="C400" s="91" t="n">
        <f aca="false">B400/B399-1</f>
        <v>-0.0175185985121191</v>
      </c>
      <c r="G400" s="93" t="n">
        <v>43273</v>
      </c>
      <c r="H400" s="94" t="n">
        <v>269.44</v>
      </c>
      <c r="I400" s="95" t="n">
        <f aca="false">H400/H399-1</f>
        <v>0.00417412045319021</v>
      </c>
      <c r="J400" s="88"/>
      <c r="K400" s="88"/>
    </row>
    <row r="401" customFormat="false" ht="18" hidden="false" customHeight="false" outlineLevel="0" collapsed="false">
      <c r="A401" s="89" t="n">
        <v>43295</v>
      </c>
      <c r="B401" s="90" t="n">
        <v>82.7</v>
      </c>
      <c r="C401" s="91" t="n">
        <f aca="false">B401/B400-1</f>
        <v>0.0100146555935516</v>
      </c>
      <c r="G401" s="93" t="n">
        <v>43274</v>
      </c>
      <c r="H401" s="94" t="n">
        <v>273.15</v>
      </c>
      <c r="I401" s="95" t="n">
        <f aca="false">H401/H400-1</f>
        <v>0.0137692992874108</v>
      </c>
      <c r="J401" s="88"/>
      <c r="K401" s="88"/>
    </row>
    <row r="402" customFormat="false" ht="18" hidden="false" customHeight="false" outlineLevel="0" collapsed="false">
      <c r="A402" s="89" t="n">
        <v>43298</v>
      </c>
      <c r="B402" s="90" t="n">
        <v>82.74</v>
      </c>
      <c r="C402" s="91" t="n">
        <f aca="false">B402/B401-1</f>
        <v>0.000483675937122063</v>
      </c>
      <c r="G402" s="93" t="n">
        <v>43277</v>
      </c>
      <c r="H402" s="94" t="n">
        <v>276.75</v>
      </c>
      <c r="I402" s="95" t="n">
        <f aca="false">H402/H401-1</f>
        <v>0.0131795716639209</v>
      </c>
      <c r="J402" s="88"/>
      <c r="K402" s="88"/>
    </row>
    <row r="403" customFormat="false" ht="18" hidden="false" customHeight="false" outlineLevel="0" collapsed="false">
      <c r="A403" s="89" t="n">
        <v>43299</v>
      </c>
      <c r="B403" s="90" t="n">
        <v>83.95</v>
      </c>
      <c r="C403" s="91" t="n">
        <f aca="false">B403/B402-1</f>
        <v>0.0146241237611797</v>
      </c>
      <c r="G403" s="93" t="n">
        <v>43278</v>
      </c>
      <c r="H403" s="94" t="n">
        <v>276.66</v>
      </c>
      <c r="I403" s="95" t="n">
        <f aca="false">H403/H402-1</f>
        <v>-0.000325203252032447</v>
      </c>
      <c r="J403" s="88"/>
      <c r="K403" s="88"/>
    </row>
    <row r="404" customFormat="false" ht="18" hidden="false" customHeight="false" outlineLevel="0" collapsed="false">
      <c r="A404" s="89" t="n">
        <v>43300</v>
      </c>
      <c r="B404" s="90" t="n">
        <v>84.61</v>
      </c>
      <c r="C404" s="91" t="n">
        <f aca="false">B404/B403-1</f>
        <v>0.00786182251340084</v>
      </c>
      <c r="G404" s="93" t="n">
        <v>43279</v>
      </c>
      <c r="H404" s="94" t="n">
        <v>273.39</v>
      </c>
      <c r="I404" s="95" t="n">
        <f aca="false">H404/H403-1</f>
        <v>-0.0118195619171547</v>
      </c>
      <c r="J404" s="88"/>
      <c r="K404" s="88"/>
    </row>
    <row r="405" customFormat="false" ht="18" hidden="false" customHeight="false" outlineLevel="0" collapsed="false">
      <c r="A405" s="89" t="n">
        <v>43301</v>
      </c>
      <c r="B405" s="90" t="n">
        <v>85.08</v>
      </c>
      <c r="C405" s="91" t="n">
        <f aca="false">B405/B404-1</f>
        <v>0.0055548989481149</v>
      </c>
      <c r="G405" s="93" t="n">
        <v>43280</v>
      </c>
      <c r="H405" s="94" t="n">
        <v>270.16</v>
      </c>
      <c r="I405" s="95" t="n">
        <f aca="false">H405/H404-1</f>
        <v>-0.0118146237975053</v>
      </c>
      <c r="J405" s="88"/>
      <c r="K405" s="88"/>
    </row>
    <row r="406" customFormat="false" ht="18" hidden="false" customHeight="false" outlineLevel="0" collapsed="false">
      <c r="A406" s="89" t="n">
        <v>43302</v>
      </c>
      <c r="B406" s="90" t="n">
        <v>86.01</v>
      </c>
      <c r="C406" s="91" t="n">
        <f aca="false">B406/B405-1</f>
        <v>0.0109308885754584</v>
      </c>
      <c r="G406" s="93" t="n">
        <v>43281</v>
      </c>
      <c r="H406" s="94" t="n">
        <v>268.42</v>
      </c>
      <c r="I406" s="95" t="n">
        <f aca="false">H406/H405-1</f>
        <v>-0.00644062777613275</v>
      </c>
      <c r="J406" s="88"/>
      <c r="K406" s="88"/>
    </row>
    <row r="407" customFormat="false" ht="18" hidden="false" customHeight="false" outlineLevel="0" collapsed="false">
      <c r="A407" s="89" t="n">
        <v>43305</v>
      </c>
      <c r="B407" s="90" t="n">
        <v>86.07</v>
      </c>
      <c r="C407" s="91" t="n">
        <f aca="false">B407/B406-1</f>
        <v>0.000697593303104149</v>
      </c>
      <c r="G407" s="93" t="n">
        <v>43284</v>
      </c>
      <c r="H407" s="94" t="n">
        <v>268.43</v>
      </c>
      <c r="I407" s="95" t="n">
        <f aca="false">H407/H406-1</f>
        <v>3.72550480589595E-005</v>
      </c>
      <c r="J407" s="88"/>
      <c r="K407" s="88"/>
    </row>
    <row r="408" customFormat="false" ht="18" hidden="false" customHeight="false" outlineLevel="0" collapsed="false">
      <c r="A408" s="89" t="n">
        <v>43306</v>
      </c>
      <c r="B408" s="90" t="n">
        <v>85.27</v>
      </c>
      <c r="C408" s="91" t="n">
        <f aca="false">B408/B407-1</f>
        <v>-0.00929476007900543</v>
      </c>
      <c r="G408" s="93" t="n">
        <v>43285</v>
      </c>
      <c r="H408" s="94" t="n">
        <v>267.56</v>
      </c>
      <c r="I408" s="95" t="n">
        <f aca="false">H408/H407-1</f>
        <v>-0.00324106843497374</v>
      </c>
      <c r="J408" s="88"/>
      <c r="K408" s="88"/>
    </row>
    <row r="409" customFormat="false" ht="18" hidden="false" customHeight="false" outlineLevel="0" collapsed="false">
      <c r="A409" s="89" t="n">
        <v>43307</v>
      </c>
      <c r="B409" s="90" t="n">
        <v>86.56</v>
      </c>
      <c r="C409" s="91" t="n">
        <f aca="false">B409/B408-1</f>
        <v>0.0151284156209688</v>
      </c>
      <c r="G409" s="93" t="n">
        <v>43286</v>
      </c>
      <c r="H409" s="94" t="n">
        <v>264.97</v>
      </c>
      <c r="I409" s="95" t="n">
        <f aca="false">H409/H408-1</f>
        <v>-0.00968007175960528</v>
      </c>
      <c r="J409" s="88"/>
      <c r="K409" s="88"/>
    </row>
    <row r="410" customFormat="false" ht="18" hidden="false" customHeight="false" outlineLevel="0" collapsed="false">
      <c r="A410" s="89" t="n">
        <v>43308</v>
      </c>
      <c r="B410" s="90" t="n">
        <v>87.68</v>
      </c>
      <c r="C410" s="91" t="n">
        <f aca="false">B410/B409-1</f>
        <v>0.0129390018484288</v>
      </c>
      <c r="G410" s="93" t="n">
        <v>43287</v>
      </c>
      <c r="H410" s="94" t="n">
        <v>268.51</v>
      </c>
      <c r="I410" s="95" t="n">
        <f aca="false">H410/H409-1</f>
        <v>0.0133600030192096</v>
      </c>
      <c r="J410" s="88"/>
      <c r="K410" s="88"/>
    </row>
    <row r="411" customFormat="false" ht="18" hidden="false" customHeight="false" outlineLevel="0" collapsed="false">
      <c r="A411" s="89" t="n">
        <v>43309</v>
      </c>
      <c r="B411" s="90" t="n">
        <v>88.02</v>
      </c>
      <c r="C411" s="91" t="n">
        <f aca="false">B411/B410-1</f>
        <v>0.00387773722627727</v>
      </c>
      <c r="G411" s="93" t="n">
        <v>43288</v>
      </c>
      <c r="H411" s="94" t="n">
        <v>269.23</v>
      </c>
      <c r="I411" s="95" t="n">
        <f aca="false">H411/H410-1</f>
        <v>0.00268146437749062</v>
      </c>
      <c r="J411" s="88"/>
      <c r="K411" s="88"/>
    </row>
    <row r="412" customFormat="false" ht="18" hidden="false" customHeight="false" outlineLevel="0" collapsed="false">
      <c r="A412" s="89" t="n">
        <v>43312</v>
      </c>
      <c r="B412" s="90" t="n">
        <v>88.07</v>
      </c>
      <c r="C412" s="91" t="n">
        <f aca="false">B412/B411-1</f>
        <v>0.000568052715292033</v>
      </c>
      <c r="G412" s="93" t="n">
        <v>43291</v>
      </c>
      <c r="H412" s="94" t="n">
        <v>264.19</v>
      </c>
      <c r="I412" s="95" t="n">
        <f aca="false">H412/H411-1</f>
        <v>-0.0187200534858671</v>
      </c>
      <c r="J412" s="88"/>
      <c r="K412" s="88"/>
    </row>
    <row r="413" customFormat="false" ht="18" hidden="false" customHeight="false" outlineLevel="0" collapsed="false">
      <c r="A413" s="89" t="n">
        <v>43313</v>
      </c>
      <c r="B413" s="90" t="n">
        <v>86.79</v>
      </c>
      <c r="C413" s="91" t="n">
        <f aca="false">B413/B412-1</f>
        <v>-0.0145338934938116</v>
      </c>
      <c r="G413" s="93" t="n">
        <v>43292</v>
      </c>
      <c r="H413" s="94" t="n">
        <v>261.17</v>
      </c>
      <c r="I413" s="95" t="n">
        <f aca="false">H413/H412-1</f>
        <v>-0.0114311669631704</v>
      </c>
      <c r="J413" s="88"/>
      <c r="K413" s="88"/>
    </row>
    <row r="414" customFormat="false" ht="18" hidden="false" customHeight="false" outlineLevel="0" collapsed="false">
      <c r="A414" s="89" t="n">
        <v>43314</v>
      </c>
      <c r="B414" s="90" t="n">
        <v>88.46</v>
      </c>
      <c r="C414" s="91" t="n">
        <f aca="false">B414/B413-1</f>
        <v>0.0192418481391865</v>
      </c>
      <c r="G414" s="93" t="n">
        <v>43293</v>
      </c>
      <c r="H414" s="94" t="n">
        <v>261.8</v>
      </c>
      <c r="I414" s="95" t="n">
        <f aca="false">H414/H413-1</f>
        <v>0.00241222192441692</v>
      </c>
      <c r="J414" s="88"/>
      <c r="K414" s="88"/>
    </row>
    <row r="415" customFormat="false" ht="18" hidden="false" customHeight="false" outlineLevel="0" collapsed="false">
      <c r="A415" s="89" t="n">
        <v>43315</v>
      </c>
      <c r="B415" s="90" t="n">
        <v>88.65</v>
      </c>
      <c r="C415" s="91" t="n">
        <f aca="false">B415/B414-1</f>
        <v>0.0021478634411034</v>
      </c>
      <c r="G415" s="93" t="n">
        <v>43294</v>
      </c>
      <c r="H415" s="94" t="n">
        <v>259.8</v>
      </c>
      <c r="I415" s="95" t="n">
        <f aca="false">H415/H414-1</f>
        <v>-0.00763941940412527</v>
      </c>
      <c r="J415" s="88"/>
      <c r="K415" s="88"/>
    </row>
    <row r="416" customFormat="false" ht="18" hidden="false" customHeight="false" outlineLevel="0" collapsed="false">
      <c r="A416" s="89" t="n">
        <v>43316</v>
      </c>
      <c r="B416" s="90" t="n">
        <v>88.47</v>
      </c>
      <c r="C416" s="91" t="n">
        <f aca="false">B416/B415-1</f>
        <v>-0.00203045685279191</v>
      </c>
      <c r="G416" s="93" t="n">
        <v>43295</v>
      </c>
      <c r="H416" s="94" t="n">
        <v>259.3</v>
      </c>
      <c r="I416" s="95" t="n">
        <f aca="false">H416/H415-1</f>
        <v>-0.00192455735180908</v>
      </c>
      <c r="J416" s="88"/>
      <c r="K416" s="88"/>
    </row>
    <row r="417" customFormat="false" ht="18" hidden="false" customHeight="false" outlineLevel="0" collapsed="false">
      <c r="A417" s="89" t="n">
        <v>43319</v>
      </c>
      <c r="B417" s="90" t="n">
        <v>89.78</v>
      </c>
      <c r="C417" s="91" t="n">
        <f aca="false">B417/B416-1</f>
        <v>0.0148072793037188</v>
      </c>
      <c r="G417" s="93" t="n">
        <v>43298</v>
      </c>
      <c r="H417" s="94" t="n">
        <v>263.72</v>
      </c>
      <c r="I417" s="95" t="n">
        <f aca="false">H417/H416-1</f>
        <v>0.0170458927882762</v>
      </c>
      <c r="J417" s="88"/>
      <c r="K417" s="88"/>
    </row>
    <row r="418" customFormat="false" ht="18" hidden="false" customHeight="false" outlineLevel="0" collapsed="false">
      <c r="A418" s="89" t="n">
        <v>43320</v>
      </c>
      <c r="B418" s="90" t="n">
        <v>88.28</v>
      </c>
      <c r="C418" s="91" t="n">
        <f aca="false">B418/B417-1</f>
        <v>-0.0167075072399198</v>
      </c>
      <c r="G418" s="93" t="n">
        <v>43299</v>
      </c>
      <c r="H418" s="94" t="n">
        <v>264.4</v>
      </c>
      <c r="I418" s="95" t="n">
        <f aca="false">H418/H417-1</f>
        <v>0.00257849234036089</v>
      </c>
      <c r="J418" s="88"/>
      <c r="K418" s="88"/>
    </row>
    <row r="419" customFormat="false" ht="18" hidden="false" customHeight="false" outlineLevel="0" collapsed="false">
      <c r="A419" s="89" t="n">
        <v>43321</v>
      </c>
      <c r="B419" s="90" t="n">
        <v>89.86</v>
      </c>
      <c r="C419" s="91" t="n">
        <f aca="false">B419/B418-1</f>
        <v>0.017897598550068</v>
      </c>
      <c r="G419" s="93" t="n">
        <v>43300</v>
      </c>
      <c r="H419" s="94" t="n">
        <v>265.78</v>
      </c>
      <c r="I419" s="95" t="n">
        <f aca="false">H419/H418-1</f>
        <v>0.00521936459909234</v>
      </c>
      <c r="J419" s="88"/>
      <c r="K419" s="88"/>
    </row>
    <row r="420" customFormat="false" ht="18" hidden="false" customHeight="false" outlineLevel="0" collapsed="false">
      <c r="A420" s="89" t="n">
        <v>43322</v>
      </c>
      <c r="B420" s="90" t="n">
        <v>89.49</v>
      </c>
      <c r="C420" s="91" t="n">
        <f aca="false">B420/B419-1</f>
        <v>-0.00411751613621192</v>
      </c>
      <c r="G420" s="93" t="n">
        <v>43301</v>
      </c>
      <c r="H420" s="94" t="n">
        <v>266.7</v>
      </c>
      <c r="I420" s="95" t="n">
        <f aca="false">H420/H419-1</f>
        <v>0.00346150951915125</v>
      </c>
      <c r="J420" s="88"/>
      <c r="K420" s="88"/>
    </row>
    <row r="421" customFormat="false" ht="18" hidden="false" customHeight="false" outlineLevel="0" collapsed="false">
      <c r="A421" s="89" t="n">
        <v>43323</v>
      </c>
      <c r="B421" s="90" t="n">
        <v>90.17</v>
      </c>
      <c r="C421" s="91" t="n">
        <f aca="false">B421/B420-1</f>
        <v>0.00759861437032083</v>
      </c>
      <c r="G421" s="93" t="n">
        <v>43302</v>
      </c>
      <c r="H421" s="94" t="n">
        <v>266.48</v>
      </c>
      <c r="I421" s="95" t="n">
        <f aca="false">H421/H420-1</f>
        <v>-0.000824896887888893</v>
      </c>
      <c r="J421" s="88"/>
      <c r="K421" s="88"/>
    </row>
    <row r="422" customFormat="false" ht="18" hidden="false" customHeight="false" outlineLevel="0" collapsed="false">
      <c r="A422" s="89" t="n">
        <v>43326</v>
      </c>
      <c r="B422" s="90" t="n">
        <v>90</v>
      </c>
      <c r="C422" s="91" t="n">
        <f aca="false">B422/B421-1</f>
        <v>-0.00188532771431738</v>
      </c>
      <c r="G422" s="93" t="n">
        <v>43305</v>
      </c>
      <c r="H422" s="94" t="n">
        <v>265.98</v>
      </c>
      <c r="I422" s="95" t="n">
        <f aca="false">H422/H421-1</f>
        <v>-0.00187631341939354</v>
      </c>
      <c r="J422" s="88"/>
      <c r="K422" s="88"/>
    </row>
    <row r="423" customFormat="false" ht="18" hidden="false" customHeight="false" outlineLevel="0" collapsed="false">
      <c r="A423" s="89" t="n">
        <v>43327</v>
      </c>
      <c r="B423" s="90" t="n">
        <v>89.22</v>
      </c>
      <c r="C423" s="91" t="n">
        <f aca="false">B423/B422-1</f>
        <v>-0.00866666666666671</v>
      </c>
      <c r="G423" s="93" t="n">
        <v>43306</v>
      </c>
      <c r="H423" s="94" t="n">
        <v>265.78</v>
      </c>
      <c r="I423" s="95" t="n">
        <f aca="false">H423/H422-1</f>
        <v>-0.000751936235807382</v>
      </c>
      <c r="J423" s="88"/>
      <c r="K423" s="88"/>
    </row>
    <row r="424" customFormat="false" ht="18" hidden="false" customHeight="false" outlineLevel="0" collapsed="false">
      <c r="A424" s="89" t="n">
        <v>43328</v>
      </c>
      <c r="B424" s="90" t="n">
        <v>88.24</v>
      </c>
      <c r="C424" s="91" t="n">
        <f aca="false">B424/B423-1</f>
        <v>-0.0109840842860346</v>
      </c>
      <c r="G424" s="93" t="n">
        <v>43307</v>
      </c>
      <c r="H424" s="94" t="n">
        <v>266.66</v>
      </c>
      <c r="I424" s="95" t="n">
        <f aca="false">H424/H423-1</f>
        <v>0.00331100910527526</v>
      </c>
      <c r="J424" s="88"/>
      <c r="K424" s="88"/>
    </row>
    <row r="425" customFormat="false" ht="18" hidden="false" customHeight="false" outlineLevel="0" collapsed="false">
      <c r="A425" s="89" t="n">
        <v>43329</v>
      </c>
      <c r="B425" s="90" t="n">
        <v>88.14</v>
      </c>
      <c r="C425" s="91" t="n">
        <f aca="false">B425/B424-1</f>
        <v>-0.0011332728921124</v>
      </c>
      <c r="G425" s="93" t="n">
        <v>43308</v>
      </c>
      <c r="H425" s="94" t="n">
        <v>268.45</v>
      </c>
      <c r="I425" s="95" t="n">
        <f aca="false">H425/H424-1</f>
        <v>0.00671266781669533</v>
      </c>
      <c r="J425" s="88"/>
      <c r="K425" s="88"/>
    </row>
    <row r="426" customFormat="false" ht="18" hidden="false" customHeight="false" outlineLevel="0" collapsed="false">
      <c r="A426" s="89" t="n">
        <v>43330</v>
      </c>
      <c r="B426" s="90" t="n">
        <v>86.8</v>
      </c>
      <c r="C426" s="91" t="n">
        <f aca="false">B426/B425-1</f>
        <v>-0.0152030859995462</v>
      </c>
      <c r="G426" s="93" t="n">
        <v>43309</v>
      </c>
      <c r="H426" s="94" t="n">
        <v>267.32</v>
      </c>
      <c r="I426" s="95" t="n">
        <f aca="false">H426/H425-1</f>
        <v>-0.00420934997206179</v>
      </c>
      <c r="J426" s="88"/>
      <c r="K426" s="88"/>
    </row>
    <row r="427" customFormat="false" ht="18" hidden="false" customHeight="false" outlineLevel="0" collapsed="false">
      <c r="A427" s="89" t="n">
        <v>43333</v>
      </c>
      <c r="B427" s="90" t="n">
        <v>86.16</v>
      </c>
      <c r="C427" s="91" t="n">
        <f aca="false">B427/B426-1</f>
        <v>-0.00737327188940096</v>
      </c>
      <c r="G427" s="93" t="n">
        <v>43312</v>
      </c>
      <c r="H427" s="94" t="n">
        <v>268.36</v>
      </c>
      <c r="I427" s="95" t="n">
        <f aca="false">H427/H426-1</f>
        <v>0.00389046835253626</v>
      </c>
      <c r="J427" s="88"/>
      <c r="K427" s="88"/>
    </row>
    <row r="428" customFormat="false" ht="18" hidden="false" customHeight="false" outlineLevel="0" collapsed="false">
      <c r="A428" s="89" t="n">
        <v>43334</v>
      </c>
      <c r="B428" s="90" t="n">
        <v>87.07</v>
      </c>
      <c r="C428" s="91" t="n">
        <f aca="false">B428/B427-1</f>
        <v>0.0105617455896008</v>
      </c>
      <c r="G428" s="93" t="n">
        <v>43313</v>
      </c>
      <c r="H428" s="94" t="n">
        <v>265.89</v>
      </c>
      <c r="I428" s="95" t="n">
        <f aca="false">H428/H427-1</f>
        <v>-0.00920405425547777</v>
      </c>
      <c r="J428" s="88"/>
      <c r="K428" s="88"/>
    </row>
    <row r="429" customFormat="false" ht="18" hidden="false" customHeight="false" outlineLevel="0" collapsed="false">
      <c r="A429" s="89" t="n">
        <v>43335</v>
      </c>
      <c r="B429" s="90" t="n">
        <v>86.99</v>
      </c>
      <c r="C429" s="91" t="n">
        <f aca="false">B429/B428-1</f>
        <v>-0.000918800964740951</v>
      </c>
      <c r="G429" s="93" t="n">
        <v>43314</v>
      </c>
      <c r="H429" s="94" t="n">
        <v>265.88</v>
      </c>
      <c r="I429" s="95" t="n">
        <f aca="false">H429/H428-1</f>
        <v>-3.760953777876E-005</v>
      </c>
      <c r="J429" s="88"/>
      <c r="K429" s="88"/>
    </row>
    <row r="430" customFormat="false" ht="18" hidden="false" customHeight="false" outlineLevel="0" collapsed="false">
      <c r="A430" s="89" t="n">
        <v>43336</v>
      </c>
      <c r="B430" s="90" t="n">
        <v>87.91</v>
      </c>
      <c r="C430" s="91" t="n">
        <f aca="false">B430/B429-1</f>
        <v>0.010575928267617</v>
      </c>
      <c r="G430" s="93" t="n">
        <v>43315</v>
      </c>
      <c r="H430" s="94" t="n">
        <v>267.97</v>
      </c>
      <c r="I430" s="95" t="n">
        <f aca="false">H430/H429-1</f>
        <v>0.00786068903264647</v>
      </c>
      <c r="J430" s="88"/>
      <c r="K430" s="88"/>
    </row>
    <row r="431" customFormat="false" ht="18" hidden="false" customHeight="false" outlineLevel="0" collapsed="false">
      <c r="A431" s="89" t="n">
        <v>43337</v>
      </c>
      <c r="B431" s="90" t="n">
        <v>86.54</v>
      </c>
      <c r="C431" s="91" t="n">
        <f aca="false">B431/B430-1</f>
        <v>-0.0155841201228528</v>
      </c>
      <c r="G431" s="93" t="n">
        <v>43316</v>
      </c>
      <c r="H431" s="94" t="n">
        <v>269.67</v>
      </c>
      <c r="I431" s="95" t="n">
        <f aca="false">H431/H430-1</f>
        <v>0.00634399373064154</v>
      </c>
      <c r="J431" s="88"/>
      <c r="K431" s="88"/>
    </row>
    <row r="432" customFormat="false" ht="18" hidden="false" customHeight="false" outlineLevel="0" collapsed="false">
      <c r="A432" s="89" t="n">
        <v>43340</v>
      </c>
      <c r="B432" s="90" t="n">
        <v>86.02</v>
      </c>
      <c r="C432" s="91" t="n">
        <f aca="false">B432/B431-1</f>
        <v>-0.00600878206609667</v>
      </c>
      <c r="G432" s="93" t="n">
        <v>43319</v>
      </c>
      <c r="H432" s="94" t="n">
        <v>269.98</v>
      </c>
      <c r="I432" s="95" t="n">
        <f aca="false">H432/H431-1</f>
        <v>0.00114955315756293</v>
      </c>
      <c r="J432" s="88"/>
      <c r="K432" s="88"/>
    </row>
    <row r="433" customFormat="false" ht="18" hidden="false" customHeight="false" outlineLevel="0" collapsed="false">
      <c r="A433" s="89" t="n">
        <v>43341</v>
      </c>
      <c r="B433" s="90" t="n">
        <v>85.99</v>
      </c>
      <c r="C433" s="91" t="n">
        <f aca="false">B433/B432-1</f>
        <v>-0.000348756103231818</v>
      </c>
      <c r="G433" s="93" t="n">
        <v>43320</v>
      </c>
      <c r="H433" s="94" t="n">
        <v>269.94</v>
      </c>
      <c r="I433" s="95" t="n">
        <f aca="false">H433/H432-1</f>
        <v>-0.000148159122898117</v>
      </c>
      <c r="J433" s="88"/>
      <c r="K433" s="88"/>
    </row>
    <row r="434" customFormat="false" ht="18" hidden="false" customHeight="false" outlineLevel="0" collapsed="false">
      <c r="A434" s="89" t="n">
        <v>43342</v>
      </c>
      <c r="B434" s="90" t="n">
        <v>85.3</v>
      </c>
      <c r="C434" s="91" t="n">
        <f aca="false">B434/B433-1</f>
        <v>-0.00802418885916967</v>
      </c>
      <c r="G434" s="93" t="n">
        <v>43321</v>
      </c>
      <c r="H434" s="94" t="n">
        <v>269.96</v>
      </c>
      <c r="I434" s="95" t="n">
        <f aca="false">H434/H433-1</f>
        <v>7.40905386380497E-005</v>
      </c>
      <c r="J434" s="88"/>
      <c r="K434" s="88"/>
    </row>
    <row r="435" customFormat="false" ht="18" hidden="false" customHeight="false" outlineLevel="0" collapsed="false">
      <c r="A435" s="89" t="n">
        <v>43343</v>
      </c>
      <c r="B435" s="90" t="n">
        <v>84.78</v>
      </c>
      <c r="C435" s="91" t="n">
        <f aca="false">B435/B434-1</f>
        <v>-0.0060961313012895</v>
      </c>
      <c r="G435" s="93" t="n">
        <v>43322</v>
      </c>
      <c r="H435" s="94" t="n">
        <v>273.68</v>
      </c>
      <c r="I435" s="95" t="n">
        <f aca="false">H435/H434-1</f>
        <v>0.013779819232479</v>
      </c>
      <c r="J435" s="88"/>
      <c r="K435" s="88"/>
    </row>
    <row r="436" customFormat="false" ht="18" hidden="false" customHeight="false" outlineLevel="0" collapsed="false">
      <c r="A436" s="89" t="n">
        <v>43344</v>
      </c>
      <c r="B436" s="90" t="n">
        <v>85.08</v>
      </c>
      <c r="C436" s="91" t="n">
        <f aca="false">B436/B435-1</f>
        <v>0.00353857041755123</v>
      </c>
      <c r="G436" s="93" t="n">
        <v>43323</v>
      </c>
      <c r="H436" s="94" t="n">
        <v>274.43</v>
      </c>
      <c r="I436" s="95" t="n">
        <f aca="false">H436/H435-1</f>
        <v>0.00274042677579644</v>
      </c>
      <c r="J436" s="88"/>
      <c r="K436" s="88"/>
    </row>
    <row r="437" customFormat="false" ht="18" hidden="false" customHeight="false" outlineLevel="0" collapsed="false">
      <c r="A437" s="89" t="n">
        <v>43348</v>
      </c>
      <c r="B437" s="90" t="n">
        <v>84.3</v>
      </c>
      <c r="C437" s="91" t="n">
        <f aca="false">B437/B436-1</f>
        <v>-0.0091678420310296</v>
      </c>
      <c r="G437" s="93" t="n">
        <v>43326</v>
      </c>
      <c r="H437" s="94" t="n">
        <v>274.16</v>
      </c>
      <c r="I437" s="95" t="n">
        <f aca="false">H437/H436-1</f>
        <v>-0.000983857449987191</v>
      </c>
      <c r="J437" s="88"/>
      <c r="K437" s="88"/>
    </row>
    <row r="438" customFormat="false" ht="18" hidden="false" customHeight="false" outlineLevel="0" collapsed="false">
      <c r="A438" s="89" t="n">
        <v>43349</v>
      </c>
      <c r="B438" s="90" t="n">
        <v>85.58</v>
      </c>
      <c r="C438" s="91" t="n">
        <f aca="false">B438/B437-1</f>
        <v>0.0151838671411626</v>
      </c>
      <c r="G438" s="93" t="n">
        <v>43327</v>
      </c>
      <c r="H438" s="94" t="n">
        <v>274.03</v>
      </c>
      <c r="I438" s="95" t="n">
        <f aca="false">H438/H437-1</f>
        <v>-0.00047417566384611</v>
      </c>
      <c r="J438" s="88"/>
      <c r="K438" s="88"/>
    </row>
    <row r="439" customFormat="false" ht="18" hidden="false" customHeight="false" outlineLevel="0" collapsed="false">
      <c r="A439" s="89" t="n">
        <v>43350</v>
      </c>
      <c r="B439" s="90" t="n">
        <v>85.61</v>
      </c>
      <c r="C439" s="91" t="n">
        <f aca="false">B439/B438-1</f>
        <v>0.000350549193736782</v>
      </c>
      <c r="G439" s="93" t="n">
        <v>43328</v>
      </c>
      <c r="H439" s="94" t="n">
        <v>274.42</v>
      </c>
      <c r="I439" s="95" t="n">
        <f aca="false">H439/H438-1</f>
        <v>0.00142320183921485</v>
      </c>
      <c r="J439" s="88"/>
      <c r="K439" s="88"/>
    </row>
    <row r="440" customFormat="false" ht="18" hidden="false" customHeight="false" outlineLevel="0" collapsed="false">
      <c r="A440" s="89" t="n">
        <v>43351</v>
      </c>
      <c r="B440" s="90" t="n">
        <v>86.13</v>
      </c>
      <c r="C440" s="91" t="n">
        <f aca="false">B440/B439-1</f>
        <v>0.00607405676906891</v>
      </c>
      <c r="G440" s="93" t="n">
        <v>43329</v>
      </c>
      <c r="H440" s="94" t="n">
        <v>273.38</v>
      </c>
      <c r="I440" s="95" t="n">
        <f aca="false">H440/H439-1</f>
        <v>-0.00378981123824806</v>
      </c>
      <c r="J440" s="88"/>
      <c r="K440" s="88"/>
    </row>
    <row r="441" customFormat="false" ht="18" hidden="false" customHeight="false" outlineLevel="0" collapsed="false">
      <c r="A441" s="89" t="n">
        <v>43354</v>
      </c>
      <c r="B441" s="90" t="n">
        <v>86.1</v>
      </c>
      <c r="C441" s="91" t="n">
        <f aca="false">B441/B440-1</f>
        <v>-0.000348310693138343</v>
      </c>
      <c r="G441" s="93" t="n">
        <v>43330</v>
      </c>
      <c r="H441" s="94" t="n">
        <v>271.13</v>
      </c>
      <c r="I441" s="95" t="n">
        <f aca="false">H441/H440-1</f>
        <v>-0.00823030214353648</v>
      </c>
      <c r="J441" s="88"/>
      <c r="K441" s="88"/>
    </row>
    <row r="442" customFormat="false" ht="18" hidden="false" customHeight="false" outlineLevel="0" collapsed="false">
      <c r="A442" s="89" t="n">
        <v>43355</v>
      </c>
      <c r="B442" s="90" t="n">
        <v>84.78</v>
      </c>
      <c r="C442" s="91" t="n">
        <f aca="false">B442/B441-1</f>
        <v>-0.0153310104529616</v>
      </c>
      <c r="G442" s="93" t="n">
        <v>43333</v>
      </c>
      <c r="H442" s="94" t="n">
        <v>269.26</v>
      </c>
      <c r="I442" s="95" t="n">
        <f aca="false">H442/H441-1</f>
        <v>-0.00689706045070637</v>
      </c>
      <c r="J442" s="88"/>
      <c r="K442" s="88"/>
    </row>
    <row r="443" customFormat="false" ht="18" hidden="false" customHeight="false" outlineLevel="0" collapsed="false">
      <c r="A443" s="89" t="n">
        <v>43356</v>
      </c>
      <c r="B443" s="90" t="n">
        <v>84.72</v>
      </c>
      <c r="C443" s="91" t="n">
        <f aca="false">B443/B442-1</f>
        <v>-0.000707714083510336</v>
      </c>
      <c r="G443" s="93" t="n">
        <v>43334</v>
      </c>
      <c r="H443" s="94" t="n">
        <v>269.58</v>
      </c>
      <c r="I443" s="95" t="n">
        <f aca="false">H443/H442-1</f>
        <v>0.00118844239768245</v>
      </c>
      <c r="J443" s="88"/>
      <c r="K443" s="88"/>
    </row>
    <row r="444" customFormat="false" ht="18" hidden="false" customHeight="false" outlineLevel="0" collapsed="false">
      <c r="A444" s="89" t="n">
        <v>43357</v>
      </c>
      <c r="B444" s="90" t="n">
        <v>84.66</v>
      </c>
      <c r="C444" s="91" t="n">
        <f aca="false">B444/B443-1</f>
        <v>-0.000708215297450465</v>
      </c>
      <c r="G444" s="93" t="n">
        <v>43335</v>
      </c>
      <c r="H444" s="94" t="n">
        <v>268.7</v>
      </c>
      <c r="I444" s="95" t="n">
        <f aca="false">H444/H443-1</f>
        <v>-0.00326433711699681</v>
      </c>
      <c r="J444" s="88"/>
      <c r="K444" s="88"/>
    </row>
    <row r="445" customFormat="false" ht="18" hidden="false" customHeight="false" outlineLevel="0" collapsed="false">
      <c r="A445" s="89" t="n">
        <v>43358</v>
      </c>
      <c r="B445" s="90" t="n">
        <v>84.2</v>
      </c>
      <c r="C445" s="91" t="n">
        <f aca="false">B445/B444-1</f>
        <v>-0.00543349870068499</v>
      </c>
      <c r="G445" s="93" t="n">
        <v>43336</v>
      </c>
      <c r="H445" s="94" t="n">
        <v>273.05</v>
      </c>
      <c r="I445" s="95" t="n">
        <f aca="false">H445/H444-1</f>
        <v>0.0161890584294753</v>
      </c>
      <c r="J445" s="88"/>
      <c r="K445" s="88"/>
    </row>
    <row r="446" customFormat="false" ht="18" hidden="false" customHeight="false" outlineLevel="0" collapsed="false">
      <c r="A446" s="89" t="n">
        <v>43361</v>
      </c>
      <c r="B446" s="90" t="n">
        <v>84.5</v>
      </c>
      <c r="C446" s="91" t="n">
        <f aca="false">B446/B445-1</f>
        <v>0.00356294536817092</v>
      </c>
      <c r="G446" s="93" t="n">
        <v>43337</v>
      </c>
      <c r="H446" s="94" t="n">
        <v>273.3</v>
      </c>
      <c r="I446" s="95" t="n">
        <f aca="false">H446/H445-1</f>
        <v>0.000915583226515304</v>
      </c>
      <c r="J446" s="88"/>
      <c r="K446" s="88"/>
    </row>
    <row r="447" customFormat="false" ht="18" hidden="false" customHeight="false" outlineLevel="0" collapsed="false">
      <c r="A447" s="89" t="n">
        <v>43362</v>
      </c>
      <c r="B447" s="90" t="n">
        <v>83.72</v>
      </c>
      <c r="C447" s="91" t="n">
        <f aca="false">B447/B446-1</f>
        <v>-0.00923076923076926</v>
      </c>
      <c r="G447" s="93" t="n">
        <v>43340</v>
      </c>
      <c r="H447" s="94" t="n">
        <v>270.16</v>
      </c>
      <c r="I447" s="95" t="n">
        <f aca="false">H447/H446-1</f>
        <v>-0.0114892060007318</v>
      </c>
      <c r="J447" s="88"/>
      <c r="K447" s="88"/>
    </row>
    <row r="448" customFormat="false" ht="18" hidden="false" customHeight="false" outlineLevel="0" collapsed="false">
      <c r="A448" s="89" t="n">
        <v>43363</v>
      </c>
      <c r="B448" s="90" t="n">
        <v>83.48</v>
      </c>
      <c r="C448" s="91" t="n">
        <f aca="false">B448/B447-1</f>
        <v>-0.00286669851887233</v>
      </c>
      <c r="G448" s="93" t="n">
        <v>43341</v>
      </c>
      <c r="H448" s="94" t="n">
        <v>270.04</v>
      </c>
      <c r="I448" s="95" t="n">
        <f aca="false">H448/H447-1</f>
        <v>-0.000444181225940254</v>
      </c>
      <c r="J448" s="88"/>
      <c r="K448" s="88"/>
    </row>
    <row r="449" customFormat="false" ht="18" hidden="false" customHeight="false" outlineLevel="0" collapsed="false">
      <c r="A449" s="89" t="n">
        <v>43364</v>
      </c>
      <c r="B449" s="90" t="n">
        <v>82.92</v>
      </c>
      <c r="C449" s="91" t="n">
        <f aca="false">B449/B448-1</f>
        <v>-0.00670819357930041</v>
      </c>
      <c r="G449" s="93" t="n">
        <v>43342</v>
      </c>
      <c r="H449" s="94" t="n">
        <v>270.04</v>
      </c>
      <c r="I449" s="95" t="n">
        <f aca="false">H449/H448-1</f>
        <v>0</v>
      </c>
      <c r="J449" s="88"/>
      <c r="K449" s="88"/>
    </row>
    <row r="450" customFormat="false" ht="18" hidden="false" customHeight="false" outlineLevel="0" collapsed="false">
      <c r="A450" s="89" t="n">
        <v>43365</v>
      </c>
      <c r="B450" s="90" t="n">
        <v>81.92</v>
      </c>
      <c r="C450" s="91" t="n">
        <f aca="false">B450/B449-1</f>
        <v>-0.0120598166907863</v>
      </c>
      <c r="G450" s="93" t="n">
        <v>43343</v>
      </c>
      <c r="H450" s="94" t="n">
        <v>266.43</v>
      </c>
      <c r="I450" s="95" t="n">
        <f aca="false">H450/H449-1</f>
        <v>-0.0133683898681677</v>
      </c>
      <c r="J450" s="88"/>
      <c r="K450" s="88"/>
    </row>
    <row r="451" customFormat="false" ht="18" hidden="false" customHeight="false" outlineLevel="0" collapsed="false">
      <c r="A451" s="89" t="n">
        <v>43368</v>
      </c>
      <c r="B451" s="90" t="n">
        <v>79.99</v>
      </c>
      <c r="C451" s="91" t="n">
        <f aca="false">B451/B450-1</f>
        <v>-0.0235595703125001</v>
      </c>
      <c r="G451" s="93" t="n">
        <v>43344</v>
      </c>
      <c r="H451" s="94" t="n">
        <v>265.78</v>
      </c>
      <c r="I451" s="95" t="n">
        <f aca="false">H451/H450-1</f>
        <v>-0.00243966520286765</v>
      </c>
      <c r="J451" s="88"/>
      <c r="K451" s="88"/>
    </row>
    <row r="452" customFormat="false" ht="18" hidden="false" customHeight="false" outlineLevel="0" collapsed="false">
      <c r="A452" s="89" t="n">
        <v>43369</v>
      </c>
      <c r="B452" s="90" t="n">
        <v>78.71</v>
      </c>
      <c r="C452" s="91" t="n">
        <f aca="false">B452/B451-1</f>
        <v>-0.0160020002500313</v>
      </c>
      <c r="G452" s="93" t="n">
        <v>43347</v>
      </c>
      <c r="H452" s="94" t="n">
        <v>265.18</v>
      </c>
      <c r="I452" s="95" t="n">
        <f aca="false">H452/H451-1</f>
        <v>-0.00225750620814191</v>
      </c>
      <c r="J452" s="88"/>
      <c r="K452" s="88"/>
    </row>
    <row r="453" customFormat="false" ht="18" hidden="false" customHeight="false" outlineLevel="0" collapsed="false">
      <c r="A453" s="89" t="n">
        <v>43370</v>
      </c>
      <c r="B453" s="90" t="n">
        <v>80.6</v>
      </c>
      <c r="C453" s="91" t="n">
        <f aca="false">B453/B452-1</f>
        <v>0.0240121966713251</v>
      </c>
      <c r="G453" s="93" t="n">
        <v>43348</v>
      </c>
      <c r="H453" s="94" t="n">
        <v>264.02</v>
      </c>
      <c r="I453" s="95" t="n">
        <f aca="false">H453/H452-1</f>
        <v>-0.00437438720868855</v>
      </c>
      <c r="J453" s="88"/>
      <c r="K453" s="88"/>
    </row>
    <row r="454" customFormat="false" ht="18" hidden="false" customHeight="false" outlineLevel="0" collapsed="false">
      <c r="A454" s="89" t="n">
        <v>43371</v>
      </c>
      <c r="B454" s="90" t="n">
        <v>79.58</v>
      </c>
      <c r="C454" s="91" t="n">
        <f aca="false">B454/B453-1</f>
        <v>-0.0126550868486351</v>
      </c>
      <c r="G454" s="93" t="n">
        <v>43349</v>
      </c>
      <c r="H454" s="94" t="n">
        <v>262.8</v>
      </c>
      <c r="I454" s="95" t="n">
        <f aca="false">H454/H453-1</f>
        <v>-0.00462086205590473</v>
      </c>
      <c r="J454" s="88"/>
      <c r="K454" s="88"/>
    </row>
    <row r="455" customFormat="false" ht="18" hidden="false" customHeight="false" outlineLevel="0" collapsed="false">
      <c r="A455" s="89" t="n">
        <v>43372</v>
      </c>
      <c r="B455" s="90" t="n">
        <v>79.4</v>
      </c>
      <c r="C455" s="91" t="n">
        <f aca="false">B455/B454-1</f>
        <v>-0.00226187484292528</v>
      </c>
      <c r="G455" s="93" t="n">
        <v>43350</v>
      </c>
      <c r="H455" s="94" t="n">
        <v>263.1</v>
      </c>
      <c r="I455" s="95" t="n">
        <f aca="false">H455/H454-1</f>
        <v>0.00114155251141557</v>
      </c>
      <c r="J455" s="88"/>
      <c r="K455" s="88"/>
    </row>
    <row r="456" customFormat="false" ht="18" hidden="false" customHeight="false" outlineLevel="0" collapsed="false">
      <c r="A456" s="89" t="n">
        <v>43375</v>
      </c>
      <c r="B456" s="90" t="n">
        <v>80.23</v>
      </c>
      <c r="C456" s="91" t="n">
        <f aca="false">B456/B455-1</f>
        <v>0.0104534005037784</v>
      </c>
      <c r="G456" s="93" t="n">
        <v>43351</v>
      </c>
      <c r="H456" s="94" t="n">
        <v>266.71</v>
      </c>
      <c r="I456" s="95" t="n">
        <f aca="false">H456/H455-1</f>
        <v>0.013721018624097</v>
      </c>
      <c r="J456" s="88"/>
      <c r="K456" s="88"/>
    </row>
    <row r="457" customFormat="false" ht="18" hidden="false" customHeight="false" outlineLevel="0" collapsed="false">
      <c r="A457" s="89" t="n">
        <v>43376</v>
      </c>
      <c r="B457" s="90" t="n">
        <v>81.74</v>
      </c>
      <c r="C457" s="91" t="n">
        <f aca="false">B457/B456-1</f>
        <v>0.0188208899414184</v>
      </c>
      <c r="G457" s="93" t="n">
        <v>43354</v>
      </c>
      <c r="H457" s="94" t="n">
        <v>269.52</v>
      </c>
      <c r="I457" s="95" t="n">
        <f aca="false">H457/H456-1</f>
        <v>0.0105357879344608</v>
      </c>
      <c r="J457" s="88"/>
      <c r="K457" s="88"/>
    </row>
    <row r="458" customFormat="false" ht="18" hidden="false" customHeight="false" outlineLevel="0" collapsed="false">
      <c r="A458" s="89" t="n">
        <v>43377</v>
      </c>
      <c r="B458" s="90" t="n">
        <v>80.58</v>
      </c>
      <c r="C458" s="91" t="n">
        <f aca="false">B458/B457-1</f>
        <v>-0.0141913383900171</v>
      </c>
      <c r="G458" s="93" t="n">
        <v>43355</v>
      </c>
      <c r="H458" s="94" t="n">
        <v>267.82</v>
      </c>
      <c r="I458" s="95" t="n">
        <f aca="false">H458/H457-1</f>
        <v>-0.0063075096467794</v>
      </c>
      <c r="J458" s="88"/>
      <c r="K458" s="88"/>
    </row>
    <row r="459" customFormat="false" ht="18" hidden="false" customHeight="false" outlineLevel="0" collapsed="false">
      <c r="A459" s="89" t="n">
        <v>43378</v>
      </c>
      <c r="B459" s="90" t="n">
        <v>80.27</v>
      </c>
      <c r="C459" s="91" t="n">
        <f aca="false">B459/B458-1</f>
        <v>-0.00384710846363867</v>
      </c>
      <c r="G459" s="93" t="n">
        <v>43356</v>
      </c>
      <c r="H459" s="94" t="n">
        <v>264.52</v>
      </c>
      <c r="I459" s="95" t="n">
        <f aca="false">H459/H458-1</f>
        <v>-0.0123217086102607</v>
      </c>
      <c r="J459" s="88"/>
      <c r="K459" s="88"/>
    </row>
    <row r="460" customFormat="false" ht="18" hidden="false" customHeight="false" outlineLevel="0" collapsed="false">
      <c r="A460" s="89" t="n">
        <v>43379</v>
      </c>
      <c r="B460" s="90" t="n">
        <v>79.19</v>
      </c>
      <c r="C460" s="91" t="n">
        <f aca="false">B460/B459-1</f>
        <v>-0.0134545907561978</v>
      </c>
      <c r="G460" s="93" t="n">
        <v>43357</v>
      </c>
      <c r="H460" s="94" t="n">
        <v>263.36</v>
      </c>
      <c r="I460" s="95" t="n">
        <f aca="false">H460/H459-1</f>
        <v>-0.00438530167851192</v>
      </c>
      <c r="J460" s="88"/>
      <c r="K460" s="88"/>
    </row>
    <row r="461" customFormat="false" ht="18" hidden="false" customHeight="false" outlineLevel="0" collapsed="false">
      <c r="A461" s="89" t="n">
        <v>43382</v>
      </c>
      <c r="B461" s="90" t="n">
        <v>78.96</v>
      </c>
      <c r="C461" s="91" t="n">
        <f aca="false">B461/B460-1</f>
        <v>-0.00290440712211137</v>
      </c>
      <c r="G461" s="93" t="n">
        <v>43358</v>
      </c>
      <c r="H461" s="94" t="n">
        <v>258.71</v>
      </c>
      <c r="I461" s="95" t="n">
        <f aca="false">H461/H460-1</f>
        <v>-0.0176564398541921</v>
      </c>
      <c r="J461" s="88"/>
      <c r="K461" s="88"/>
    </row>
    <row r="462" customFormat="false" ht="18" hidden="false" customHeight="false" outlineLevel="0" collapsed="false">
      <c r="A462" s="89" t="n">
        <v>43383</v>
      </c>
      <c r="B462" s="90" t="n">
        <v>78.9</v>
      </c>
      <c r="C462" s="91" t="n">
        <f aca="false">B462/B461-1</f>
        <v>-0.000759878419452686</v>
      </c>
      <c r="G462" s="93" t="n">
        <v>43361</v>
      </c>
      <c r="H462" s="94" t="n">
        <v>257.75</v>
      </c>
      <c r="I462" s="95" t="n">
        <f aca="false">H462/H461-1</f>
        <v>-0.00371071856518879</v>
      </c>
      <c r="J462" s="88"/>
      <c r="K462" s="88"/>
    </row>
    <row r="463" customFormat="false" ht="18" hidden="false" customHeight="false" outlineLevel="0" collapsed="false">
      <c r="A463" s="89" t="n">
        <v>43384</v>
      </c>
      <c r="B463" s="90" t="n">
        <v>78.62</v>
      </c>
      <c r="C463" s="91" t="n">
        <f aca="false">B463/B462-1</f>
        <v>-0.00354879594423319</v>
      </c>
      <c r="G463" s="93" t="n">
        <v>43362</v>
      </c>
      <c r="H463" s="94" t="n">
        <v>259.27</v>
      </c>
      <c r="I463" s="95" t="n">
        <f aca="false">H463/H462-1</f>
        <v>0.00589718719689625</v>
      </c>
      <c r="J463" s="88"/>
      <c r="K463" s="88"/>
    </row>
    <row r="464" customFormat="false" ht="18" hidden="false" customHeight="false" outlineLevel="0" collapsed="false">
      <c r="A464" s="89" t="n">
        <v>43385</v>
      </c>
      <c r="B464" s="90" t="n">
        <v>78.38</v>
      </c>
      <c r="C464" s="91" t="n">
        <f aca="false">B464/B463-1</f>
        <v>-0.00305265835665236</v>
      </c>
      <c r="G464" s="93" t="n">
        <v>43363</v>
      </c>
      <c r="H464" s="94" t="n">
        <v>255.58</v>
      </c>
      <c r="I464" s="95" t="n">
        <f aca="false">H464/H463-1</f>
        <v>-0.0142322675203455</v>
      </c>
      <c r="J464" s="88"/>
      <c r="K464" s="88"/>
    </row>
    <row r="465" customFormat="false" ht="18" hidden="false" customHeight="false" outlineLevel="0" collapsed="false">
      <c r="A465" s="89" t="n">
        <v>43386</v>
      </c>
      <c r="B465" s="90" t="n">
        <v>77.8</v>
      </c>
      <c r="C465" s="91" t="n">
        <f aca="false">B465/B464-1</f>
        <v>-0.00739984689971929</v>
      </c>
      <c r="G465" s="93" t="n">
        <v>43364</v>
      </c>
      <c r="H465" s="94" t="n">
        <v>253.71</v>
      </c>
      <c r="I465" s="95" t="n">
        <f aca="false">H465/H464-1</f>
        <v>-0.00731669144690506</v>
      </c>
      <c r="J465" s="88"/>
      <c r="K465" s="88"/>
    </row>
    <row r="466" customFormat="false" ht="18" hidden="false" customHeight="false" outlineLevel="0" collapsed="false">
      <c r="A466" s="89" t="n">
        <v>43389</v>
      </c>
      <c r="B466" s="90" t="n">
        <v>78.23</v>
      </c>
      <c r="C466" s="91" t="n">
        <f aca="false">B466/B465-1</f>
        <v>0.00552699228791775</v>
      </c>
      <c r="G466" s="93" t="n">
        <v>43365</v>
      </c>
      <c r="H466" s="94" t="n">
        <v>249.03</v>
      </c>
      <c r="I466" s="95" t="n">
        <f aca="false">H466/H465-1</f>
        <v>-0.0184462575381341</v>
      </c>
      <c r="J466" s="88"/>
      <c r="K466" s="88"/>
    </row>
    <row r="467" customFormat="false" ht="18" hidden="false" customHeight="false" outlineLevel="0" collapsed="false">
      <c r="A467" s="89" t="n">
        <v>43390</v>
      </c>
      <c r="B467" s="90" t="n">
        <v>79.06</v>
      </c>
      <c r="C467" s="91" t="n">
        <f aca="false">B467/B466-1</f>
        <v>0.0106097405087562</v>
      </c>
      <c r="G467" s="93" t="n">
        <v>43368</v>
      </c>
      <c r="H467" s="94" t="n">
        <v>244.28</v>
      </c>
      <c r="I467" s="95" t="n">
        <f aca="false">H467/H466-1</f>
        <v>-0.0190740071477332</v>
      </c>
      <c r="J467" s="88"/>
      <c r="K467" s="88"/>
    </row>
    <row r="468" customFormat="false" ht="18" hidden="false" customHeight="false" outlineLevel="0" collapsed="false">
      <c r="A468" s="89" t="n">
        <v>43391</v>
      </c>
      <c r="B468" s="90" t="n">
        <v>77.88</v>
      </c>
      <c r="C468" s="91" t="n">
        <f aca="false">B468/B467-1</f>
        <v>-0.0149253731343284</v>
      </c>
      <c r="G468" s="93" t="n">
        <v>43369</v>
      </c>
      <c r="H468" s="94" t="n">
        <v>245.01</v>
      </c>
      <c r="I468" s="95" t="n">
        <f aca="false">H468/H467-1</f>
        <v>0.00298837399705243</v>
      </c>
      <c r="J468" s="88"/>
      <c r="K468" s="88"/>
    </row>
    <row r="469" customFormat="false" ht="18" hidden="false" customHeight="false" outlineLevel="0" collapsed="false">
      <c r="A469" s="89" t="n">
        <v>43392</v>
      </c>
      <c r="B469" s="90" t="n">
        <v>77.09</v>
      </c>
      <c r="C469" s="91" t="n">
        <f aca="false">B469/B468-1</f>
        <v>-0.0101438109912685</v>
      </c>
      <c r="G469" s="93" t="n">
        <v>43370</v>
      </c>
      <c r="H469" s="94" t="n">
        <v>241.76</v>
      </c>
      <c r="I469" s="95" t="n">
        <f aca="false">H469/H468-1</f>
        <v>-0.0132647647034815</v>
      </c>
      <c r="J469" s="88"/>
      <c r="K469" s="88"/>
    </row>
    <row r="470" customFormat="false" ht="18" hidden="false" customHeight="false" outlineLevel="0" collapsed="false">
      <c r="A470" s="89" t="n">
        <v>43393</v>
      </c>
      <c r="B470" s="90" t="n">
        <v>77.94</v>
      </c>
      <c r="C470" s="91" t="n">
        <f aca="false">B470/B469-1</f>
        <v>0.0110260734206771</v>
      </c>
      <c r="G470" s="93" t="n">
        <v>43371</v>
      </c>
      <c r="H470" s="94" t="n">
        <v>240.73</v>
      </c>
      <c r="I470" s="95" t="n">
        <f aca="false">H470/H469-1</f>
        <v>-0.00426042356055589</v>
      </c>
      <c r="J470" s="88"/>
      <c r="K470" s="88"/>
    </row>
    <row r="471" customFormat="false" ht="18" hidden="false" customHeight="false" outlineLevel="0" collapsed="false">
      <c r="A471" s="89" t="n">
        <v>43396</v>
      </c>
      <c r="B471" s="90" t="n">
        <v>77.89</v>
      </c>
      <c r="C471" s="91" t="n">
        <f aca="false">B471/B470-1</f>
        <v>-0.000641519117269618</v>
      </c>
      <c r="G471" s="93" t="n">
        <v>43372</v>
      </c>
      <c r="H471" s="94" t="n">
        <v>241.86</v>
      </c>
      <c r="I471" s="95" t="n">
        <f aca="false">H471/H470-1</f>
        <v>0.00469405558094138</v>
      </c>
      <c r="J471" s="88"/>
      <c r="K471" s="88"/>
    </row>
    <row r="472" customFormat="false" ht="18" hidden="false" customHeight="false" outlineLevel="0" collapsed="false">
      <c r="A472" s="89" t="n">
        <v>43397</v>
      </c>
      <c r="B472" s="90" t="n">
        <v>79.24</v>
      </c>
      <c r="C472" s="91" t="n">
        <f aca="false">B472/B471-1</f>
        <v>0.0173321350622673</v>
      </c>
      <c r="G472" s="93" t="n">
        <v>43375</v>
      </c>
      <c r="H472" s="94" t="n">
        <v>242.13</v>
      </c>
      <c r="I472" s="95" t="n">
        <f aca="false">H472/H471-1</f>
        <v>0.00111634830066976</v>
      </c>
      <c r="J472" s="88"/>
      <c r="K472" s="88"/>
    </row>
    <row r="473" customFormat="false" ht="18" hidden="false" customHeight="false" outlineLevel="0" collapsed="false">
      <c r="A473" s="89" t="n">
        <v>43398</v>
      </c>
      <c r="B473" s="90" t="n">
        <v>79.76</v>
      </c>
      <c r="C473" s="91" t="n">
        <f aca="false">B473/B472-1</f>
        <v>0.0065623422513883</v>
      </c>
      <c r="G473" s="93" t="n">
        <v>43376</v>
      </c>
      <c r="H473" s="94" t="n">
        <v>247.15</v>
      </c>
      <c r="I473" s="95" t="n">
        <f aca="false">H473/H472-1</f>
        <v>0.0207326642712593</v>
      </c>
      <c r="J473" s="88"/>
      <c r="K473" s="88"/>
    </row>
    <row r="474" customFormat="false" ht="18" hidden="false" customHeight="false" outlineLevel="0" collapsed="false">
      <c r="A474" s="89" t="n">
        <v>43399</v>
      </c>
      <c r="B474" s="90" t="n">
        <v>79.94</v>
      </c>
      <c r="C474" s="91" t="n">
        <f aca="false">B474/B473-1</f>
        <v>0.00225677031093263</v>
      </c>
      <c r="G474" s="93" t="n">
        <v>43377</v>
      </c>
      <c r="H474" s="94" t="n">
        <v>249.7</v>
      </c>
      <c r="I474" s="95" t="n">
        <f aca="false">H474/H473-1</f>
        <v>0.0103176208780091</v>
      </c>
      <c r="J474" s="88"/>
      <c r="K474" s="88"/>
    </row>
    <row r="475" customFormat="false" ht="18" hidden="false" customHeight="false" outlineLevel="0" collapsed="false">
      <c r="A475" s="89" t="n">
        <v>43400</v>
      </c>
      <c r="B475" s="90" t="n">
        <v>80.14</v>
      </c>
      <c r="C475" s="91" t="n">
        <f aca="false">B475/B474-1</f>
        <v>0.00250187640730548</v>
      </c>
      <c r="G475" s="93" t="n">
        <v>43378</v>
      </c>
      <c r="H475" s="94" t="n">
        <v>249.86</v>
      </c>
      <c r="I475" s="95" t="n">
        <f aca="false">H475/H474-1</f>
        <v>0.000640768922707258</v>
      </c>
      <c r="J475" s="88"/>
      <c r="K475" s="88"/>
    </row>
    <row r="476" customFormat="false" ht="18" hidden="false" customHeight="false" outlineLevel="0" collapsed="false">
      <c r="A476" s="89" t="n">
        <v>43403</v>
      </c>
      <c r="B476" s="90" t="n">
        <v>78.9</v>
      </c>
      <c r="C476" s="91" t="n">
        <f aca="false">B476/B475-1</f>
        <v>-0.0154729223858248</v>
      </c>
      <c r="G476" s="93" t="n">
        <v>43379</v>
      </c>
      <c r="H476" s="94" t="n">
        <v>246.52</v>
      </c>
      <c r="I476" s="95" t="n">
        <f aca="false">H476/H475-1</f>
        <v>-0.0133674857920436</v>
      </c>
      <c r="J476" s="88"/>
      <c r="K476" s="88"/>
    </row>
    <row r="477" customFormat="false" ht="18" hidden="false" customHeight="false" outlineLevel="0" collapsed="false">
      <c r="A477" s="89" t="n">
        <v>43404</v>
      </c>
      <c r="B477" s="90" t="n">
        <v>80.03</v>
      </c>
      <c r="C477" s="91" t="n">
        <f aca="false">B477/B476-1</f>
        <v>0.0143219264892269</v>
      </c>
      <c r="G477" s="93" t="n">
        <v>43382</v>
      </c>
      <c r="H477" s="94" t="n">
        <v>242.76</v>
      </c>
      <c r="I477" s="95" t="n">
        <f aca="false">H477/H476-1</f>
        <v>-0.015252312185624</v>
      </c>
      <c r="J477" s="88"/>
      <c r="K477" s="88"/>
    </row>
    <row r="478" customFormat="false" ht="18" hidden="false" customHeight="false" outlineLevel="0" collapsed="false">
      <c r="A478" s="89" t="n">
        <v>43405</v>
      </c>
      <c r="B478" s="90" t="n">
        <v>79.42</v>
      </c>
      <c r="C478" s="91" t="n">
        <f aca="false">B478/B477-1</f>
        <v>-0.0076221416968637</v>
      </c>
      <c r="G478" s="93" t="n">
        <v>43383</v>
      </c>
      <c r="H478" s="94" t="n">
        <v>238.05</v>
      </c>
      <c r="I478" s="95" t="n">
        <f aca="false">H478/H477-1</f>
        <v>-0.0194018783984181</v>
      </c>
      <c r="J478" s="88"/>
      <c r="K478" s="88"/>
    </row>
    <row r="479" customFormat="false" ht="18" hidden="false" customHeight="false" outlineLevel="0" collapsed="false">
      <c r="A479" s="89" t="n">
        <v>43406</v>
      </c>
      <c r="B479" s="90" t="n">
        <v>79.14</v>
      </c>
      <c r="C479" s="91" t="n">
        <f aca="false">B479/B478-1</f>
        <v>-0.00352556031226392</v>
      </c>
      <c r="G479" s="93" t="n">
        <v>43384</v>
      </c>
      <c r="H479" s="94" t="n">
        <v>238.2</v>
      </c>
      <c r="I479" s="95" t="n">
        <f aca="false">H479/H478-1</f>
        <v>0.00063011972274718</v>
      </c>
      <c r="J479" s="88"/>
      <c r="K479" s="88"/>
    </row>
    <row r="480" customFormat="false" ht="18" hidden="false" customHeight="false" outlineLevel="0" collapsed="false">
      <c r="A480" s="89" t="n">
        <v>43407</v>
      </c>
      <c r="B480" s="90" t="n">
        <v>80.41</v>
      </c>
      <c r="C480" s="91" t="n">
        <f aca="false">B480/B479-1</f>
        <v>0.0160475107404598</v>
      </c>
      <c r="G480" s="93" t="n">
        <v>43385</v>
      </c>
      <c r="H480" s="94" t="n">
        <v>235.74</v>
      </c>
      <c r="I480" s="95" t="n">
        <f aca="false">H480/H479-1</f>
        <v>-0.0103274559193954</v>
      </c>
      <c r="J480" s="88"/>
      <c r="K480" s="88"/>
    </row>
    <row r="481" customFormat="false" ht="18" hidden="false" customHeight="false" outlineLevel="0" collapsed="false">
      <c r="A481" s="89" t="n">
        <v>43410</v>
      </c>
      <c r="B481" s="90" t="n">
        <v>80.38</v>
      </c>
      <c r="C481" s="91" t="n">
        <f aca="false">B481/B480-1</f>
        <v>-0.000373087924387505</v>
      </c>
      <c r="G481" s="93" t="n">
        <v>43386</v>
      </c>
      <c r="H481" s="94" t="n">
        <v>237.27</v>
      </c>
      <c r="I481" s="95" t="n">
        <f aca="false">H481/H480-1</f>
        <v>0.00649020106897424</v>
      </c>
      <c r="J481" s="88"/>
      <c r="K481" s="88"/>
    </row>
    <row r="482" customFormat="false" ht="18" hidden="false" customHeight="false" outlineLevel="0" collapsed="false">
      <c r="A482" s="89" t="n">
        <v>43411</v>
      </c>
      <c r="B482" s="90" t="n">
        <v>80.94</v>
      </c>
      <c r="C482" s="91" t="n">
        <f aca="false">B482/B481-1</f>
        <v>0.00696690719084359</v>
      </c>
      <c r="G482" s="93" t="n">
        <v>43389</v>
      </c>
      <c r="H482" s="94" t="n">
        <v>238.83</v>
      </c>
      <c r="I482" s="95" t="n">
        <f aca="false">H482/H481-1</f>
        <v>0.00657478821595658</v>
      </c>
      <c r="J482" s="88"/>
      <c r="K482" s="88"/>
    </row>
    <row r="483" customFormat="false" ht="18" hidden="false" customHeight="false" outlineLevel="0" collapsed="false">
      <c r="A483" s="89" t="n">
        <v>43412</v>
      </c>
      <c r="B483" s="90" t="n">
        <v>79.85</v>
      </c>
      <c r="C483" s="91" t="n">
        <f aca="false">B483/B482-1</f>
        <v>-0.0134667655053127</v>
      </c>
      <c r="G483" s="93" t="n">
        <v>43390</v>
      </c>
      <c r="H483" s="94" t="n">
        <v>241.48</v>
      </c>
      <c r="I483" s="95" t="n">
        <f aca="false">H483/H482-1</f>
        <v>0.0110957584893019</v>
      </c>
      <c r="J483" s="88"/>
      <c r="K483" s="88"/>
    </row>
    <row r="484" customFormat="false" ht="18" hidden="false" customHeight="false" outlineLevel="0" collapsed="false">
      <c r="A484" s="89" t="n">
        <v>43413</v>
      </c>
      <c r="B484" s="90" t="n">
        <v>83.52</v>
      </c>
      <c r="C484" s="91" t="n">
        <f aca="false">B484/B483-1</f>
        <v>0.0459611772072637</v>
      </c>
      <c r="G484" s="93" t="n">
        <v>43391</v>
      </c>
      <c r="H484" s="94" t="n">
        <v>237.94</v>
      </c>
      <c r="I484" s="95" t="n">
        <f aca="false">H484/H483-1</f>
        <v>-0.014659599138645</v>
      </c>
      <c r="J484" s="88"/>
      <c r="K484" s="88"/>
    </row>
    <row r="485" customFormat="false" ht="18" hidden="false" customHeight="false" outlineLevel="0" collapsed="false">
      <c r="A485" s="89" t="n">
        <v>43414</v>
      </c>
      <c r="B485" s="90" t="n">
        <v>83.5</v>
      </c>
      <c r="C485" s="91" t="n">
        <f aca="false">B485/B484-1</f>
        <v>-0.000239463601532486</v>
      </c>
      <c r="G485" s="93" t="n">
        <v>43392</v>
      </c>
      <c r="H485" s="94" t="n">
        <v>238.47</v>
      </c>
      <c r="I485" s="95" t="n">
        <f aca="false">H485/H484-1</f>
        <v>0.00222745229889898</v>
      </c>
      <c r="J485" s="88"/>
      <c r="K485" s="88"/>
    </row>
    <row r="486" customFormat="false" ht="18" hidden="false" customHeight="false" outlineLevel="0" collapsed="false">
      <c r="A486" s="89" t="n">
        <v>43417</v>
      </c>
      <c r="B486" s="90" t="n">
        <v>82.79</v>
      </c>
      <c r="C486" s="91" t="n">
        <f aca="false">B486/B485-1</f>
        <v>-0.00850299401197596</v>
      </c>
      <c r="G486" s="93" t="n">
        <v>43393</v>
      </c>
      <c r="H486" s="94" t="n">
        <v>238.58</v>
      </c>
      <c r="I486" s="95" t="n">
        <f aca="false">H486/H485-1</f>
        <v>0.000461273954795116</v>
      </c>
      <c r="J486" s="88"/>
      <c r="K486" s="88"/>
    </row>
    <row r="487" customFormat="false" ht="18" hidden="false" customHeight="false" outlineLevel="0" collapsed="false">
      <c r="A487" s="89" t="n">
        <v>43418</v>
      </c>
      <c r="B487" s="90" t="n">
        <v>84.35</v>
      </c>
      <c r="C487" s="91" t="n">
        <f aca="false">B487/B486-1</f>
        <v>0.0188428554173208</v>
      </c>
      <c r="G487" s="93" t="n">
        <v>43396</v>
      </c>
      <c r="H487" s="94" t="n">
        <v>232.55</v>
      </c>
      <c r="I487" s="95" t="n">
        <f aca="false">H487/H486-1</f>
        <v>-0.0252745410344538</v>
      </c>
      <c r="J487" s="88"/>
      <c r="K487" s="88"/>
    </row>
    <row r="488" customFormat="false" ht="18" hidden="false" customHeight="false" outlineLevel="0" collapsed="false">
      <c r="A488" s="89" t="n">
        <v>43419</v>
      </c>
      <c r="B488" s="90" t="n">
        <v>84.35</v>
      </c>
      <c r="C488" s="91" t="n">
        <f aca="false">B488/B487-1</f>
        <v>0</v>
      </c>
      <c r="G488" s="93" t="n">
        <v>43397</v>
      </c>
      <c r="H488" s="94" t="n">
        <v>232.64</v>
      </c>
      <c r="I488" s="95" t="n">
        <f aca="false">H488/H487-1</f>
        <v>0.000387013545473991</v>
      </c>
      <c r="J488" s="88"/>
      <c r="K488" s="88"/>
    </row>
    <row r="489" customFormat="false" ht="18" hidden="false" customHeight="false" outlineLevel="0" collapsed="false">
      <c r="A489" s="89" t="n">
        <v>43420</v>
      </c>
      <c r="B489" s="90" t="n">
        <v>83.59</v>
      </c>
      <c r="C489" s="91" t="n">
        <f aca="false">B489/B488-1</f>
        <v>-0.00901007705986945</v>
      </c>
      <c r="G489" s="93" t="n">
        <v>43398</v>
      </c>
      <c r="H489" s="94" t="n">
        <v>235.08</v>
      </c>
      <c r="I489" s="95" t="n">
        <f aca="false">H489/H488-1</f>
        <v>0.0104883081155434</v>
      </c>
      <c r="J489" s="88"/>
      <c r="K489" s="88"/>
    </row>
    <row r="490" customFormat="false" ht="18" hidden="false" customHeight="false" outlineLevel="0" collapsed="false">
      <c r="A490" s="89" t="n">
        <v>43421</v>
      </c>
      <c r="B490" s="90" t="n">
        <v>83.59</v>
      </c>
      <c r="C490" s="91" t="n">
        <f aca="false">B490/B489-1</f>
        <v>0</v>
      </c>
      <c r="G490" s="93" t="n">
        <v>43399</v>
      </c>
      <c r="H490" s="94" t="n">
        <v>236.08</v>
      </c>
      <c r="I490" s="95" t="n">
        <f aca="false">H490/H489-1</f>
        <v>0.00425387102263053</v>
      </c>
      <c r="J490" s="88"/>
      <c r="K490" s="88"/>
    </row>
    <row r="491" customFormat="false" ht="18" hidden="false" customHeight="false" outlineLevel="0" collapsed="false">
      <c r="A491" s="89" t="n">
        <v>43424</v>
      </c>
      <c r="B491" s="90" t="n">
        <v>83.6</v>
      </c>
      <c r="C491" s="91" t="n">
        <f aca="false">B491/B490-1</f>
        <v>0.000119631534872378</v>
      </c>
      <c r="G491" s="93" t="n">
        <v>43400</v>
      </c>
      <c r="H491" s="94" t="n">
        <v>232.7</v>
      </c>
      <c r="I491" s="95" t="n">
        <f aca="false">H491/H490-1</f>
        <v>-0.0143171806167401</v>
      </c>
      <c r="J491" s="88"/>
      <c r="K491" s="88"/>
    </row>
    <row r="492" customFormat="false" ht="18" hidden="false" customHeight="false" outlineLevel="0" collapsed="false">
      <c r="A492" s="89" t="n">
        <v>43425</v>
      </c>
      <c r="B492" s="90" t="n">
        <v>84.47</v>
      </c>
      <c r="C492" s="91" t="n">
        <f aca="false">B492/B491-1</f>
        <v>0.0104066985645934</v>
      </c>
      <c r="G492" s="93" t="n">
        <v>43403</v>
      </c>
      <c r="H492" s="94" t="n">
        <v>233.14</v>
      </c>
      <c r="I492" s="95" t="n">
        <f aca="false">H492/H491-1</f>
        <v>0.00189084658358407</v>
      </c>
      <c r="J492" s="88"/>
      <c r="K492" s="88"/>
    </row>
    <row r="493" customFormat="false" ht="18" hidden="false" customHeight="false" outlineLevel="0" collapsed="false">
      <c r="A493" s="89" t="n">
        <v>43426</v>
      </c>
      <c r="B493" s="90" t="n">
        <v>85.02</v>
      </c>
      <c r="C493" s="91" t="n">
        <f aca="false">B493/B492-1</f>
        <v>0.00651118740381196</v>
      </c>
      <c r="G493" s="93" t="n">
        <v>43404</v>
      </c>
      <c r="H493" s="94" t="n">
        <v>237.78</v>
      </c>
      <c r="I493" s="95" t="n">
        <f aca="false">H493/H492-1</f>
        <v>0.019902204683881</v>
      </c>
      <c r="J493" s="88"/>
      <c r="K493" s="88"/>
    </row>
    <row r="494" customFormat="false" ht="18" hidden="false" customHeight="false" outlineLevel="0" collapsed="false">
      <c r="A494" s="89" t="n">
        <v>43428</v>
      </c>
      <c r="B494" s="90" t="n">
        <v>85.41</v>
      </c>
      <c r="C494" s="91" t="n">
        <f aca="false">B494/B493-1</f>
        <v>0.00458715596330284</v>
      </c>
      <c r="G494" s="93" t="n">
        <v>43405</v>
      </c>
      <c r="H494" s="94" t="n">
        <v>239.09</v>
      </c>
      <c r="I494" s="95" t="n">
        <f aca="false">H494/H493-1</f>
        <v>0.00550929430566072</v>
      </c>
      <c r="J494" s="88"/>
      <c r="K494" s="88"/>
    </row>
    <row r="495" customFormat="false" ht="18" hidden="false" customHeight="false" outlineLevel="0" collapsed="false">
      <c r="A495" s="89" t="n">
        <v>43431</v>
      </c>
      <c r="B495" s="90" t="n">
        <v>85.07</v>
      </c>
      <c r="C495" s="91" t="n">
        <f aca="false">B495/B494-1</f>
        <v>-0.00398079850134647</v>
      </c>
      <c r="G495" s="93" t="n">
        <v>43406</v>
      </c>
      <c r="H495" s="94" t="n">
        <v>237.17</v>
      </c>
      <c r="I495" s="95" t="n">
        <f aca="false">H495/H494-1</f>
        <v>-0.00803044878497638</v>
      </c>
      <c r="J495" s="88"/>
      <c r="K495" s="88"/>
    </row>
    <row r="496" customFormat="false" ht="18" hidden="false" customHeight="false" outlineLevel="0" collapsed="false">
      <c r="A496" s="89" t="n">
        <v>43432</v>
      </c>
      <c r="B496" s="90" t="n">
        <v>85.46</v>
      </c>
      <c r="C496" s="91" t="n">
        <f aca="false">B496/B495-1</f>
        <v>0.00458445985658873</v>
      </c>
      <c r="G496" s="93" t="n">
        <v>43407</v>
      </c>
      <c r="H496" s="94" t="n">
        <v>243.36</v>
      </c>
      <c r="I496" s="95" t="n">
        <f aca="false">H496/H495-1</f>
        <v>0.0260994223552726</v>
      </c>
      <c r="J496" s="88"/>
      <c r="K496" s="88"/>
    </row>
    <row r="497" customFormat="false" ht="18" hidden="false" customHeight="false" outlineLevel="0" collapsed="false">
      <c r="A497" s="89" t="n">
        <v>43433</v>
      </c>
      <c r="B497" s="90" t="n">
        <v>86.43</v>
      </c>
      <c r="C497" s="91" t="n">
        <f aca="false">B497/B496-1</f>
        <v>0.0113503393400423</v>
      </c>
      <c r="G497" s="93" t="n">
        <v>43410</v>
      </c>
      <c r="H497" s="94" t="n">
        <v>245.9</v>
      </c>
      <c r="I497" s="95" t="n">
        <f aca="false">H497/H496-1</f>
        <v>0.0104372123602892</v>
      </c>
      <c r="J497" s="88"/>
      <c r="K497" s="88"/>
    </row>
    <row r="498" customFormat="false" ht="18" hidden="false" customHeight="false" outlineLevel="0" collapsed="false">
      <c r="A498" s="89" t="n">
        <v>43434</v>
      </c>
      <c r="B498" s="90" t="n">
        <v>87.8</v>
      </c>
      <c r="C498" s="91" t="n">
        <f aca="false">B498/B497-1</f>
        <v>0.0158509776697904</v>
      </c>
      <c r="G498" s="93" t="n">
        <v>43411</v>
      </c>
      <c r="H498" s="94" t="n">
        <v>245.9</v>
      </c>
      <c r="I498" s="95" t="n">
        <f aca="false">H498/H497-1</f>
        <v>0</v>
      </c>
      <c r="J498" s="88"/>
      <c r="K498" s="88"/>
    </row>
    <row r="499" customFormat="false" ht="18" hidden="false" customHeight="false" outlineLevel="0" collapsed="false">
      <c r="A499" s="89" t="n">
        <v>43435</v>
      </c>
      <c r="B499" s="90" t="n">
        <v>87.43</v>
      </c>
      <c r="C499" s="91" t="n">
        <f aca="false">B499/B498-1</f>
        <v>-0.00421412300683355</v>
      </c>
      <c r="G499" s="93" t="n">
        <v>43412</v>
      </c>
      <c r="H499" s="94" t="n">
        <v>244.96</v>
      </c>
      <c r="I499" s="95" t="n">
        <f aca="false">H499/H498-1</f>
        <v>-0.00382269215128095</v>
      </c>
      <c r="J499" s="88"/>
      <c r="K499" s="88"/>
    </row>
    <row r="500" customFormat="false" ht="18" hidden="false" customHeight="false" outlineLevel="0" collapsed="false">
      <c r="A500" s="89" t="n">
        <v>43438</v>
      </c>
      <c r="B500" s="90" t="n">
        <v>86.09</v>
      </c>
      <c r="C500" s="91" t="n">
        <f aca="false">B500/B499-1</f>
        <v>-0.0153265469518472</v>
      </c>
      <c r="G500" s="93" t="n">
        <v>43413</v>
      </c>
      <c r="H500" s="94" t="n">
        <v>243.72</v>
      </c>
      <c r="I500" s="95" t="n">
        <f aca="false">H500/H499-1</f>
        <v>-0.00506205094709344</v>
      </c>
      <c r="J500" s="88"/>
      <c r="K500" s="88"/>
    </row>
    <row r="501" customFormat="false" ht="18" hidden="false" customHeight="false" outlineLevel="0" collapsed="false">
      <c r="A501" s="89" t="n">
        <v>43439</v>
      </c>
      <c r="B501" s="90" t="n">
        <v>85.62</v>
      </c>
      <c r="C501" s="91" t="n">
        <f aca="false">B501/B500-1</f>
        <v>-0.0054594029504007</v>
      </c>
      <c r="G501" s="93" t="n">
        <v>43414</v>
      </c>
      <c r="H501" s="94" t="n">
        <v>252.99</v>
      </c>
      <c r="I501" s="95" t="n">
        <f aca="false">H501/H500-1</f>
        <v>0.0380354505169866</v>
      </c>
      <c r="J501" s="88"/>
      <c r="K501" s="88"/>
    </row>
    <row r="502" customFormat="false" ht="18" hidden="false" customHeight="false" outlineLevel="0" collapsed="false">
      <c r="A502" s="89" t="n">
        <v>43440</v>
      </c>
      <c r="B502" s="90" t="n">
        <v>86.86</v>
      </c>
      <c r="C502" s="91" t="n">
        <f aca="false">B502/B501-1</f>
        <v>0.0144825975239429</v>
      </c>
      <c r="G502" s="93" t="n">
        <v>43417</v>
      </c>
      <c r="H502" s="94" t="n">
        <v>254.5</v>
      </c>
      <c r="I502" s="95" t="n">
        <f aca="false">H502/H501-1</f>
        <v>0.00596861536029092</v>
      </c>
      <c r="J502" s="88"/>
      <c r="K502" s="88"/>
    </row>
    <row r="503" customFormat="false" ht="18" hidden="false" customHeight="false" outlineLevel="0" collapsed="false">
      <c r="A503" s="89" t="n">
        <v>43441</v>
      </c>
      <c r="B503" s="90" t="n">
        <v>86.7</v>
      </c>
      <c r="C503" s="91" t="n">
        <f aca="false">B503/B502-1</f>
        <v>-0.00184204466958315</v>
      </c>
      <c r="G503" s="93" t="n">
        <v>43418</v>
      </c>
      <c r="H503" s="94" t="n">
        <v>259.58</v>
      </c>
      <c r="I503" s="95" t="n">
        <f aca="false">H503/H502-1</f>
        <v>0.0199607072691552</v>
      </c>
      <c r="J503" s="88"/>
      <c r="K503" s="88"/>
    </row>
    <row r="504" customFormat="false" ht="18" hidden="false" customHeight="false" outlineLevel="0" collapsed="false">
      <c r="A504" s="89" t="n">
        <v>43442</v>
      </c>
      <c r="B504" s="90" t="n">
        <v>86.1</v>
      </c>
      <c r="C504" s="91" t="n">
        <f aca="false">B504/B503-1</f>
        <v>-0.0069204152249136</v>
      </c>
      <c r="G504" s="93" t="n">
        <v>43419</v>
      </c>
      <c r="H504" s="94" t="n">
        <v>257.61</v>
      </c>
      <c r="I504" s="95" t="n">
        <f aca="false">H504/H503-1</f>
        <v>-0.00758918252561824</v>
      </c>
      <c r="J504" s="88"/>
      <c r="K504" s="88"/>
    </row>
    <row r="505" customFormat="false" ht="18" hidden="false" customHeight="false" outlineLevel="0" collapsed="false">
      <c r="A505" s="89" t="n">
        <v>43445</v>
      </c>
      <c r="B505" s="90" t="n">
        <v>86.42</v>
      </c>
      <c r="C505" s="91" t="n">
        <f aca="false">B505/B504-1</f>
        <v>0.00371660859465739</v>
      </c>
      <c r="G505" s="93" t="n">
        <v>43420</v>
      </c>
      <c r="H505" s="94" t="n">
        <v>255.93</v>
      </c>
      <c r="I505" s="95" t="n">
        <f aca="false">H505/H504-1</f>
        <v>-0.00652148596715974</v>
      </c>
      <c r="J505" s="88"/>
      <c r="K505" s="88"/>
    </row>
    <row r="506" customFormat="false" ht="18" hidden="false" customHeight="false" outlineLevel="0" collapsed="false">
      <c r="A506" s="89" t="n">
        <v>43446</v>
      </c>
      <c r="B506" s="90" t="n">
        <v>87.25</v>
      </c>
      <c r="C506" s="91" t="n">
        <f aca="false">B506/B505-1</f>
        <v>0.00960425827354783</v>
      </c>
      <c r="G506" s="93" t="n">
        <v>43421</v>
      </c>
      <c r="H506" s="94" t="n">
        <v>255.38</v>
      </c>
      <c r="I506" s="95" t="n">
        <f aca="false">H506/H505-1</f>
        <v>-0.00214902512405746</v>
      </c>
      <c r="J506" s="88"/>
      <c r="K506" s="88"/>
    </row>
    <row r="507" customFormat="false" ht="18" hidden="false" customHeight="false" outlineLevel="0" collapsed="false">
      <c r="A507" s="89" t="n">
        <v>43447</v>
      </c>
      <c r="B507" s="90" t="n">
        <v>87.12</v>
      </c>
      <c r="C507" s="91" t="n">
        <f aca="false">B507/B506-1</f>
        <v>-0.00148997134670481</v>
      </c>
      <c r="G507" s="93" t="n">
        <v>43424</v>
      </c>
      <c r="H507" s="94" t="n">
        <v>252.71</v>
      </c>
      <c r="I507" s="95" t="n">
        <f aca="false">H507/H506-1</f>
        <v>-0.0104550082230401</v>
      </c>
      <c r="J507" s="88"/>
      <c r="K507" s="88"/>
    </row>
    <row r="508" customFormat="false" ht="18" hidden="false" customHeight="false" outlineLevel="0" collapsed="false">
      <c r="A508" s="89" t="n">
        <v>43448</v>
      </c>
      <c r="B508" s="90" t="n">
        <v>86.32</v>
      </c>
      <c r="C508" s="91" t="n">
        <f aca="false">B508/B507-1</f>
        <v>-0.00918273645546386</v>
      </c>
      <c r="G508" s="93" t="n">
        <v>43425</v>
      </c>
      <c r="H508" s="94" t="n">
        <v>252.28</v>
      </c>
      <c r="I508" s="95" t="n">
        <f aca="false">H508/H507-1</f>
        <v>-0.001701555142258</v>
      </c>
      <c r="J508" s="88"/>
      <c r="K508" s="88"/>
    </row>
    <row r="509" customFormat="false" ht="18" hidden="false" customHeight="false" outlineLevel="0" collapsed="false">
      <c r="A509" s="89" t="n">
        <v>43449</v>
      </c>
      <c r="B509" s="90" t="n">
        <v>85.87</v>
      </c>
      <c r="C509" s="91" t="n">
        <f aca="false">B509/B508-1</f>
        <v>-0.00521316033364216</v>
      </c>
      <c r="G509" s="93" t="n">
        <v>43426</v>
      </c>
      <c r="H509" s="94" t="n">
        <v>253.28</v>
      </c>
      <c r="I509" s="95" t="n">
        <f aca="false">H509/H508-1</f>
        <v>0.00396384969081964</v>
      </c>
      <c r="J509" s="88"/>
      <c r="K509" s="88"/>
    </row>
    <row r="510" customFormat="false" ht="18" hidden="false" customHeight="false" outlineLevel="0" collapsed="false">
      <c r="A510" s="89" t="n">
        <v>43452</v>
      </c>
      <c r="B510" s="90" t="n">
        <v>85.4</v>
      </c>
      <c r="C510" s="91" t="n">
        <f aca="false">B510/B509-1</f>
        <v>-0.00547339000815184</v>
      </c>
      <c r="G510" s="93" t="n">
        <v>43427</v>
      </c>
      <c r="H510" s="94" t="n">
        <v>256.19</v>
      </c>
      <c r="I510" s="95" t="n">
        <f aca="false">H510/H509-1</f>
        <v>0.011489260897031</v>
      </c>
      <c r="J510" s="88"/>
      <c r="K510" s="88"/>
    </row>
    <row r="511" customFormat="false" ht="18" hidden="false" customHeight="false" outlineLevel="0" collapsed="false">
      <c r="A511" s="89" t="n">
        <v>43453</v>
      </c>
      <c r="B511" s="90" t="n">
        <v>84.97</v>
      </c>
      <c r="C511" s="91" t="n">
        <f aca="false">B511/B510-1</f>
        <v>-0.00503512880562074</v>
      </c>
      <c r="G511" s="93" t="n">
        <v>43428</v>
      </c>
      <c r="H511" s="94" t="n">
        <v>254.73</v>
      </c>
      <c r="I511" s="95" t="n">
        <f aca="false">H511/H510-1</f>
        <v>-0.00569889535110668</v>
      </c>
      <c r="J511" s="88"/>
      <c r="K511" s="88"/>
    </row>
    <row r="512" customFormat="false" ht="18" hidden="false" customHeight="false" outlineLevel="0" collapsed="false">
      <c r="A512" s="89" t="n">
        <v>43454</v>
      </c>
      <c r="B512" s="90" t="n">
        <v>86.08</v>
      </c>
      <c r="C512" s="91" t="n">
        <f aca="false">B512/B511-1</f>
        <v>0.0130634341532305</v>
      </c>
      <c r="G512" s="93" t="n">
        <v>43431</v>
      </c>
      <c r="H512" s="94" t="n">
        <v>253.35</v>
      </c>
      <c r="I512" s="95" t="n">
        <f aca="false">H512/H511-1</f>
        <v>-0.00541750088328818</v>
      </c>
      <c r="J512" s="88"/>
      <c r="K512" s="88"/>
    </row>
    <row r="513" customFormat="false" ht="18" hidden="false" customHeight="false" outlineLevel="0" collapsed="false">
      <c r="A513" s="89" t="n">
        <v>43455</v>
      </c>
      <c r="B513" s="90" t="n">
        <v>85.64</v>
      </c>
      <c r="C513" s="91" t="n">
        <f aca="false">B513/B512-1</f>
        <v>-0.00511152416356875</v>
      </c>
      <c r="G513" s="93" t="n">
        <v>43432</v>
      </c>
      <c r="H513" s="94" t="n">
        <v>258.19</v>
      </c>
      <c r="I513" s="95" t="n">
        <f aca="false">H513/H512-1</f>
        <v>0.019104006315374</v>
      </c>
      <c r="J513" s="88"/>
      <c r="K513" s="88"/>
    </row>
    <row r="514" customFormat="false" ht="18" hidden="false" customHeight="false" outlineLevel="0" collapsed="false">
      <c r="A514" s="89" t="n">
        <v>43456</v>
      </c>
      <c r="B514" s="90" t="n">
        <v>85.18</v>
      </c>
      <c r="C514" s="91" t="n">
        <f aca="false">B514/B513-1</f>
        <v>-0.00537132181223721</v>
      </c>
      <c r="G514" s="93" t="n">
        <v>43433</v>
      </c>
      <c r="H514" s="94" t="n">
        <v>263.56</v>
      </c>
      <c r="I514" s="95" t="n">
        <f aca="false">H514/H513-1</f>
        <v>0.0207986366629227</v>
      </c>
      <c r="J514" s="88"/>
      <c r="K514" s="88"/>
    </row>
    <row r="515" customFormat="false" ht="18" hidden="false" customHeight="false" outlineLevel="0" collapsed="false">
      <c r="A515" s="89" t="n">
        <v>43460</v>
      </c>
      <c r="B515" s="90" t="n">
        <v>84.67</v>
      </c>
      <c r="C515" s="91" t="n">
        <f aca="false">B515/B514-1</f>
        <v>-0.00598732096736332</v>
      </c>
      <c r="G515" s="93" t="n">
        <v>43434</v>
      </c>
      <c r="H515" s="94" t="n">
        <v>264.58</v>
      </c>
      <c r="I515" s="95" t="n">
        <f aca="false">H515/H514-1</f>
        <v>0.00387008650781606</v>
      </c>
      <c r="J515" s="88"/>
      <c r="K515" s="88"/>
    </row>
    <row r="516" customFormat="false" ht="18" hidden="false" customHeight="false" outlineLevel="0" collapsed="false">
      <c r="A516" s="89" t="n">
        <v>43461</v>
      </c>
      <c r="B516" s="90" t="n">
        <v>84.36</v>
      </c>
      <c r="C516" s="91" t="n">
        <f aca="false">B516/B515-1</f>
        <v>-0.0036612731782214</v>
      </c>
      <c r="G516" s="93" t="n">
        <v>43435</v>
      </c>
      <c r="H516" s="94" t="n">
        <v>264.84</v>
      </c>
      <c r="I516" s="95" t="n">
        <f aca="false">H516/H515-1</f>
        <v>0.000982689545695026</v>
      </c>
      <c r="J516" s="88"/>
      <c r="K516" s="88"/>
    </row>
    <row r="517" customFormat="false" ht="18" hidden="false" customHeight="false" outlineLevel="0" collapsed="false">
      <c r="A517" s="89" t="n">
        <v>43462</v>
      </c>
      <c r="B517" s="90" t="n">
        <v>85.01</v>
      </c>
      <c r="C517" s="91" t="n">
        <f aca="false">B517/B516-1</f>
        <v>0.00770507349454719</v>
      </c>
      <c r="G517" s="93" t="n">
        <v>43438</v>
      </c>
      <c r="H517" s="94" t="n">
        <v>266.39</v>
      </c>
      <c r="I517" s="95" t="n">
        <f aca="false">H517/H516-1</f>
        <v>0.00585259024316565</v>
      </c>
      <c r="J517" s="88"/>
      <c r="K517" s="88"/>
    </row>
    <row r="518" customFormat="false" ht="18" hidden="false" customHeight="false" outlineLevel="0" collapsed="false">
      <c r="A518" s="89" t="n">
        <v>43463</v>
      </c>
      <c r="B518" s="90" t="n">
        <v>84.59</v>
      </c>
      <c r="C518" s="91" t="n">
        <f aca="false">B518/B517-1</f>
        <v>-0.00494059522409129</v>
      </c>
      <c r="G518" s="93" t="n">
        <v>43439</v>
      </c>
      <c r="H518" s="94" t="n">
        <v>264.55</v>
      </c>
      <c r="I518" s="95" t="n">
        <f aca="false">H518/H517-1</f>
        <v>-0.00690716618491671</v>
      </c>
      <c r="J518" s="88"/>
      <c r="K518" s="88"/>
    </row>
    <row r="519" customFormat="false" ht="18" hidden="false" customHeight="false" outlineLevel="0" collapsed="false">
      <c r="A519" s="89" t="n">
        <v>43467</v>
      </c>
      <c r="B519" s="90" t="n">
        <v>84.96</v>
      </c>
      <c r="C519" s="91" t="n">
        <f aca="false">B519/B518-1</f>
        <v>0.0043740394845726</v>
      </c>
      <c r="G519" s="93" t="n">
        <v>43440</v>
      </c>
      <c r="H519" s="94" t="n">
        <v>261.37</v>
      </c>
      <c r="I519" s="95" t="n">
        <f aca="false">H519/H518-1</f>
        <v>-0.012020412020412</v>
      </c>
      <c r="J519" s="88"/>
      <c r="K519" s="88"/>
    </row>
    <row r="520" customFormat="false" ht="18" hidden="false" customHeight="false" outlineLevel="0" collapsed="false">
      <c r="A520" s="89" t="n">
        <v>43468</v>
      </c>
      <c r="B520" s="90" t="n">
        <v>86</v>
      </c>
      <c r="C520" s="91" t="n">
        <f aca="false">B520/B519-1</f>
        <v>0.012241054613936</v>
      </c>
      <c r="G520" s="93" t="n">
        <v>43441</v>
      </c>
      <c r="H520" s="94" t="n">
        <v>264.12</v>
      </c>
      <c r="I520" s="95" t="n">
        <f aca="false">H520/H519-1</f>
        <v>0.0105214829551976</v>
      </c>
      <c r="J520" s="88"/>
      <c r="K520" s="88"/>
    </row>
    <row r="521" customFormat="false" ht="18" hidden="false" customHeight="false" outlineLevel="0" collapsed="false">
      <c r="A521" s="89" t="n">
        <v>43469</v>
      </c>
      <c r="B521" s="90" t="n">
        <v>85.22</v>
      </c>
      <c r="C521" s="91" t="n">
        <f aca="false">B521/B520-1</f>
        <v>-0.0090697674418605</v>
      </c>
      <c r="G521" s="93" t="n">
        <v>43442</v>
      </c>
      <c r="H521" s="94" t="n">
        <v>265</v>
      </c>
      <c r="I521" s="95" t="n">
        <f aca="false">H521/H520-1</f>
        <v>0.0033318188702105</v>
      </c>
      <c r="J521" s="88"/>
      <c r="K521" s="88"/>
    </row>
    <row r="522" customFormat="false" ht="18" hidden="false" customHeight="false" outlineLevel="0" collapsed="false">
      <c r="A522" s="89" t="n">
        <v>43470</v>
      </c>
      <c r="B522" s="90" t="n">
        <v>86.73</v>
      </c>
      <c r="C522" s="91" t="n">
        <f aca="false">B522/B521-1</f>
        <v>0.0177188453414692</v>
      </c>
      <c r="G522" s="93" t="n">
        <v>43445</v>
      </c>
      <c r="H522" s="94" t="n">
        <v>261.68</v>
      </c>
      <c r="I522" s="95" t="n">
        <f aca="false">H522/H521-1</f>
        <v>-0.0125283018867924</v>
      </c>
      <c r="J522" s="88"/>
      <c r="K522" s="88"/>
    </row>
    <row r="523" customFormat="false" ht="18" hidden="false" customHeight="false" outlineLevel="0" collapsed="false">
      <c r="A523" s="89" t="n">
        <v>43473</v>
      </c>
      <c r="B523" s="90" t="n">
        <v>86.56</v>
      </c>
      <c r="C523" s="91" t="n">
        <f aca="false">B523/B522-1</f>
        <v>-0.0019601060763289</v>
      </c>
      <c r="G523" s="93" t="n">
        <v>43446</v>
      </c>
      <c r="H523" s="94" t="n">
        <v>262.49</v>
      </c>
      <c r="I523" s="95" t="n">
        <f aca="false">H523/H522-1</f>
        <v>0.00309538367471718</v>
      </c>
      <c r="J523" s="88"/>
      <c r="K523" s="88"/>
    </row>
    <row r="524" customFormat="false" ht="18" hidden="false" customHeight="false" outlineLevel="0" collapsed="false">
      <c r="A524" s="89" t="n">
        <v>43474</v>
      </c>
      <c r="B524" s="90" t="n">
        <v>86.02</v>
      </c>
      <c r="C524" s="91" t="n">
        <f aca="false">B524/B523-1</f>
        <v>-0.0062384473197783</v>
      </c>
      <c r="G524" s="93" t="n">
        <v>43447</v>
      </c>
      <c r="H524" s="94" t="n">
        <v>264.1</v>
      </c>
      <c r="I524" s="95" t="n">
        <f aca="false">H524/H523-1</f>
        <v>0.00613356699302825</v>
      </c>
      <c r="J524" s="88"/>
      <c r="K524" s="88"/>
    </row>
    <row r="525" customFormat="false" ht="18" hidden="false" customHeight="false" outlineLevel="0" collapsed="false">
      <c r="A525" s="89" t="n">
        <v>43475</v>
      </c>
      <c r="B525" s="90" t="n">
        <v>87</v>
      </c>
      <c r="C525" s="91" t="n">
        <f aca="false">B525/B524-1</f>
        <v>0.0113926993722391</v>
      </c>
      <c r="G525" s="93" t="n">
        <v>43448</v>
      </c>
      <c r="H525" s="94" t="n">
        <v>260.86</v>
      </c>
      <c r="I525" s="95" t="n">
        <f aca="false">H525/H524-1</f>
        <v>-0.0122680802726241</v>
      </c>
      <c r="J525" s="88"/>
      <c r="K525" s="88"/>
    </row>
    <row r="526" customFormat="false" ht="18" hidden="false" customHeight="false" outlineLevel="0" collapsed="false">
      <c r="A526" s="89" t="n">
        <v>43476</v>
      </c>
      <c r="B526" s="90" t="n">
        <v>88.03</v>
      </c>
      <c r="C526" s="91" t="n">
        <f aca="false">B526/B525-1</f>
        <v>0.0118390804597701</v>
      </c>
      <c r="G526" s="93" t="n">
        <v>43449</v>
      </c>
      <c r="H526" s="94" t="n">
        <v>259.95</v>
      </c>
      <c r="I526" s="95" t="n">
        <f aca="false">H526/H525-1</f>
        <v>-0.00348846124357904</v>
      </c>
      <c r="J526" s="88"/>
      <c r="K526" s="88"/>
    </row>
    <row r="527" customFormat="false" ht="18" hidden="false" customHeight="false" outlineLevel="0" collapsed="false">
      <c r="A527" s="89" t="n">
        <v>43477</v>
      </c>
      <c r="B527" s="90" t="n">
        <v>87.82</v>
      </c>
      <c r="C527" s="91" t="n">
        <f aca="false">B527/B526-1</f>
        <v>-0.00238555038055221</v>
      </c>
      <c r="G527" s="93" t="n">
        <v>43452</v>
      </c>
      <c r="H527" s="94" t="n">
        <v>259.83</v>
      </c>
      <c r="I527" s="95" t="n">
        <f aca="false">H527/H526-1</f>
        <v>-0.000461627236006956</v>
      </c>
      <c r="J527" s="88"/>
      <c r="K527" s="88"/>
    </row>
    <row r="528" customFormat="false" ht="18" hidden="false" customHeight="false" outlineLevel="0" collapsed="false">
      <c r="A528" s="89" t="n">
        <v>43481</v>
      </c>
      <c r="B528" s="90" t="n">
        <v>87.91</v>
      </c>
      <c r="C528" s="91" t="n">
        <f aca="false">B528/B527-1</f>
        <v>0.00102482350261912</v>
      </c>
      <c r="G528" s="93" t="n">
        <v>43453</v>
      </c>
      <c r="H528" s="94" t="n">
        <v>258.15</v>
      </c>
      <c r="I528" s="95" t="n">
        <f aca="false">H528/H527-1</f>
        <v>-0.00646576607782012</v>
      </c>
      <c r="J528" s="88"/>
      <c r="K528" s="88"/>
    </row>
    <row r="529" customFormat="false" ht="18" hidden="false" customHeight="false" outlineLevel="0" collapsed="false">
      <c r="A529" s="89" t="n">
        <v>43482</v>
      </c>
      <c r="B529" s="90" t="n">
        <v>88.95</v>
      </c>
      <c r="C529" s="91" t="n">
        <f aca="false">B529/B528-1</f>
        <v>0.011830280969173</v>
      </c>
      <c r="G529" s="93" t="n">
        <v>43454</v>
      </c>
      <c r="H529" s="94" t="n">
        <v>258.75</v>
      </c>
      <c r="I529" s="95" t="n">
        <f aca="false">H529/H528-1</f>
        <v>0.0023242300987798</v>
      </c>
      <c r="J529" s="88"/>
      <c r="K529" s="88"/>
    </row>
    <row r="530" customFormat="false" ht="18" hidden="false" customHeight="false" outlineLevel="0" collapsed="false">
      <c r="A530" s="89" t="n">
        <v>43483</v>
      </c>
      <c r="B530" s="90" t="n">
        <v>88.7</v>
      </c>
      <c r="C530" s="91" t="n">
        <f aca="false">B530/B529-1</f>
        <v>-0.00281056773468236</v>
      </c>
      <c r="G530" s="93" t="n">
        <v>43455</v>
      </c>
      <c r="H530" s="94" t="n">
        <v>260.16</v>
      </c>
      <c r="I530" s="95" t="n">
        <f aca="false">H530/H529-1</f>
        <v>0.00544927536231898</v>
      </c>
      <c r="J530" s="88"/>
      <c r="K530" s="88"/>
    </row>
    <row r="531" customFormat="false" ht="18" hidden="false" customHeight="false" outlineLevel="0" collapsed="false">
      <c r="A531" s="89" t="n">
        <v>43484</v>
      </c>
      <c r="B531" s="90" t="n">
        <v>88.5</v>
      </c>
      <c r="C531" s="91" t="n">
        <f aca="false">B531/B530-1</f>
        <v>-0.00225479143179264</v>
      </c>
      <c r="G531" s="93" t="n">
        <v>43456</v>
      </c>
      <c r="H531" s="94" t="n">
        <v>258.07</v>
      </c>
      <c r="I531" s="95" t="n">
        <f aca="false">H531/H530-1</f>
        <v>-0.00803351783517847</v>
      </c>
      <c r="J531" s="88"/>
      <c r="K531" s="88"/>
    </row>
    <row r="532" customFormat="false" ht="18" hidden="false" customHeight="false" outlineLevel="0" collapsed="false">
      <c r="A532" s="89" t="n">
        <v>43487</v>
      </c>
      <c r="B532" s="90" t="n">
        <v>88.45</v>
      </c>
      <c r="C532" s="91" t="n">
        <f aca="false">B532/B531-1</f>
        <v>-0.000564971751412346</v>
      </c>
      <c r="G532" s="93" t="n">
        <v>43459</v>
      </c>
      <c r="H532" s="94" t="n">
        <v>258.76</v>
      </c>
      <c r="I532" s="95" t="n">
        <f aca="false">H532/H531-1</f>
        <v>0.00267369318401989</v>
      </c>
      <c r="J532" s="88"/>
      <c r="K532" s="88"/>
    </row>
    <row r="533" customFormat="false" ht="18" hidden="false" customHeight="false" outlineLevel="0" collapsed="false">
      <c r="A533" s="89" t="n">
        <v>43488</v>
      </c>
      <c r="B533" s="90" t="n">
        <v>88.84</v>
      </c>
      <c r="C533" s="91" t="n">
        <f aca="false">B533/B532-1</f>
        <v>0.00440927077444875</v>
      </c>
      <c r="G533" s="93" t="n">
        <v>43460</v>
      </c>
      <c r="H533" s="94" t="n">
        <v>259.57</v>
      </c>
      <c r="I533" s="95" t="n">
        <f aca="false">H533/H532-1</f>
        <v>0.00313031380429751</v>
      </c>
      <c r="J533" s="88"/>
      <c r="K533" s="88"/>
    </row>
    <row r="534" customFormat="false" ht="18" hidden="false" customHeight="false" outlineLevel="0" collapsed="false">
      <c r="A534" s="89" t="n">
        <v>43489</v>
      </c>
      <c r="B534" s="90" t="n">
        <v>88.78</v>
      </c>
      <c r="C534" s="91" t="n">
        <f aca="false">B534/B533-1</f>
        <v>-0.000675371454299856</v>
      </c>
      <c r="G534" s="93" t="n">
        <v>43461</v>
      </c>
      <c r="H534" s="94" t="n">
        <v>259.97</v>
      </c>
      <c r="I534" s="95" t="n">
        <f aca="false">H534/H533-1</f>
        <v>0.00154101013214181</v>
      </c>
      <c r="J534" s="88"/>
      <c r="K534" s="88"/>
    </row>
    <row r="535" customFormat="false" ht="18" hidden="false" customHeight="false" outlineLevel="0" collapsed="false">
      <c r="A535" s="89" t="n">
        <v>43490</v>
      </c>
      <c r="B535" s="90" t="n">
        <v>88.78</v>
      </c>
      <c r="C535" s="91" t="n">
        <f aca="false">B535/B534-1</f>
        <v>0</v>
      </c>
      <c r="G535" s="93" t="n">
        <v>43462</v>
      </c>
      <c r="H535" s="94" t="n">
        <v>260.64</v>
      </c>
      <c r="I535" s="95" t="n">
        <f aca="false">H535/H534-1</f>
        <v>0.00257722044851305</v>
      </c>
      <c r="J535" s="88"/>
      <c r="K535" s="88"/>
    </row>
    <row r="536" customFormat="false" ht="18" hidden="false" customHeight="false" outlineLevel="0" collapsed="false">
      <c r="A536" s="89" t="n">
        <v>43491</v>
      </c>
      <c r="B536" s="90" t="n">
        <v>88.61</v>
      </c>
      <c r="C536" s="91" t="n">
        <f aca="false">B536/B535-1</f>
        <v>-0.00191484568596534</v>
      </c>
      <c r="G536" s="93" t="n">
        <v>43463</v>
      </c>
      <c r="H536" s="94" t="n">
        <v>260.42</v>
      </c>
      <c r="I536" s="95" t="n">
        <f aca="false">H536/H535-1</f>
        <v>-0.000844076120319115</v>
      </c>
      <c r="J536" s="88"/>
      <c r="K536" s="88"/>
    </row>
    <row r="537" customFormat="false" ht="18" hidden="false" customHeight="false" outlineLevel="0" collapsed="false">
      <c r="A537" s="89" t="n">
        <v>43494</v>
      </c>
      <c r="B537" s="90" t="n">
        <v>87.48</v>
      </c>
      <c r="C537" s="91" t="n">
        <f aca="false">B537/B536-1</f>
        <v>-0.0127525110032727</v>
      </c>
      <c r="G537" s="93" t="n">
        <v>43466</v>
      </c>
      <c r="H537" s="94" t="n">
        <v>260.49</v>
      </c>
      <c r="I537" s="95" t="n">
        <f aca="false">H537/H536-1</f>
        <v>0.000268796559403928</v>
      </c>
    </row>
    <row r="538" customFormat="false" ht="18" hidden="false" customHeight="false" outlineLevel="0" collapsed="false">
      <c r="A538" s="89" t="n">
        <v>43495</v>
      </c>
      <c r="B538" s="90" t="n">
        <v>87.91</v>
      </c>
      <c r="C538" s="91" t="n">
        <f aca="false">B538/B537-1</f>
        <v>0.00491540923639677</v>
      </c>
      <c r="G538" s="93" t="n">
        <v>43467</v>
      </c>
      <c r="H538" s="94" t="n">
        <v>262.48</v>
      </c>
      <c r="I538" s="95" t="n">
        <f aca="false">H538/H537-1</f>
        <v>0.00763944873123723</v>
      </c>
    </row>
    <row r="539" customFormat="false" ht="18" hidden="false" customHeight="false" outlineLevel="0" collapsed="false">
      <c r="A539" s="89" t="n">
        <v>43496</v>
      </c>
      <c r="B539" s="90" t="n">
        <v>89.26</v>
      </c>
      <c r="C539" s="91" t="n">
        <f aca="false">B539/B538-1</f>
        <v>0.0153566147195996</v>
      </c>
      <c r="G539" s="93" t="n">
        <v>43468</v>
      </c>
      <c r="H539" s="94" t="n">
        <v>265.35</v>
      </c>
      <c r="I539" s="95" t="n">
        <f aca="false">H539/H538-1</f>
        <v>0.010934166412679</v>
      </c>
    </row>
    <row r="540" customFormat="false" ht="18" hidden="false" customHeight="false" outlineLevel="0" collapsed="false">
      <c r="A540" s="89" t="n">
        <v>43497</v>
      </c>
      <c r="B540" s="90" t="n">
        <v>89.55</v>
      </c>
      <c r="C540" s="91" t="n">
        <f aca="false">B540/B539-1</f>
        <v>0.00324893569347973</v>
      </c>
      <c r="G540" s="93" t="n">
        <v>43469</v>
      </c>
      <c r="H540" s="94" t="n">
        <v>267.16</v>
      </c>
      <c r="I540" s="95" t="n">
        <f aca="false">H540/H539-1</f>
        <v>0.0068211795741473</v>
      </c>
    </row>
    <row r="541" customFormat="false" ht="18" hidden="false" customHeight="false" outlineLevel="0" collapsed="false">
      <c r="A541" s="89" t="n">
        <v>43498</v>
      </c>
      <c r="B541" s="90" t="n">
        <v>88.32</v>
      </c>
      <c r="C541" s="91" t="n">
        <f aca="false">B541/B540-1</f>
        <v>-0.0137353433835846</v>
      </c>
      <c r="G541" s="93" t="n">
        <v>43470</v>
      </c>
      <c r="H541" s="94" t="n">
        <v>268.1</v>
      </c>
      <c r="I541" s="95" t="n">
        <f aca="false">H541/H540-1</f>
        <v>0.0035184907920347</v>
      </c>
    </row>
    <row r="542" customFormat="false" ht="18" hidden="false" customHeight="false" outlineLevel="0" collapsed="false">
      <c r="A542" s="89" t="n">
        <v>43501</v>
      </c>
      <c r="B542" s="90" t="n">
        <v>87.07</v>
      </c>
      <c r="C542" s="91" t="n">
        <f aca="false">B542/B541-1</f>
        <v>-0.0141530797101449</v>
      </c>
      <c r="G542" s="93" t="n">
        <v>43473</v>
      </c>
      <c r="H542" s="94" t="n">
        <v>272.96</v>
      </c>
      <c r="I542" s="95" t="n">
        <f aca="false">H542/H541-1</f>
        <v>0.0181275643416634</v>
      </c>
    </row>
    <row r="543" customFormat="false" ht="18" hidden="false" customHeight="false" outlineLevel="0" collapsed="false">
      <c r="A543" s="89" t="n">
        <v>43502</v>
      </c>
      <c r="B543" s="90" t="n">
        <v>87.15</v>
      </c>
      <c r="C543" s="91" t="n">
        <f aca="false">B543/B542-1</f>
        <v>0.000918800964741173</v>
      </c>
      <c r="E543" s="93"/>
      <c r="F543" s="94"/>
      <c r="G543" s="93" t="n">
        <v>43474</v>
      </c>
      <c r="H543" s="94" t="n">
        <v>273.58</v>
      </c>
      <c r="I543" s="95" t="n">
        <f aca="false">H543/H542-1</f>
        <v>0.00227139507620167</v>
      </c>
    </row>
    <row r="544" customFormat="false" ht="18" hidden="false" customHeight="false" outlineLevel="0" collapsed="false">
      <c r="A544" s="89" t="n">
        <v>43503</v>
      </c>
      <c r="B544" s="90" t="n">
        <v>87.1</v>
      </c>
      <c r="C544" s="91" t="n">
        <f aca="false">B544/B543-1</f>
        <v>-0.000573723465289833</v>
      </c>
      <c r="E544" s="93"/>
      <c r="F544" s="94"/>
      <c r="G544" s="93" t="n">
        <v>43475</v>
      </c>
      <c r="H544" s="94" t="n">
        <v>274.13</v>
      </c>
      <c r="I544" s="95" t="n">
        <f aca="false">H544/H543-1</f>
        <v>0.00201038087579497</v>
      </c>
    </row>
    <row r="545" customFormat="false" ht="18" hidden="false" customHeight="false" outlineLevel="0" collapsed="false">
      <c r="A545" s="89" t="n">
        <v>43504</v>
      </c>
      <c r="B545" s="90" t="n">
        <v>86.53</v>
      </c>
      <c r="C545" s="91" t="n">
        <f aca="false">B545/B544-1</f>
        <v>-0.00654420206659001</v>
      </c>
      <c r="E545" s="93"/>
      <c r="F545" s="94"/>
      <c r="G545" s="93" t="n">
        <v>43476</v>
      </c>
      <c r="H545" s="94" t="n">
        <v>274.59</v>
      </c>
      <c r="I545" s="95" t="n">
        <f aca="false">H545/H544-1</f>
        <v>0.00167803596833616</v>
      </c>
    </row>
    <row r="546" customFormat="false" ht="18" hidden="false" customHeight="false" outlineLevel="0" collapsed="false">
      <c r="A546" s="89" t="n">
        <v>43505</v>
      </c>
      <c r="B546" s="90" t="n">
        <v>85.86</v>
      </c>
      <c r="C546" s="91" t="n">
        <f aca="false">B546/B545-1</f>
        <v>-0.00774297931353285</v>
      </c>
      <c r="E546" s="93"/>
      <c r="F546" s="94"/>
      <c r="G546" s="93" t="n">
        <v>43477</v>
      </c>
      <c r="H546" s="94" t="n">
        <v>277.44</v>
      </c>
      <c r="I546" s="95" t="n">
        <f aca="false">H546/H545-1</f>
        <v>0.010379110674096</v>
      </c>
    </row>
    <row r="547" customFormat="false" ht="18" hidden="false" customHeight="false" outlineLevel="0" collapsed="false">
      <c r="A547" s="89" t="n">
        <v>43508</v>
      </c>
      <c r="B547" s="90" t="n">
        <v>86.1</v>
      </c>
      <c r="C547" s="91" t="n">
        <f aca="false">B547/B546-1</f>
        <v>0.00279524807826692</v>
      </c>
      <c r="E547" s="93"/>
      <c r="F547" s="94"/>
      <c r="G547" s="93" t="n">
        <v>43480</v>
      </c>
      <c r="H547" s="94" t="n">
        <v>277.59</v>
      </c>
      <c r="I547" s="95" t="n">
        <f aca="false">H547/H546-1</f>
        <v>0.000540657439446202</v>
      </c>
    </row>
    <row r="548" customFormat="false" ht="18" hidden="false" customHeight="false" outlineLevel="0" collapsed="false">
      <c r="A548" s="89" t="n">
        <v>43509</v>
      </c>
      <c r="B548" s="90" t="n">
        <v>86.15</v>
      </c>
      <c r="C548" s="91" t="n">
        <f aca="false">B548/B547-1</f>
        <v>0.000580720092915321</v>
      </c>
      <c r="E548" s="93"/>
      <c r="F548" s="94"/>
      <c r="G548" s="93" t="n">
        <v>43481</v>
      </c>
      <c r="H548" s="94" t="n">
        <v>276.54</v>
      </c>
      <c r="I548" s="95" t="n">
        <f aca="false">H548/H547-1</f>
        <v>-0.00378255700853758</v>
      </c>
    </row>
    <row r="549" customFormat="false" ht="18" hidden="false" customHeight="false" outlineLevel="0" collapsed="false">
      <c r="A549" s="89" t="n">
        <v>43510</v>
      </c>
      <c r="B549" s="90" t="n">
        <v>85.9</v>
      </c>
      <c r="C549" s="91" t="n">
        <f aca="false">B549/B548-1</f>
        <v>-0.00290191526407424</v>
      </c>
      <c r="E549" s="93"/>
      <c r="F549" s="94"/>
      <c r="G549" s="93" t="n">
        <v>43482</v>
      </c>
      <c r="H549" s="94" t="n">
        <v>277.35</v>
      </c>
      <c r="I549" s="95" t="n">
        <f aca="false">H549/H548-1</f>
        <v>0.0029290518550662</v>
      </c>
    </row>
    <row r="550" customFormat="false" ht="18" hidden="false" customHeight="false" outlineLevel="0" collapsed="false">
      <c r="A550" s="89" t="n">
        <v>43511</v>
      </c>
      <c r="B550" s="90" t="n">
        <v>85.34</v>
      </c>
      <c r="C550" s="91" t="n">
        <f aca="false">B550/B549-1</f>
        <v>-0.00651920838183939</v>
      </c>
      <c r="E550" s="93"/>
      <c r="F550" s="94"/>
      <c r="G550" s="93" t="n">
        <v>43483</v>
      </c>
      <c r="H550" s="94" t="n">
        <v>277.03</v>
      </c>
      <c r="I550" s="95" t="n">
        <f aca="false">H550/H549-1</f>
        <v>-0.00115377681629725</v>
      </c>
    </row>
    <row r="551" customFormat="false" ht="18" hidden="false" customHeight="false" outlineLevel="0" collapsed="false">
      <c r="A551" s="89" t="n">
        <v>43512</v>
      </c>
      <c r="B551" s="90" t="n">
        <v>85.37</v>
      </c>
      <c r="C551" s="91" t="n">
        <f aca="false">B551/B550-1</f>
        <v>0.000351535036325235</v>
      </c>
      <c r="E551" s="93"/>
      <c r="F551" s="94"/>
      <c r="G551" s="93" t="n">
        <v>43484</v>
      </c>
      <c r="H551" s="94" t="n">
        <v>279.04</v>
      </c>
      <c r="I551" s="95" t="n">
        <f aca="false">H551/H550-1</f>
        <v>0.00725553189185302</v>
      </c>
    </row>
    <row r="552" customFormat="false" ht="18" hidden="false" customHeight="false" outlineLevel="0" collapsed="false">
      <c r="A552" s="89" t="n">
        <v>43516</v>
      </c>
      <c r="B552" s="90" t="n">
        <v>84.08</v>
      </c>
      <c r="C552" s="91" t="n">
        <f aca="false">B552/B551-1</f>
        <v>-0.0151106946234041</v>
      </c>
      <c r="E552" s="93"/>
      <c r="F552" s="94"/>
      <c r="G552" s="93" t="n">
        <v>43487</v>
      </c>
      <c r="H552" s="94" t="n">
        <v>279.8</v>
      </c>
      <c r="I552" s="95" t="n">
        <f aca="false">H552/H551-1</f>
        <v>0.0027236238532109</v>
      </c>
    </row>
    <row r="553" customFormat="false" ht="18" hidden="false" customHeight="false" outlineLevel="0" collapsed="false">
      <c r="A553" s="89" t="n">
        <v>43517</v>
      </c>
      <c r="B553" s="90" t="n">
        <v>84.41</v>
      </c>
      <c r="C553" s="91" t="n">
        <f aca="false">B553/B552-1</f>
        <v>0.00392483349191242</v>
      </c>
      <c r="E553" s="93"/>
      <c r="F553" s="94"/>
      <c r="G553" s="93" t="n">
        <v>43488</v>
      </c>
      <c r="H553" s="94" t="n">
        <v>279.85</v>
      </c>
      <c r="I553" s="95" t="n">
        <f aca="false">H553/H552-1</f>
        <v>0.000178699070764843</v>
      </c>
    </row>
    <row r="554" customFormat="false" ht="18" hidden="false" customHeight="false" outlineLevel="0" collapsed="false">
      <c r="A554" s="89" t="n">
        <v>43518</v>
      </c>
      <c r="B554" s="90" t="n">
        <v>85.76</v>
      </c>
      <c r="C554" s="91" t="n">
        <f aca="false">B554/B553-1</f>
        <v>0.0159933657149627</v>
      </c>
      <c r="E554" s="93"/>
      <c r="F554" s="94"/>
      <c r="G554" s="93" t="n">
        <v>43489</v>
      </c>
      <c r="H554" s="94" t="n">
        <v>279.63</v>
      </c>
      <c r="I554" s="95" t="n">
        <f aca="false">H554/H553-1</f>
        <v>-0.000786135429694523</v>
      </c>
    </row>
    <row r="555" customFormat="false" ht="18" hidden="false" customHeight="false" outlineLevel="0" collapsed="false">
      <c r="A555" s="89" t="n">
        <v>43519</v>
      </c>
      <c r="B555" s="90" t="n">
        <v>85.17</v>
      </c>
      <c r="C555" s="91" t="n">
        <f aca="false">B555/B554-1</f>
        <v>-0.00687966417910457</v>
      </c>
      <c r="E555" s="93"/>
      <c r="F555" s="94"/>
      <c r="G555" s="93" t="n">
        <v>43490</v>
      </c>
      <c r="H555" s="94" t="n">
        <v>281.96</v>
      </c>
      <c r="I555" s="95" t="n">
        <f aca="false">H555/H554-1</f>
        <v>0.00833243929478233</v>
      </c>
    </row>
    <row r="556" customFormat="false" ht="18" hidden="false" customHeight="false" outlineLevel="0" collapsed="false">
      <c r="A556" s="89" t="n">
        <v>43522</v>
      </c>
      <c r="B556" s="90" t="n">
        <v>85.6</v>
      </c>
      <c r="C556" s="91" t="n">
        <f aca="false">B556/B555-1</f>
        <v>0.00504872607725715</v>
      </c>
      <c r="E556" s="93"/>
      <c r="F556" s="94"/>
      <c r="G556" s="93" t="n">
        <v>43491</v>
      </c>
      <c r="H556" s="94" t="n">
        <v>280.89</v>
      </c>
      <c r="I556" s="95" t="n">
        <f aca="false">H556/H555-1</f>
        <v>-0.00379486451979005</v>
      </c>
    </row>
    <row r="557" customFormat="false" ht="18" hidden="false" customHeight="false" outlineLevel="0" collapsed="false">
      <c r="A557" s="89" t="n">
        <v>43523</v>
      </c>
      <c r="B557" s="90" t="n">
        <v>85.24</v>
      </c>
      <c r="C557" s="91" t="n">
        <f aca="false">B557/B556-1</f>
        <v>-0.00420560747663545</v>
      </c>
      <c r="E557" s="93"/>
      <c r="F557" s="94"/>
      <c r="G557" s="93" t="n">
        <v>43494</v>
      </c>
      <c r="H557" s="94" t="n">
        <v>279.37</v>
      </c>
      <c r="I557" s="95" t="n">
        <f aca="false">H557/H556-1</f>
        <v>-0.00541137099932354</v>
      </c>
    </row>
    <row r="558" customFormat="false" ht="18" hidden="false" customHeight="false" outlineLevel="0" collapsed="false">
      <c r="A558" s="89" t="n">
        <v>43524</v>
      </c>
      <c r="B558" s="90" t="n">
        <v>84.3</v>
      </c>
      <c r="C558" s="91" t="n">
        <f aca="false">B558/B557-1</f>
        <v>-0.0110276865321445</v>
      </c>
      <c r="E558" s="93"/>
      <c r="F558" s="94"/>
      <c r="G558" s="93" t="n">
        <v>43495</v>
      </c>
      <c r="H558" s="94" t="n">
        <v>277.65</v>
      </c>
      <c r="I558" s="95" t="n">
        <f aca="false">H558/H557-1</f>
        <v>-0.00615670973977178</v>
      </c>
    </row>
    <row r="559" customFormat="false" ht="18" hidden="false" customHeight="false" outlineLevel="0" collapsed="false">
      <c r="A559" s="89" t="n">
        <v>43525</v>
      </c>
      <c r="B559" s="90" t="n">
        <v>83.99</v>
      </c>
      <c r="C559" s="91" t="n">
        <f aca="false">B559/B558-1</f>
        <v>-0.00367734282325027</v>
      </c>
      <c r="E559" s="93"/>
      <c r="F559" s="94"/>
      <c r="G559" s="93" t="n">
        <v>43496</v>
      </c>
      <c r="H559" s="94" t="n">
        <v>280.16</v>
      </c>
      <c r="I559" s="95" t="n">
        <f aca="false">H559/H558-1</f>
        <v>0.00904015847289763</v>
      </c>
    </row>
    <row r="560" customFormat="false" ht="18" hidden="false" customHeight="false" outlineLevel="0" collapsed="false">
      <c r="A560" s="89" t="n">
        <v>43526</v>
      </c>
      <c r="B560" s="90" t="n">
        <v>85.28</v>
      </c>
      <c r="C560" s="91" t="n">
        <f aca="false">B560/B559-1</f>
        <v>0.015358971306108</v>
      </c>
      <c r="E560" s="93"/>
      <c r="F560" s="94"/>
      <c r="G560" s="93" t="n">
        <v>43497</v>
      </c>
      <c r="H560" s="94" t="n">
        <v>280.39</v>
      </c>
      <c r="I560" s="95" t="n">
        <f aca="false">H560/H559-1</f>
        <v>0.000820959451741654</v>
      </c>
    </row>
    <row r="561" customFormat="false" ht="18" hidden="false" customHeight="false" outlineLevel="0" collapsed="false">
      <c r="A561" s="89" t="n">
        <v>43529</v>
      </c>
      <c r="B561" s="90" t="n">
        <v>84.94</v>
      </c>
      <c r="C561" s="91" t="n">
        <f aca="false">B561/B560-1</f>
        <v>-0.00398686679174487</v>
      </c>
      <c r="E561" s="93"/>
      <c r="F561" s="94"/>
      <c r="G561" s="93" t="n">
        <v>43498</v>
      </c>
      <c r="H561" s="94" t="n">
        <v>278.47</v>
      </c>
      <c r="I561" s="95" t="n">
        <f aca="false">H561/H560-1</f>
        <v>-0.00684760512143789</v>
      </c>
    </row>
    <row r="562" customFormat="false" ht="18" hidden="false" customHeight="false" outlineLevel="0" collapsed="false">
      <c r="A562" s="89" t="n">
        <v>43530</v>
      </c>
      <c r="B562" s="90" t="n">
        <v>84.59</v>
      </c>
      <c r="C562" s="91" t="n">
        <f aca="false">B562/B561-1</f>
        <v>-0.00412055568636682</v>
      </c>
      <c r="E562" s="93"/>
      <c r="F562" s="94"/>
      <c r="G562" s="93" t="n">
        <v>43501</v>
      </c>
      <c r="H562" s="94" t="n">
        <v>273.5</v>
      </c>
      <c r="I562" s="95" t="n">
        <f aca="false">H562/H561-1</f>
        <v>-0.0178475239702662</v>
      </c>
    </row>
    <row r="563" customFormat="false" ht="18" hidden="false" customHeight="false" outlineLevel="0" collapsed="false">
      <c r="A563" s="89" t="n">
        <v>43531</v>
      </c>
      <c r="B563" s="90" t="n">
        <v>84.19</v>
      </c>
      <c r="C563" s="91" t="n">
        <f aca="false">B563/B562-1</f>
        <v>-0.00472869133467324</v>
      </c>
      <c r="E563" s="93"/>
      <c r="F563" s="94"/>
      <c r="G563" s="93" t="n">
        <v>43502</v>
      </c>
      <c r="H563" s="94" t="n">
        <v>273.51</v>
      </c>
      <c r="I563" s="95" t="n">
        <f aca="false">H563/H562-1</f>
        <v>3.6563071297957E-005</v>
      </c>
    </row>
    <row r="564" customFormat="false" ht="18" hidden="false" customHeight="false" outlineLevel="0" collapsed="false">
      <c r="A564" s="89" t="n">
        <v>43532</v>
      </c>
      <c r="B564" s="90" t="n">
        <v>84.21</v>
      </c>
      <c r="C564" s="91" t="n">
        <f aca="false">B564/B563-1</f>
        <v>0.000237557904739338</v>
      </c>
      <c r="E564" s="93"/>
      <c r="F564" s="94"/>
      <c r="G564" s="93" t="n">
        <v>43503</v>
      </c>
      <c r="H564" s="94" t="n">
        <v>274.32</v>
      </c>
      <c r="I564" s="95" t="n">
        <f aca="false">H564/H563-1</f>
        <v>0.00296150049358346</v>
      </c>
    </row>
    <row r="565" customFormat="false" ht="18" hidden="false" customHeight="false" outlineLevel="0" collapsed="false">
      <c r="A565" s="89" t="n">
        <v>43533</v>
      </c>
      <c r="B565" s="90" t="n">
        <v>85</v>
      </c>
      <c r="C565" s="91" t="n">
        <f aca="false">B565/B564-1</f>
        <v>0.0093813086331791</v>
      </c>
      <c r="E565" s="93"/>
      <c r="F565" s="94"/>
      <c r="G565" s="93" t="n">
        <v>43504</v>
      </c>
      <c r="H565" s="94" t="n">
        <v>275.18</v>
      </c>
      <c r="I565" s="95" t="n">
        <f aca="false">H565/H564-1</f>
        <v>0.0031350247885682</v>
      </c>
    </row>
    <row r="566" customFormat="false" ht="18" hidden="false" customHeight="false" outlineLevel="0" collapsed="false">
      <c r="A566" s="89" t="n">
        <v>43536</v>
      </c>
      <c r="B566" s="90" t="n">
        <v>84.86</v>
      </c>
      <c r="C566" s="91" t="n">
        <f aca="false">B566/B565-1</f>
        <v>-0.00164705882352945</v>
      </c>
      <c r="E566" s="93"/>
      <c r="F566" s="94"/>
      <c r="G566" s="93" t="n">
        <v>43505</v>
      </c>
      <c r="H566" s="94" t="n">
        <v>272.36</v>
      </c>
      <c r="I566" s="95" t="n">
        <f aca="false">H566/H565-1</f>
        <v>-0.0102478377789084</v>
      </c>
    </row>
    <row r="567" customFormat="false" ht="18" hidden="false" customHeight="false" outlineLevel="0" collapsed="false">
      <c r="A567" s="89" t="n">
        <v>43537</v>
      </c>
      <c r="B567" s="90" t="n">
        <v>84.63</v>
      </c>
      <c r="C567" s="91" t="n">
        <f aca="false">B567/B566-1</f>
        <v>-0.0027103464529814</v>
      </c>
      <c r="E567" s="93"/>
      <c r="F567" s="94"/>
      <c r="G567" s="93" t="n">
        <v>43508</v>
      </c>
      <c r="H567" s="94" t="n">
        <v>273.02</v>
      </c>
      <c r="I567" s="95" t="n">
        <f aca="false">H567/H566-1</f>
        <v>0.00242326332794818</v>
      </c>
    </row>
    <row r="568" customFormat="false" ht="18" hidden="false" customHeight="false" outlineLevel="0" collapsed="false">
      <c r="A568" s="89" t="n">
        <v>43538</v>
      </c>
      <c r="B568" s="90" t="n">
        <v>84.94</v>
      </c>
      <c r="C568" s="91" t="n">
        <f aca="false">B568/B567-1</f>
        <v>0.00366300366300365</v>
      </c>
      <c r="E568" s="93"/>
      <c r="F568" s="94"/>
      <c r="G568" s="93" t="n">
        <v>43509</v>
      </c>
      <c r="H568" s="94" t="n">
        <v>273</v>
      </c>
      <c r="I568" s="95" t="n">
        <f aca="false">H568/H567-1</f>
        <v>-7.32547066147893E-005</v>
      </c>
    </row>
    <row r="569" customFormat="false" ht="18" hidden="false" customHeight="false" outlineLevel="0" collapsed="false">
      <c r="A569" s="89" t="n">
        <v>43539</v>
      </c>
      <c r="B569" s="90" t="n">
        <v>84.58</v>
      </c>
      <c r="C569" s="91" t="n">
        <f aca="false">B569/B568-1</f>
        <v>-0.00423828584883446</v>
      </c>
      <c r="E569" s="93"/>
      <c r="F569" s="94"/>
      <c r="G569" s="93" t="n">
        <v>43510</v>
      </c>
      <c r="H569" s="94" t="n">
        <v>271.49</v>
      </c>
      <c r="I569" s="95" t="n">
        <f aca="false">H569/H568-1</f>
        <v>-0.00553113553113549</v>
      </c>
    </row>
    <row r="570" customFormat="false" ht="18" hidden="false" customHeight="false" outlineLevel="0" collapsed="false">
      <c r="A570" s="89" t="n">
        <v>43540</v>
      </c>
      <c r="B570" s="90" t="n">
        <v>84.2</v>
      </c>
      <c r="C570" s="91" t="n">
        <f aca="false">B570/B569-1</f>
        <v>-0.00449278789311891</v>
      </c>
      <c r="E570" s="93"/>
      <c r="F570" s="94"/>
      <c r="G570" s="93" t="n">
        <v>43511</v>
      </c>
      <c r="H570" s="94" t="n">
        <v>272.37</v>
      </c>
      <c r="I570" s="95" t="n">
        <f aca="false">H570/H569-1</f>
        <v>0.00324137168956495</v>
      </c>
    </row>
    <row r="571" customFormat="false" ht="18" hidden="false" customHeight="false" outlineLevel="0" collapsed="false">
      <c r="A571" s="89" t="n">
        <v>43543</v>
      </c>
      <c r="B571" s="90" t="n">
        <v>84.21</v>
      </c>
      <c r="C571" s="91" t="n">
        <f aca="false">B571/B570-1</f>
        <v>0.000118764845605579</v>
      </c>
      <c r="E571" s="93"/>
      <c r="F571" s="94"/>
      <c r="G571" s="93" t="n">
        <v>43512</v>
      </c>
      <c r="H571" s="94" t="n">
        <v>269.87</v>
      </c>
      <c r="I571" s="95" t="n">
        <f aca="false">H571/H570-1</f>
        <v>-0.0091786907515512</v>
      </c>
    </row>
    <row r="572" customFormat="false" ht="18" hidden="false" customHeight="false" outlineLevel="0" collapsed="false">
      <c r="A572" s="89" t="n">
        <v>43544</v>
      </c>
      <c r="B572" s="90" t="n">
        <v>84.81</v>
      </c>
      <c r="C572" s="91" t="n">
        <f aca="false">B572/B571-1</f>
        <v>0.00712504453152851</v>
      </c>
      <c r="E572" s="93"/>
      <c r="F572" s="94"/>
      <c r="G572" s="93" t="n">
        <v>43515</v>
      </c>
      <c r="H572" s="94" t="n">
        <v>271.38</v>
      </c>
      <c r="I572" s="95" t="n">
        <f aca="false">H572/H571-1</f>
        <v>0.0055952866194835</v>
      </c>
    </row>
    <row r="573" customFormat="false" ht="18" hidden="false" customHeight="false" outlineLevel="0" collapsed="false">
      <c r="A573" s="89" t="n">
        <v>43545</v>
      </c>
      <c r="B573" s="90" t="n">
        <v>85.55</v>
      </c>
      <c r="C573" s="91" t="n">
        <f aca="false">B573/B572-1</f>
        <v>0.00872538615729268</v>
      </c>
      <c r="E573" s="93"/>
      <c r="F573" s="94"/>
      <c r="G573" s="93" t="n">
        <v>43516</v>
      </c>
      <c r="H573" s="94" t="n">
        <v>268.9</v>
      </c>
      <c r="I573" s="95" t="n">
        <f aca="false">H573/H572-1</f>
        <v>-0.00913847741174745</v>
      </c>
    </row>
    <row r="574" customFormat="false" ht="18" hidden="false" customHeight="false" outlineLevel="0" collapsed="false">
      <c r="A574" s="89" t="n">
        <v>43546</v>
      </c>
      <c r="B574" s="90" t="n">
        <v>85.86</v>
      </c>
      <c r="C574" s="91" t="n">
        <f aca="false">B574/B573-1</f>
        <v>0.0036236119228521</v>
      </c>
      <c r="E574" s="93"/>
      <c r="F574" s="94"/>
      <c r="G574" s="93" t="n">
        <v>43517</v>
      </c>
      <c r="H574" s="94" t="n">
        <v>266.1</v>
      </c>
      <c r="I574" s="95" t="n">
        <f aca="false">H574/H573-1</f>
        <v>-0.010412792859799</v>
      </c>
    </row>
    <row r="575" customFormat="false" ht="18" hidden="false" customHeight="false" outlineLevel="0" collapsed="false">
      <c r="A575" s="89" t="n">
        <v>43547</v>
      </c>
      <c r="B575" s="90" t="n">
        <v>85.39</v>
      </c>
      <c r="C575" s="91" t="n">
        <f aca="false">B575/B574-1</f>
        <v>-0.00547402748660608</v>
      </c>
      <c r="E575" s="93"/>
      <c r="F575" s="94"/>
      <c r="G575" s="93" t="n">
        <v>43518</v>
      </c>
      <c r="H575" s="94" t="n">
        <v>266.82</v>
      </c>
      <c r="I575" s="95" t="n">
        <f aca="false">H575/H574-1</f>
        <v>0.00270574971815085</v>
      </c>
    </row>
    <row r="576" customFormat="false" ht="18" hidden="false" customHeight="false" outlineLevel="0" collapsed="false">
      <c r="A576" s="89" t="n">
        <v>43550</v>
      </c>
      <c r="B576" s="90" t="n">
        <v>85.03</v>
      </c>
      <c r="C576" s="91" t="n">
        <f aca="false">B576/B575-1</f>
        <v>-0.00421595034547373</v>
      </c>
      <c r="E576" s="93"/>
      <c r="F576" s="94"/>
      <c r="G576" s="93" t="n">
        <v>43519</v>
      </c>
      <c r="H576" s="94" t="n">
        <v>263.04</v>
      </c>
      <c r="I576" s="95" t="n">
        <f aca="false">H576/H575-1</f>
        <v>-0.014166854058916</v>
      </c>
    </row>
    <row r="577" customFormat="false" ht="18" hidden="false" customHeight="false" outlineLevel="0" collapsed="false">
      <c r="A577" s="89" t="n">
        <v>43551</v>
      </c>
      <c r="B577" s="90" t="n">
        <v>84.73</v>
      </c>
      <c r="C577" s="91" t="n">
        <f aca="false">B577/B576-1</f>
        <v>-0.0035281665294602</v>
      </c>
      <c r="E577" s="93"/>
      <c r="F577" s="94"/>
      <c r="G577" s="93" t="n">
        <v>43522</v>
      </c>
      <c r="H577" s="94" t="n">
        <v>262.44</v>
      </c>
      <c r="I577" s="95" t="n">
        <f aca="false">H577/H576-1</f>
        <v>-0.00228102189781032</v>
      </c>
    </row>
    <row r="578" customFormat="false" ht="18" hidden="false" customHeight="false" outlineLevel="0" collapsed="false">
      <c r="A578" s="89" t="n">
        <v>43552</v>
      </c>
      <c r="B578" s="90" t="n">
        <v>85.14</v>
      </c>
      <c r="C578" s="91" t="n">
        <f aca="false">B578/B577-1</f>
        <v>0.00483890003540655</v>
      </c>
      <c r="E578" s="93"/>
      <c r="F578" s="94"/>
      <c r="G578" s="93" t="n">
        <v>43523</v>
      </c>
      <c r="H578" s="94" t="n">
        <v>261.96</v>
      </c>
      <c r="I578" s="95" t="n">
        <f aca="false">H578/H577-1</f>
        <v>-0.00182898948331056</v>
      </c>
    </row>
    <row r="579" customFormat="false" ht="18" hidden="false" customHeight="false" outlineLevel="0" collapsed="false">
      <c r="A579" s="89" t="n">
        <v>43553</v>
      </c>
      <c r="B579" s="90" t="n">
        <v>85.73</v>
      </c>
      <c r="C579" s="91" t="n">
        <f aca="false">B579/B578-1</f>
        <v>0.00692976274371637</v>
      </c>
      <c r="E579" s="93"/>
      <c r="F579" s="94"/>
      <c r="G579" s="93" t="n">
        <v>43524</v>
      </c>
      <c r="H579" s="94" t="n">
        <v>266.91</v>
      </c>
      <c r="I579" s="95" t="n">
        <f aca="false">H579/H578-1</f>
        <v>0.0188960146587267</v>
      </c>
    </row>
    <row r="580" customFormat="false" ht="18" hidden="false" customHeight="false" outlineLevel="0" collapsed="false">
      <c r="A580" s="89" t="n">
        <v>43554</v>
      </c>
      <c r="B580" s="90" t="n">
        <v>86.28</v>
      </c>
      <c r="C580" s="91" t="n">
        <f aca="false">B580/B579-1</f>
        <v>0.0064154904934095</v>
      </c>
      <c r="E580" s="93"/>
      <c r="F580" s="94"/>
      <c r="G580" s="93" t="n">
        <v>43525</v>
      </c>
      <c r="H580" s="94" t="n">
        <v>266.11</v>
      </c>
      <c r="I580" s="95" t="n">
        <f aca="false">H580/H579-1</f>
        <v>-0.00299726499569153</v>
      </c>
    </row>
    <row r="581" customFormat="false" ht="18" hidden="false" customHeight="false" outlineLevel="0" collapsed="false">
      <c r="A581" s="89" t="n">
        <v>43557</v>
      </c>
      <c r="B581" s="90" t="n">
        <v>86.24</v>
      </c>
      <c r="C581" s="91" t="n">
        <f aca="false">B581/B580-1</f>
        <v>-0.000463606861381583</v>
      </c>
      <c r="E581" s="93"/>
      <c r="F581" s="94"/>
      <c r="G581" s="93" t="n">
        <v>43526</v>
      </c>
      <c r="H581" s="94" t="n">
        <v>268.01</v>
      </c>
      <c r="I581" s="95" t="n">
        <f aca="false">H581/H580-1</f>
        <v>0.00713990455074964</v>
      </c>
    </row>
    <row r="582" customFormat="false" ht="18" hidden="false" customHeight="false" outlineLevel="0" collapsed="false">
      <c r="A582" s="89" t="n">
        <v>43558</v>
      </c>
      <c r="B582" s="90" t="n">
        <v>86.36</v>
      </c>
      <c r="C582" s="91" t="n">
        <f aca="false">B582/B581-1</f>
        <v>0.00139146567718007</v>
      </c>
      <c r="E582" s="93"/>
      <c r="F582" s="94"/>
      <c r="G582" s="93" t="n">
        <v>43529</v>
      </c>
      <c r="H582" s="94" t="n">
        <v>269.11</v>
      </c>
      <c r="I582" s="95" t="n">
        <f aca="false">H582/H581-1</f>
        <v>0.00410432446550502</v>
      </c>
    </row>
    <row r="583" customFormat="false" ht="18" hidden="false" customHeight="false" outlineLevel="0" collapsed="false">
      <c r="A583" s="89" t="n">
        <v>43559</v>
      </c>
      <c r="B583" s="90" t="n">
        <v>86.18</v>
      </c>
      <c r="C583" s="91" t="n">
        <f aca="false">B583/B582-1</f>
        <v>-0.00208429828624357</v>
      </c>
      <c r="E583" s="93"/>
      <c r="F583" s="94"/>
      <c r="G583" s="93" t="n">
        <v>43530</v>
      </c>
      <c r="H583" s="94" t="n">
        <v>267.35</v>
      </c>
      <c r="I583" s="95" t="n">
        <f aca="false">H583/H582-1</f>
        <v>-0.00654007654862321</v>
      </c>
    </row>
    <row r="584" customFormat="false" ht="18" hidden="false" customHeight="false" outlineLevel="0" collapsed="false">
      <c r="A584" s="89" t="n">
        <v>43560</v>
      </c>
      <c r="B584" s="90" t="n">
        <v>86.09</v>
      </c>
      <c r="C584" s="91" t="n">
        <f aca="false">B584/B583-1</f>
        <v>-0.00104432582965885</v>
      </c>
      <c r="E584" s="93"/>
      <c r="F584" s="94"/>
      <c r="G584" s="93" t="n">
        <v>43531</v>
      </c>
      <c r="H584" s="94" t="n">
        <v>266.03</v>
      </c>
      <c r="I584" s="95" t="n">
        <f aca="false">H584/H583-1</f>
        <v>-0.00493734804563328</v>
      </c>
    </row>
    <row r="585" customFormat="false" ht="18" hidden="false" customHeight="false" outlineLevel="0" collapsed="false">
      <c r="A585" s="89" t="n">
        <v>43564</v>
      </c>
      <c r="B585" s="90" t="n">
        <v>85.64</v>
      </c>
      <c r="C585" s="91" t="n">
        <f aca="false">B585/B584-1</f>
        <v>-0.00522708793123483</v>
      </c>
      <c r="E585" s="93"/>
      <c r="F585" s="94"/>
      <c r="G585" s="93" t="n">
        <v>43532</v>
      </c>
      <c r="H585" s="94" t="n">
        <v>263.09</v>
      </c>
      <c r="I585" s="95" t="n">
        <f aca="false">H585/H584-1</f>
        <v>-0.0110513851821223</v>
      </c>
    </row>
    <row r="586" customFormat="false" ht="18" hidden="false" customHeight="false" outlineLevel="0" collapsed="false">
      <c r="A586" s="89" t="n">
        <v>43565</v>
      </c>
      <c r="B586" s="90" t="n">
        <v>85.73</v>
      </c>
      <c r="C586" s="91" t="n">
        <f aca="false">B586/B585-1</f>
        <v>0.00105091078935082</v>
      </c>
      <c r="E586" s="93"/>
      <c r="F586" s="94"/>
      <c r="G586" s="93" t="n">
        <v>43533</v>
      </c>
      <c r="H586" s="94" t="n">
        <v>260.03</v>
      </c>
      <c r="I586" s="95" t="n">
        <f aca="false">H586/H585-1</f>
        <v>-0.0116310007982059</v>
      </c>
    </row>
    <row r="587" customFormat="false" ht="18" hidden="false" customHeight="false" outlineLevel="0" collapsed="false">
      <c r="A587" s="89" t="n">
        <v>43566</v>
      </c>
      <c r="B587" s="90" t="n">
        <v>85.98</v>
      </c>
      <c r="C587" s="91" t="n">
        <f aca="false">B587/B586-1</f>
        <v>0.00291613204245889</v>
      </c>
      <c r="E587" s="93"/>
      <c r="F587" s="94"/>
      <c r="G587" s="93" t="n">
        <v>43536</v>
      </c>
      <c r="H587" s="94" t="n">
        <v>260.31</v>
      </c>
      <c r="I587" s="95" t="n">
        <f aca="false">H587/H586-1</f>
        <v>0.00107679883090417</v>
      </c>
    </row>
    <row r="588" customFormat="false" ht="18" hidden="false" customHeight="false" outlineLevel="0" collapsed="false">
      <c r="A588" s="89" t="n">
        <v>43567</v>
      </c>
      <c r="B588" s="90" t="n">
        <v>86.07</v>
      </c>
      <c r="C588" s="91" t="n">
        <f aca="false">B588/B587-1</f>
        <v>0.00104675505931606</v>
      </c>
      <c r="E588" s="93"/>
      <c r="F588" s="94"/>
      <c r="G588" s="93" t="n">
        <v>43537</v>
      </c>
      <c r="H588" s="94" t="n">
        <v>257.08</v>
      </c>
      <c r="I588" s="95" t="n">
        <f aca="false">H588/H587-1</f>
        <v>-0.0124082824324844</v>
      </c>
    </row>
    <row r="589" customFormat="false" ht="18" hidden="false" customHeight="false" outlineLevel="0" collapsed="false">
      <c r="A589" s="89" t="n">
        <v>43568</v>
      </c>
      <c r="B589" s="90" t="n">
        <v>85.89</v>
      </c>
      <c r="C589" s="91" t="n">
        <f aca="false">B589/B588-1</f>
        <v>-0.00209132101777609</v>
      </c>
      <c r="E589" s="93"/>
      <c r="F589" s="94"/>
      <c r="G589" s="93" t="n">
        <v>43538</v>
      </c>
      <c r="H589" s="94" t="n">
        <v>256.34</v>
      </c>
      <c r="I589" s="95" t="n">
        <f aca="false">H589/H588-1</f>
        <v>-0.0028784814065661</v>
      </c>
    </row>
    <row r="590" customFormat="false" ht="18" hidden="false" customHeight="false" outlineLevel="0" collapsed="false">
      <c r="A590" s="89" t="n">
        <v>43571</v>
      </c>
      <c r="B590" s="90" t="n">
        <v>85.34</v>
      </c>
      <c r="C590" s="91" t="n">
        <f aca="false">B590/B589-1</f>
        <v>-0.00640353941087435</v>
      </c>
      <c r="E590" s="93"/>
      <c r="F590" s="94"/>
      <c r="G590" s="93" t="n">
        <v>43539</v>
      </c>
      <c r="H590" s="94" t="n">
        <v>255.29</v>
      </c>
      <c r="I590" s="95" t="n">
        <f aca="false">H590/H589-1</f>
        <v>-0.00409612233752044</v>
      </c>
    </row>
    <row r="591" customFormat="false" ht="18" hidden="false" customHeight="false" outlineLevel="0" collapsed="false">
      <c r="A591" s="89" t="n">
        <v>43572</v>
      </c>
      <c r="B591" s="90" t="n">
        <v>85.32</v>
      </c>
      <c r="C591" s="91" t="n">
        <f aca="false">B591/B590-1</f>
        <v>-0.000234356690883675</v>
      </c>
      <c r="E591" s="93"/>
      <c r="F591" s="94"/>
      <c r="G591" s="93" t="n">
        <v>43540</v>
      </c>
      <c r="H591" s="94" t="n">
        <v>257.3</v>
      </c>
      <c r="I591" s="95" t="n">
        <f aca="false">H591/H590-1</f>
        <v>0.00787339887970551</v>
      </c>
    </row>
    <row r="592" customFormat="false" ht="18" hidden="false" customHeight="false" outlineLevel="0" collapsed="false">
      <c r="A592" s="89" t="n">
        <v>43573</v>
      </c>
      <c r="B592" s="90" t="n">
        <v>84.91</v>
      </c>
      <c r="C592" s="91" t="n">
        <f aca="false">B592/B591-1</f>
        <v>-0.00480543834974212</v>
      </c>
      <c r="E592" s="93"/>
      <c r="F592" s="94"/>
      <c r="G592" s="93" t="n">
        <v>43543</v>
      </c>
      <c r="H592" s="94" t="n">
        <v>255.27</v>
      </c>
      <c r="I592" s="95" t="n">
        <f aca="false">H592/H591-1</f>
        <v>-0.00788962300816165</v>
      </c>
    </row>
    <row r="593" customFormat="false" ht="18" hidden="false" customHeight="false" outlineLevel="0" collapsed="false">
      <c r="A593" s="89" t="n">
        <v>43574</v>
      </c>
      <c r="B593" s="90" t="n">
        <v>84.81</v>
      </c>
      <c r="C593" s="91" t="n">
        <f aca="false">B593/B592-1</f>
        <v>-0.00117771758332341</v>
      </c>
      <c r="E593" s="93"/>
      <c r="F593" s="94"/>
      <c r="G593" s="93" t="n">
        <v>43544</v>
      </c>
      <c r="H593" s="94" t="n">
        <v>257.87</v>
      </c>
      <c r="I593" s="95" t="n">
        <f aca="false">H593/H592-1</f>
        <v>0.0101852940024287</v>
      </c>
    </row>
    <row r="594" customFormat="false" ht="18" hidden="false" customHeight="false" outlineLevel="0" collapsed="false">
      <c r="A594" s="89" t="n">
        <v>43575</v>
      </c>
      <c r="B594" s="90" t="n">
        <v>84.82</v>
      </c>
      <c r="C594" s="91" t="n">
        <f aca="false">B594/B593-1</f>
        <v>0.000117910623746997</v>
      </c>
      <c r="E594" s="93"/>
      <c r="F594" s="94"/>
      <c r="G594" s="93" t="n">
        <v>43545</v>
      </c>
      <c r="H594" s="94" t="n">
        <v>259.75</v>
      </c>
      <c r="I594" s="95" t="n">
        <f aca="false">H594/H593-1</f>
        <v>0.00729049521076508</v>
      </c>
    </row>
    <row r="595" customFormat="false" ht="18" hidden="false" customHeight="false" outlineLevel="0" collapsed="false">
      <c r="A595" s="89" t="n">
        <v>43578</v>
      </c>
      <c r="B595" s="90" t="n">
        <v>85.05</v>
      </c>
      <c r="C595" s="91" t="n">
        <f aca="false">B595/B594-1</f>
        <v>0.00271162461683572</v>
      </c>
      <c r="E595" s="93"/>
      <c r="F595" s="94"/>
      <c r="G595" s="93" t="n">
        <v>43546</v>
      </c>
      <c r="H595" s="94" t="n">
        <v>263.1</v>
      </c>
      <c r="I595" s="95" t="n">
        <f aca="false">H595/H594-1</f>
        <v>0.0128970163618864</v>
      </c>
    </row>
    <row r="596" customFormat="false" ht="18" hidden="false" customHeight="false" outlineLevel="0" collapsed="false">
      <c r="A596" s="89" t="n">
        <v>43579</v>
      </c>
      <c r="B596" s="90" t="n">
        <v>85.57</v>
      </c>
      <c r="C596" s="91" t="n">
        <f aca="false">B596/B595-1</f>
        <v>0.0061140505584949</v>
      </c>
      <c r="E596" s="93"/>
      <c r="F596" s="94"/>
      <c r="G596" s="93" t="n">
        <v>43547</v>
      </c>
      <c r="H596" s="94" t="n">
        <v>262.02</v>
      </c>
      <c r="I596" s="95" t="n">
        <f aca="false">H596/H595-1</f>
        <v>-0.0041049030786775</v>
      </c>
    </row>
    <row r="597" customFormat="false" ht="18" hidden="false" customHeight="false" outlineLevel="0" collapsed="false">
      <c r="A597" s="89" t="n">
        <v>43580</v>
      </c>
      <c r="B597" s="90" t="n">
        <v>85.34</v>
      </c>
      <c r="C597" s="91" t="n">
        <f aca="false">B597/B596-1</f>
        <v>-0.00268785789412163</v>
      </c>
      <c r="E597" s="93"/>
      <c r="F597" s="94"/>
      <c r="G597" s="93" t="n">
        <v>43550</v>
      </c>
      <c r="H597" s="94" t="n">
        <v>260.29</v>
      </c>
      <c r="I597" s="95" t="n">
        <f aca="false">H597/H596-1</f>
        <v>-0.00660254942370797</v>
      </c>
    </row>
    <row r="598" customFormat="false" ht="18" hidden="false" customHeight="false" outlineLevel="0" collapsed="false">
      <c r="A598" s="89" t="n">
        <v>43581</v>
      </c>
      <c r="B598" s="90" t="n">
        <v>85.36</v>
      </c>
      <c r="C598" s="91" t="n">
        <f aca="false">B598/B597-1</f>
        <v>0.000234356690883564</v>
      </c>
      <c r="E598" s="93"/>
      <c r="F598" s="94"/>
      <c r="G598" s="93" t="n">
        <v>43551</v>
      </c>
      <c r="H598" s="94" t="n">
        <v>261.61</v>
      </c>
      <c r="I598" s="95" t="n">
        <f aca="false">H598/H597-1</f>
        <v>0.00507126666410529</v>
      </c>
    </row>
    <row r="599" customFormat="false" ht="18" hidden="false" customHeight="false" outlineLevel="0" collapsed="false">
      <c r="A599" s="89" t="n">
        <v>43582</v>
      </c>
      <c r="B599" s="90" t="n">
        <v>86.15</v>
      </c>
      <c r="C599" s="91" t="n">
        <f aca="false">B599/B598-1</f>
        <v>0.00925492033739461</v>
      </c>
      <c r="E599" s="93"/>
      <c r="F599" s="94"/>
      <c r="G599" s="93" t="n">
        <v>43552</v>
      </c>
      <c r="H599" s="94" t="n">
        <v>264.2</v>
      </c>
      <c r="I599" s="95" t="n">
        <f aca="false">H599/H598-1</f>
        <v>0.00990023317151478</v>
      </c>
    </row>
    <row r="600" customFormat="false" ht="18" hidden="false" customHeight="false" outlineLevel="0" collapsed="false">
      <c r="A600" s="89" t="n">
        <v>43585</v>
      </c>
      <c r="B600" s="90" t="n">
        <v>84.95</v>
      </c>
      <c r="C600" s="91" t="n">
        <f aca="false">B600/B599-1</f>
        <v>-0.0139291932675566</v>
      </c>
      <c r="E600" s="93"/>
      <c r="F600" s="94"/>
      <c r="G600" s="93" t="n">
        <v>43553</v>
      </c>
      <c r="H600" s="94" t="n">
        <v>265.65</v>
      </c>
      <c r="I600" s="95" t="n">
        <f aca="false">H600/H599-1</f>
        <v>0.00548826646479927</v>
      </c>
    </row>
    <row r="601" customFormat="false" ht="18" hidden="false" customHeight="false" outlineLevel="0" collapsed="false">
      <c r="A601" s="89" t="n">
        <v>43586</v>
      </c>
      <c r="B601" s="90" t="n">
        <v>85.31</v>
      </c>
      <c r="C601" s="91" t="n">
        <f aca="false">B601/B600-1</f>
        <v>0.0042377869334902</v>
      </c>
      <c r="E601" s="93"/>
      <c r="F601" s="94"/>
      <c r="G601" s="93" t="n">
        <v>43554</v>
      </c>
      <c r="H601" s="94" t="n">
        <v>266.8</v>
      </c>
      <c r="I601" s="95" t="n">
        <f aca="false">H601/H600-1</f>
        <v>0.00432900432900452</v>
      </c>
    </row>
    <row r="602" customFormat="false" ht="18" hidden="false" customHeight="false" outlineLevel="0" collapsed="false">
      <c r="A602" s="89" t="n">
        <v>43587</v>
      </c>
      <c r="B602" s="90" t="n">
        <v>85.58</v>
      </c>
      <c r="C602" s="91" t="n">
        <f aca="false">B602/B601-1</f>
        <v>0.00316492790997525</v>
      </c>
      <c r="E602" s="93"/>
      <c r="F602" s="94"/>
      <c r="G602" s="93" t="n">
        <v>43557</v>
      </c>
      <c r="H602" s="94" t="n">
        <v>267.08</v>
      </c>
      <c r="I602" s="95" t="n">
        <f aca="false">H602/H601-1</f>
        <v>0.00104947526236865</v>
      </c>
    </row>
    <row r="603" customFormat="false" ht="18" hidden="false" customHeight="false" outlineLevel="0" collapsed="false">
      <c r="A603" s="89" t="n">
        <v>43588</v>
      </c>
      <c r="B603" s="90" t="n">
        <v>85.15</v>
      </c>
      <c r="C603" s="91" t="n">
        <f aca="false">B603/B602-1</f>
        <v>-0.00502453844356154</v>
      </c>
      <c r="E603" s="93"/>
      <c r="F603" s="94"/>
      <c r="G603" s="93" t="n">
        <v>43558</v>
      </c>
      <c r="H603" s="94" t="n">
        <v>266.65</v>
      </c>
      <c r="I603" s="95" t="n">
        <f aca="false">H603/H602-1</f>
        <v>-0.00161000449303583</v>
      </c>
    </row>
    <row r="604" customFormat="false" ht="18" hidden="false" customHeight="false" outlineLevel="0" collapsed="false">
      <c r="A604" s="89" t="n">
        <v>43589</v>
      </c>
      <c r="B604" s="90" t="n">
        <v>85.39</v>
      </c>
      <c r="C604" s="91" t="n">
        <f aca="false">B604/B603-1</f>
        <v>0.00281855549031107</v>
      </c>
      <c r="E604" s="93"/>
      <c r="F604" s="94"/>
      <c r="G604" s="93" t="n">
        <v>43559</v>
      </c>
      <c r="H604" s="94" t="n">
        <v>266.48</v>
      </c>
      <c r="I604" s="95" t="n">
        <f aca="false">H604/H603-1</f>
        <v>-0.000637539846240265</v>
      </c>
    </row>
    <row r="605" customFormat="false" ht="18" hidden="false" customHeight="false" outlineLevel="0" collapsed="false">
      <c r="A605" s="89" t="n">
        <v>43592</v>
      </c>
      <c r="B605" s="90" t="n">
        <v>85.05</v>
      </c>
      <c r="C605" s="91" t="n">
        <f aca="false">B605/B604-1</f>
        <v>-0.00398173088183629</v>
      </c>
      <c r="E605" s="93"/>
      <c r="F605" s="94"/>
      <c r="G605" s="93" t="n">
        <v>43560</v>
      </c>
      <c r="H605" s="94" t="n">
        <v>266.43</v>
      </c>
      <c r="I605" s="95" t="n">
        <f aca="false">H605/H604-1</f>
        <v>-0.000187631341939443</v>
      </c>
    </row>
    <row r="606" customFormat="false" ht="18" hidden="false" customHeight="false" outlineLevel="0" collapsed="false">
      <c r="A606" s="89" t="n">
        <v>43593</v>
      </c>
      <c r="B606" s="90" t="n">
        <v>85.01</v>
      </c>
      <c r="C606" s="91" t="n">
        <f aca="false">B606/B605-1</f>
        <v>-0.000470311581422633</v>
      </c>
      <c r="E606" s="93"/>
      <c r="F606" s="94"/>
      <c r="G606" s="93" t="n">
        <v>43561</v>
      </c>
      <c r="H606" s="94" t="n">
        <v>266.53</v>
      </c>
      <c r="I606" s="95" t="n">
        <f aca="false">H606/H605-1</f>
        <v>0.000375333108133313</v>
      </c>
    </row>
    <row r="607" customFormat="false" ht="18" hidden="false" customHeight="false" outlineLevel="0" collapsed="false">
      <c r="A607" s="89" t="n">
        <v>43594</v>
      </c>
      <c r="B607" s="90" t="n">
        <v>85.48</v>
      </c>
      <c r="C607" s="91" t="n">
        <f aca="false">B607/B606-1</f>
        <v>0.00552876132219748</v>
      </c>
      <c r="E607" s="93"/>
      <c r="F607" s="94"/>
      <c r="G607" s="93" t="n">
        <v>43564</v>
      </c>
      <c r="H607" s="94" t="n">
        <v>266.7</v>
      </c>
      <c r="I607" s="95" t="n">
        <f aca="false">H607/H606-1</f>
        <v>0.000637826886279225</v>
      </c>
    </row>
    <row r="608" customFormat="false" ht="18" hidden="false" customHeight="false" outlineLevel="0" collapsed="false">
      <c r="A608" s="89" t="n">
        <v>43595</v>
      </c>
      <c r="B608" s="90" t="n">
        <v>85.75</v>
      </c>
      <c r="C608" s="91" t="n">
        <f aca="false">B608/B607-1</f>
        <v>0.00315863359850255</v>
      </c>
      <c r="E608" s="93"/>
      <c r="F608" s="94"/>
      <c r="G608" s="93" t="n">
        <v>43565</v>
      </c>
      <c r="H608" s="94" t="n">
        <v>268.79</v>
      </c>
      <c r="I608" s="95" t="n">
        <f aca="false">H608/H607-1</f>
        <v>0.00783652043494576</v>
      </c>
    </row>
    <row r="609" customFormat="false" ht="18" hidden="false" customHeight="false" outlineLevel="0" collapsed="false">
      <c r="A609" s="89" t="n">
        <v>43596</v>
      </c>
      <c r="B609" s="90" t="n">
        <v>85.21</v>
      </c>
      <c r="C609" s="91" t="n">
        <f aca="false">B609/B608-1</f>
        <v>-0.0062973760932945</v>
      </c>
      <c r="E609" s="93"/>
      <c r="F609" s="94"/>
      <c r="G609" s="93" t="n">
        <v>43566</v>
      </c>
      <c r="H609" s="94" t="n">
        <v>268.49</v>
      </c>
      <c r="I609" s="95" t="n">
        <f aca="false">H609/H608-1</f>
        <v>-0.00111611295063063</v>
      </c>
    </row>
    <row r="610" customFormat="false" ht="18" hidden="false" customHeight="false" outlineLevel="0" collapsed="false">
      <c r="A610" s="89" t="n">
        <v>43599</v>
      </c>
      <c r="B610" s="90" t="n">
        <v>84.84</v>
      </c>
      <c r="C610" s="91" t="n">
        <f aca="false">B610/B609-1</f>
        <v>-0.00434221335523988</v>
      </c>
      <c r="E610" s="93"/>
      <c r="F610" s="94"/>
      <c r="G610" s="93" t="n">
        <v>43567</v>
      </c>
      <c r="H610" s="94" t="n">
        <v>269.14</v>
      </c>
      <c r="I610" s="95" t="n">
        <f aca="false">H610/H609-1</f>
        <v>0.00242094677641624</v>
      </c>
    </row>
    <row r="611" customFormat="false" ht="18" hidden="false" customHeight="false" outlineLevel="0" collapsed="false">
      <c r="A611" s="89" t="n">
        <v>43600</v>
      </c>
      <c r="B611" s="90" t="n">
        <v>84.51</v>
      </c>
      <c r="C611" s="91" t="n">
        <f aca="false">B611/B610-1</f>
        <v>-0.00388967468175383</v>
      </c>
      <c r="E611" s="93"/>
      <c r="F611" s="94"/>
      <c r="G611" s="93" t="n">
        <v>43568</v>
      </c>
      <c r="H611" s="94" t="n">
        <v>269.76</v>
      </c>
      <c r="I611" s="95" t="n">
        <f aca="false">H611/H610-1</f>
        <v>0.0023036337965372</v>
      </c>
    </row>
    <row r="612" customFormat="false" ht="18" hidden="false" customHeight="false" outlineLevel="0" collapsed="false">
      <c r="A612" s="89" t="n">
        <v>43601</v>
      </c>
      <c r="B612" s="90" t="n">
        <v>84.52</v>
      </c>
      <c r="C612" s="91" t="n">
        <f aca="false">B612/B611-1</f>
        <v>0.000118329191811428</v>
      </c>
      <c r="E612" s="93"/>
      <c r="F612" s="94"/>
      <c r="G612" s="93" t="n">
        <v>43571</v>
      </c>
      <c r="H612" s="94" t="n">
        <v>270.72</v>
      </c>
      <c r="I612" s="95" t="n">
        <f aca="false">H612/H611-1</f>
        <v>0.00355871886121006</v>
      </c>
    </row>
    <row r="613" customFormat="false" ht="18" hidden="false" customHeight="false" outlineLevel="0" collapsed="false">
      <c r="A613" s="89" t="n">
        <v>43602</v>
      </c>
      <c r="B613" s="90" t="n">
        <v>84.18</v>
      </c>
      <c r="C613" s="91" t="n">
        <f aca="false">B613/B612-1</f>
        <v>-0.00402271651680064</v>
      </c>
      <c r="E613" s="93"/>
      <c r="F613" s="94"/>
      <c r="G613" s="93" t="n">
        <v>43572</v>
      </c>
      <c r="H613" s="94" t="n">
        <v>270.08</v>
      </c>
      <c r="I613" s="95" t="n">
        <f aca="false">H613/H612-1</f>
        <v>-0.00236406619385354</v>
      </c>
    </row>
    <row r="614" customFormat="false" ht="18" hidden="false" customHeight="false" outlineLevel="0" collapsed="false">
      <c r="A614" s="89" t="n">
        <v>43603</v>
      </c>
      <c r="B614" s="90" t="n">
        <v>84.17</v>
      </c>
      <c r="C614" s="91" t="n">
        <f aca="false">B614/B613-1</f>
        <v>-0.00011879306248519</v>
      </c>
      <c r="E614" s="93"/>
      <c r="F614" s="94"/>
      <c r="G614" s="93" t="n">
        <v>43573</v>
      </c>
      <c r="H614" s="94" t="n">
        <v>267.46</v>
      </c>
      <c r="I614" s="95" t="n">
        <f aca="false">H614/H613-1</f>
        <v>-0.00970082938388628</v>
      </c>
    </row>
    <row r="615" customFormat="false" ht="18" hidden="false" customHeight="false" outlineLevel="0" collapsed="false">
      <c r="A615" s="89" t="n">
        <v>43606</v>
      </c>
      <c r="B615" s="90" t="n">
        <v>84.16</v>
      </c>
      <c r="C615" s="91" t="n">
        <f aca="false">B615/B614-1</f>
        <v>-0.000118807175953473</v>
      </c>
      <c r="E615" s="93"/>
      <c r="F615" s="94"/>
      <c r="G615" s="93" t="n">
        <v>43574</v>
      </c>
      <c r="H615" s="94" t="n">
        <v>267.21</v>
      </c>
      <c r="I615" s="95" t="n">
        <f aca="false">H615/H614-1</f>
        <v>-0.000934719210349266</v>
      </c>
    </row>
    <row r="616" customFormat="false" ht="18" hidden="false" customHeight="false" outlineLevel="0" collapsed="false">
      <c r="A616" s="89" t="n">
        <v>43607</v>
      </c>
      <c r="B616" s="90" t="n">
        <v>84.26</v>
      </c>
      <c r="C616" s="91" t="n">
        <f aca="false">B616/B615-1</f>
        <v>0.00118821292775673</v>
      </c>
      <c r="E616" s="93"/>
      <c r="F616" s="94"/>
      <c r="G616" s="93" t="n">
        <v>43575</v>
      </c>
      <c r="H616" s="94" t="n">
        <v>264.67</v>
      </c>
      <c r="I616" s="95" t="n">
        <f aca="false">H616/H615-1</f>
        <v>-0.00950563227424106</v>
      </c>
    </row>
    <row r="617" customFormat="false" ht="18" hidden="false" customHeight="false" outlineLevel="0" collapsed="false">
      <c r="A617" s="89" t="n">
        <v>43608</v>
      </c>
      <c r="B617" s="90" t="n">
        <v>84.12</v>
      </c>
      <c r="C617" s="91" t="n">
        <f aca="false">B617/B616-1</f>
        <v>-0.00166152385473539</v>
      </c>
      <c r="E617" s="93"/>
      <c r="F617" s="94"/>
      <c r="G617" s="93" t="n">
        <v>43578</v>
      </c>
      <c r="H617" s="94" t="n">
        <v>264.33</v>
      </c>
      <c r="I617" s="95" t="n">
        <f aca="false">H617/H616-1</f>
        <v>-0.00128461858163009</v>
      </c>
    </row>
    <row r="618" customFormat="false" ht="18" hidden="false" customHeight="false" outlineLevel="0" collapsed="false">
      <c r="A618" s="89" t="n">
        <v>43609</v>
      </c>
      <c r="B618" s="90" t="n">
        <v>83.9</v>
      </c>
      <c r="C618" s="91" t="n">
        <f aca="false">B618/B617-1</f>
        <v>-0.0026153114598193</v>
      </c>
      <c r="E618" s="93"/>
      <c r="F618" s="94"/>
      <c r="G618" s="93" t="n">
        <v>43579</v>
      </c>
      <c r="H618" s="94" t="n">
        <v>261.2</v>
      </c>
      <c r="I618" s="95" t="n">
        <f aca="false">H618/H617-1</f>
        <v>-0.0118412590322703</v>
      </c>
    </row>
    <row r="619" customFormat="false" ht="18" hidden="false" customHeight="false" outlineLevel="0" collapsed="false">
      <c r="A619" s="89" t="n">
        <v>43610</v>
      </c>
      <c r="B619" s="90" t="n">
        <v>84.25</v>
      </c>
      <c r="C619" s="91" t="n">
        <f aca="false">B619/B618-1</f>
        <v>0.00417163289630507</v>
      </c>
      <c r="E619" s="93"/>
      <c r="F619" s="94"/>
      <c r="G619" s="93" t="n">
        <v>43580</v>
      </c>
      <c r="H619" s="94" t="n">
        <v>262.14</v>
      </c>
      <c r="I619" s="95" t="n">
        <f aca="false">H619/H618-1</f>
        <v>0.00359877488514537</v>
      </c>
    </row>
    <row r="620" customFormat="false" ht="18" hidden="false" customHeight="false" outlineLevel="0" collapsed="false">
      <c r="A620" s="89" t="n">
        <v>43614</v>
      </c>
      <c r="B620" s="90" t="n">
        <v>84.89</v>
      </c>
      <c r="C620" s="91" t="n">
        <f aca="false">B620/B619-1</f>
        <v>0.00759643916913944</v>
      </c>
      <c r="E620" s="93"/>
      <c r="F620" s="94"/>
      <c r="G620" s="93" t="n">
        <v>43581</v>
      </c>
      <c r="H620" s="94" t="n">
        <v>263.25</v>
      </c>
      <c r="I620" s="95" t="n">
        <f aca="false">H620/H619-1</f>
        <v>0.00423437857633324</v>
      </c>
    </row>
    <row r="621" customFormat="false" ht="18" hidden="false" customHeight="false" outlineLevel="0" collapsed="false">
      <c r="A621" s="89" t="n">
        <v>43615</v>
      </c>
      <c r="B621" s="90" t="n">
        <v>84.78</v>
      </c>
      <c r="C621" s="91" t="n">
        <f aca="false">B621/B620-1</f>
        <v>-0.00129579455766282</v>
      </c>
      <c r="E621" s="93"/>
      <c r="F621" s="94"/>
      <c r="G621" s="93" t="n">
        <v>43582</v>
      </c>
      <c r="H621" s="94" t="n">
        <v>264.77</v>
      </c>
      <c r="I621" s="95" t="n">
        <f aca="false">H621/H620-1</f>
        <v>0.00577397910731237</v>
      </c>
    </row>
    <row r="622" customFormat="false" ht="18" hidden="false" customHeight="false" outlineLevel="0" collapsed="false">
      <c r="A622" s="89" t="n">
        <v>43616</v>
      </c>
      <c r="B622" s="90" t="n">
        <v>84.99</v>
      </c>
      <c r="C622" s="91" t="n">
        <f aca="false">B622/B621-1</f>
        <v>0.00247699929228595</v>
      </c>
      <c r="E622" s="93"/>
      <c r="F622" s="94"/>
      <c r="G622" s="93" t="n">
        <v>43585</v>
      </c>
      <c r="H622" s="94" t="n">
        <v>264.69</v>
      </c>
      <c r="I622" s="95" t="n">
        <f aca="false">H622/H621-1</f>
        <v>-0.000302149035011467</v>
      </c>
    </row>
    <row r="623" customFormat="false" ht="18" hidden="false" customHeight="false" outlineLevel="0" collapsed="false">
      <c r="A623" s="89" t="n">
        <v>43617</v>
      </c>
      <c r="B623" s="90" t="n">
        <v>84.86</v>
      </c>
      <c r="C623" s="91" t="n">
        <f aca="false">B623/B622-1</f>
        <v>-0.00152959171667255</v>
      </c>
      <c r="E623" s="93"/>
      <c r="F623" s="94"/>
      <c r="G623" s="93" t="n">
        <v>43586</v>
      </c>
      <c r="H623" s="94" t="n">
        <v>263.9</v>
      </c>
      <c r="I623" s="95" t="n">
        <f aca="false">H623/H622-1</f>
        <v>-0.0029846235218558</v>
      </c>
    </row>
    <row r="624" customFormat="false" ht="18" hidden="false" customHeight="false" outlineLevel="0" collapsed="false">
      <c r="A624" s="89" t="n">
        <v>43620</v>
      </c>
      <c r="B624" s="90" t="n">
        <v>85.14</v>
      </c>
      <c r="C624" s="91" t="n">
        <f aca="false">B624/B623-1</f>
        <v>0.00329955220362943</v>
      </c>
      <c r="E624" s="93"/>
      <c r="F624" s="94"/>
      <c r="G624" s="93" t="n">
        <v>43587</v>
      </c>
      <c r="H624" s="94" t="n">
        <v>263.07</v>
      </c>
      <c r="I624" s="95" t="n">
        <f aca="false">H624/H623-1</f>
        <v>-0.0031451307313376</v>
      </c>
    </row>
    <row r="625" customFormat="false" ht="18" hidden="false" customHeight="false" outlineLevel="0" collapsed="false">
      <c r="A625" s="89" t="n">
        <v>43621</v>
      </c>
      <c r="B625" s="90" t="n">
        <v>85.29</v>
      </c>
      <c r="C625" s="91" t="n">
        <f aca="false">B625/B624-1</f>
        <v>0.00176180408738547</v>
      </c>
      <c r="E625" s="93"/>
      <c r="F625" s="94"/>
      <c r="G625" s="93" t="n">
        <v>43588</v>
      </c>
      <c r="H625" s="94" t="n">
        <v>264.75</v>
      </c>
      <c r="I625" s="95" t="n">
        <f aca="false">H625/H624-1</f>
        <v>0.0063861329684114</v>
      </c>
    </row>
    <row r="626" customFormat="false" ht="18" hidden="false" customHeight="false" outlineLevel="0" collapsed="false">
      <c r="A626" s="89" t="n">
        <v>43622</v>
      </c>
      <c r="B626" s="90" t="n">
        <v>84.79</v>
      </c>
      <c r="C626" s="91" t="n">
        <f aca="false">B626/B625-1</f>
        <v>-0.00586235197561258</v>
      </c>
      <c r="E626" s="93"/>
      <c r="F626" s="94"/>
      <c r="G626" s="93" t="n">
        <v>43589</v>
      </c>
      <c r="H626" s="94" t="n">
        <v>265.84</v>
      </c>
      <c r="I626" s="95" t="n">
        <f aca="false">H626/H625-1</f>
        <v>0.00411709159584506</v>
      </c>
    </row>
    <row r="627" customFormat="false" ht="18" hidden="false" customHeight="false" outlineLevel="0" collapsed="false">
      <c r="A627" s="89" t="n">
        <v>43623</v>
      </c>
      <c r="B627" s="90" t="n">
        <v>85.27</v>
      </c>
      <c r="C627" s="91" t="n">
        <f aca="false">B627/B626-1</f>
        <v>0.005661044934544</v>
      </c>
      <c r="E627" s="93"/>
      <c r="F627" s="94"/>
      <c r="G627" s="93" t="n">
        <v>43592</v>
      </c>
      <c r="H627" s="94" t="n">
        <v>267.91</v>
      </c>
      <c r="I627" s="95" t="n">
        <f aca="false">H627/H626-1</f>
        <v>0.00778663857959705</v>
      </c>
    </row>
    <row r="628" customFormat="false" ht="18" hidden="false" customHeight="false" outlineLevel="0" collapsed="false">
      <c r="A628" s="89" t="n">
        <v>43624</v>
      </c>
      <c r="B628" s="90" t="n">
        <v>85.17</v>
      </c>
      <c r="C628" s="91" t="n">
        <f aca="false">B628/B627-1</f>
        <v>-0.00117274539697421</v>
      </c>
      <c r="E628" s="93"/>
      <c r="F628" s="94"/>
      <c r="G628" s="93" t="n">
        <v>43593</v>
      </c>
      <c r="H628" s="94" t="n">
        <v>265.78</v>
      </c>
      <c r="I628" s="95" t="n">
        <f aca="false">H628/H627-1</f>
        <v>-0.00795043111492688</v>
      </c>
    </row>
    <row r="629" customFormat="false" ht="18" hidden="false" customHeight="false" outlineLevel="0" collapsed="false">
      <c r="A629" s="89" t="n">
        <v>43627</v>
      </c>
      <c r="B629" s="90" t="n">
        <v>85.64</v>
      </c>
      <c r="C629" s="91" t="n">
        <f aca="false">B629/B628-1</f>
        <v>0.00551837501467656</v>
      </c>
      <c r="E629" s="93"/>
      <c r="F629" s="94"/>
      <c r="G629" s="93" t="n">
        <v>43594</v>
      </c>
      <c r="H629" s="94" t="n">
        <v>265.53</v>
      </c>
      <c r="I629" s="95" t="n">
        <f aca="false">H629/H628-1</f>
        <v>-0.000940627586725862</v>
      </c>
    </row>
    <row r="630" customFormat="false" ht="18" hidden="false" customHeight="false" outlineLevel="0" collapsed="false">
      <c r="A630" s="89" t="n">
        <v>43628</v>
      </c>
      <c r="B630" s="90" t="n">
        <v>85.51</v>
      </c>
      <c r="C630" s="91" t="n">
        <f aca="false">B630/B629-1</f>
        <v>-0.00151798225128441</v>
      </c>
      <c r="E630" s="93"/>
      <c r="F630" s="94"/>
      <c r="G630" s="93" t="n">
        <v>43595</v>
      </c>
      <c r="H630" s="94" t="n">
        <v>265.05</v>
      </c>
      <c r="I630" s="95" t="n">
        <f aca="false">H630/H629-1</f>
        <v>-0.00180770534402874</v>
      </c>
    </row>
    <row r="631" customFormat="false" ht="18" hidden="false" customHeight="false" outlineLevel="0" collapsed="false">
      <c r="A631" s="89" t="n">
        <v>43629</v>
      </c>
      <c r="B631" s="90" t="n">
        <v>85.69</v>
      </c>
      <c r="C631" s="91" t="n">
        <f aca="false">B631/B630-1</f>
        <v>0.00210501695708087</v>
      </c>
      <c r="E631" s="93"/>
      <c r="F631" s="94"/>
      <c r="G631" s="93" t="n">
        <v>43596</v>
      </c>
      <c r="H631" s="94" t="n">
        <v>264.03</v>
      </c>
      <c r="I631" s="95" t="n">
        <f aca="false">H631/H630-1</f>
        <v>-0.00384833050367872</v>
      </c>
    </row>
    <row r="632" customFormat="false" ht="18" hidden="false" customHeight="false" outlineLevel="0" collapsed="false">
      <c r="A632" s="89" t="n">
        <v>43630</v>
      </c>
      <c r="B632" s="90" t="n">
        <v>86.13</v>
      </c>
      <c r="C632" s="91" t="n">
        <f aca="false">B632/B631-1</f>
        <v>0.00513478818998703</v>
      </c>
      <c r="E632" s="93"/>
      <c r="F632" s="94"/>
      <c r="G632" s="93" t="n">
        <v>43599</v>
      </c>
      <c r="H632" s="94" t="n">
        <v>265.19</v>
      </c>
      <c r="I632" s="95" t="n">
        <f aca="false">H632/H631-1</f>
        <v>0.00439344013937815</v>
      </c>
    </row>
    <row r="633" customFormat="false" ht="18" hidden="false" customHeight="false" outlineLevel="0" collapsed="false">
      <c r="A633" s="89" t="n">
        <v>43631</v>
      </c>
      <c r="B633" s="90" t="n">
        <v>85.79</v>
      </c>
      <c r="C633" s="91" t="n">
        <f aca="false">B633/B632-1</f>
        <v>-0.0039475211889004</v>
      </c>
      <c r="E633" s="93"/>
      <c r="F633" s="94"/>
      <c r="G633" s="93" t="n">
        <v>43600</v>
      </c>
      <c r="H633" s="94" t="n">
        <v>265.34</v>
      </c>
      <c r="I633" s="95" t="n">
        <f aca="false">H633/H632-1</f>
        <v>0.000565632188242349</v>
      </c>
    </row>
    <row r="634" customFormat="false" ht="18" hidden="false" customHeight="false" outlineLevel="0" collapsed="false">
      <c r="A634" s="89" t="n">
        <v>43635</v>
      </c>
      <c r="B634" s="90" t="n">
        <v>85.83</v>
      </c>
      <c r="C634" s="91" t="n">
        <f aca="false">B634/B633-1</f>
        <v>0.000466254808252575</v>
      </c>
      <c r="E634" s="93"/>
      <c r="F634" s="94"/>
      <c r="G634" s="93" t="n">
        <v>43601</v>
      </c>
      <c r="H634" s="94" t="n">
        <v>264.23</v>
      </c>
      <c r="I634" s="95" t="n">
        <f aca="false">H634/H633-1</f>
        <v>-0.00418331197708588</v>
      </c>
    </row>
    <row r="635" customFormat="false" ht="18" hidden="false" customHeight="false" outlineLevel="0" collapsed="false">
      <c r="A635" s="89" t="n">
        <v>43636</v>
      </c>
      <c r="B635" s="90" t="n">
        <v>86.28</v>
      </c>
      <c r="C635" s="91" t="n">
        <f aca="false">B635/B634-1</f>
        <v>0.00524292205522547</v>
      </c>
      <c r="E635" s="93"/>
      <c r="F635" s="94"/>
      <c r="G635" s="93" t="n">
        <v>43602</v>
      </c>
      <c r="H635" s="94" t="n">
        <v>264.45</v>
      </c>
      <c r="I635" s="95" t="n">
        <f aca="false">H635/H634-1</f>
        <v>0.000832607955190356</v>
      </c>
    </row>
    <row r="636" customFormat="false" ht="18" hidden="false" customHeight="false" outlineLevel="0" collapsed="false">
      <c r="A636" s="89" t="n">
        <v>43637</v>
      </c>
      <c r="B636" s="90" t="n">
        <v>85.95</v>
      </c>
      <c r="C636" s="91" t="n">
        <f aca="false">B636/B635-1</f>
        <v>-0.00382475660639781</v>
      </c>
      <c r="E636" s="93"/>
      <c r="F636" s="94"/>
      <c r="G636" s="93" t="n">
        <v>43603</v>
      </c>
      <c r="H636" s="94" t="n">
        <v>263.67</v>
      </c>
      <c r="I636" s="95" t="n">
        <f aca="false">H636/H635-1</f>
        <v>-0.0029495178672716</v>
      </c>
    </row>
    <row r="637" customFormat="false" ht="18" hidden="false" customHeight="false" outlineLevel="0" collapsed="false">
      <c r="A637" s="89" t="n">
        <v>43638</v>
      </c>
      <c r="B637" s="90" t="n">
        <v>86.05</v>
      </c>
      <c r="C637" s="91" t="n">
        <f aca="false">B637/B636-1</f>
        <v>0.00116346713205351</v>
      </c>
      <c r="E637" s="93"/>
      <c r="F637" s="94"/>
      <c r="G637" s="93" t="n">
        <v>43606</v>
      </c>
      <c r="H637" s="94" t="n">
        <v>264.95</v>
      </c>
      <c r="I637" s="95" t="n">
        <f aca="false">H637/H636-1</f>
        <v>0.00485455303978455</v>
      </c>
    </row>
    <row r="638" customFormat="false" ht="18" hidden="false" customHeight="false" outlineLevel="0" collapsed="false">
      <c r="A638" s="89" t="n">
        <v>43641</v>
      </c>
      <c r="B638" s="90" t="n">
        <v>86.32</v>
      </c>
      <c r="C638" s="91" t="n">
        <f aca="false">B638/B637-1</f>
        <v>0.00313771063335255</v>
      </c>
      <c r="E638" s="93"/>
      <c r="F638" s="94"/>
      <c r="G638" s="93" t="n">
        <v>43607</v>
      </c>
      <c r="H638" s="94" t="n">
        <v>263.52</v>
      </c>
      <c r="I638" s="95" t="n">
        <f aca="false">H638/H637-1</f>
        <v>-0.00539724476316283</v>
      </c>
    </row>
    <row r="639" customFormat="false" ht="18" hidden="false" customHeight="false" outlineLevel="0" collapsed="false">
      <c r="A639" s="89" t="n">
        <v>43642</v>
      </c>
      <c r="B639" s="90" t="n">
        <v>86.32</v>
      </c>
      <c r="C639" s="91" t="n">
        <f aca="false">B639/B638-1</f>
        <v>0</v>
      </c>
      <c r="E639" s="93"/>
      <c r="F639" s="94"/>
      <c r="G639" s="93" t="n">
        <v>43608</v>
      </c>
      <c r="H639" s="94" t="n">
        <v>261.59</v>
      </c>
      <c r="I639" s="95" t="n">
        <f aca="false">H639/H638-1</f>
        <v>-0.00732392228293866</v>
      </c>
    </row>
    <row r="640" customFormat="false" ht="18" hidden="false" customHeight="false" outlineLevel="0" collapsed="false">
      <c r="A640" s="89" t="n">
        <v>43643</v>
      </c>
      <c r="B640" s="90" t="n">
        <v>86.38</v>
      </c>
      <c r="C640" s="91" t="n">
        <f aca="false">B640/B639-1</f>
        <v>0.000695088044485592</v>
      </c>
      <c r="E640" s="93"/>
      <c r="F640" s="94"/>
      <c r="G640" s="93" t="n">
        <v>43609</v>
      </c>
      <c r="H640" s="94" t="n">
        <v>259.92</v>
      </c>
      <c r="I640" s="95" t="n">
        <f aca="false">H640/H639-1</f>
        <v>-0.00638403608700622</v>
      </c>
    </row>
    <row r="641" customFormat="false" ht="18" hidden="false" customHeight="false" outlineLevel="0" collapsed="false">
      <c r="A641" s="89" t="n">
        <v>43644</v>
      </c>
      <c r="B641" s="90" t="n">
        <v>85.92</v>
      </c>
      <c r="C641" s="91" t="n">
        <f aca="false">B641/B640-1</f>
        <v>-0.00532530678397769</v>
      </c>
      <c r="E641" s="93"/>
      <c r="F641" s="94"/>
      <c r="G641" s="93" t="n">
        <v>43610</v>
      </c>
      <c r="H641" s="94" t="n">
        <v>261.86</v>
      </c>
      <c r="I641" s="95" t="n">
        <f aca="false">H641/H640-1</f>
        <v>0.00746383502616199</v>
      </c>
    </row>
    <row r="642" customFormat="false" ht="18" hidden="false" customHeight="false" outlineLevel="0" collapsed="false">
      <c r="A642" s="89" t="n">
        <v>43645</v>
      </c>
      <c r="B642" s="90" t="n">
        <v>86.54</v>
      </c>
      <c r="C642" s="91" t="n">
        <f aca="false">B642/B641-1</f>
        <v>0.00721601489757928</v>
      </c>
      <c r="E642" s="93"/>
      <c r="F642" s="94"/>
      <c r="G642" s="93" t="n">
        <v>43613</v>
      </c>
      <c r="H642" s="94" t="n">
        <v>261.94</v>
      </c>
      <c r="I642" s="95" t="n">
        <f aca="false">H642/H641-1</f>
        <v>0.000305506759336938</v>
      </c>
    </row>
    <row r="643" customFormat="false" ht="18" hidden="false" customHeight="false" outlineLevel="0" collapsed="false">
      <c r="A643" s="89" t="n">
        <v>43648</v>
      </c>
      <c r="B643" s="90" t="n">
        <v>86.36</v>
      </c>
      <c r="C643" s="91" t="n">
        <f aca="false">B643/B642-1</f>
        <v>-0.00207996302287972</v>
      </c>
      <c r="E643" s="93"/>
      <c r="F643" s="94"/>
      <c r="G643" s="93" t="n">
        <v>43614</v>
      </c>
      <c r="H643" s="94" t="n">
        <v>261.22</v>
      </c>
      <c r="I643" s="95" t="n">
        <f aca="false">H643/H642-1</f>
        <v>-0.00274872108116353</v>
      </c>
    </row>
    <row r="644" customFormat="false" ht="18" hidden="false" customHeight="false" outlineLevel="0" collapsed="false">
      <c r="A644" s="89" t="n">
        <v>43650</v>
      </c>
      <c r="B644" s="90" t="n">
        <v>85.92</v>
      </c>
      <c r="C644" s="91" t="n">
        <f aca="false">B644/B643-1</f>
        <v>-0.00509495136637328</v>
      </c>
      <c r="E644" s="93"/>
      <c r="F644" s="94"/>
      <c r="G644" s="93" t="n">
        <v>43615</v>
      </c>
      <c r="H644" s="94" t="n">
        <v>258.61</v>
      </c>
      <c r="I644" s="95" t="n">
        <f aca="false">H644/H643-1</f>
        <v>-0.00999157798024664</v>
      </c>
    </row>
    <row r="645" customFormat="false" ht="18" hidden="false" customHeight="false" outlineLevel="0" collapsed="false">
      <c r="A645" s="89" t="n">
        <v>43651</v>
      </c>
      <c r="B645" s="90" t="n">
        <v>84.69</v>
      </c>
      <c r="C645" s="91" t="n">
        <f aca="false">B645/B644-1</f>
        <v>-0.0143156424581006</v>
      </c>
      <c r="E645" s="93"/>
      <c r="F645" s="94"/>
      <c r="G645" s="93" t="n">
        <v>43616</v>
      </c>
      <c r="H645" s="94" t="n">
        <v>259.74</v>
      </c>
      <c r="I645" s="95" t="n">
        <f aca="false">H645/H644-1</f>
        <v>0.00436951393990959</v>
      </c>
    </row>
    <row r="646" customFormat="false" ht="18" hidden="false" customHeight="false" outlineLevel="0" collapsed="false">
      <c r="A646" s="89" t="n">
        <v>43652</v>
      </c>
      <c r="B646" s="90" t="n">
        <v>84.59</v>
      </c>
      <c r="C646" s="91" t="n">
        <f aca="false">B646/B645-1</f>
        <v>-0.00118077695123386</v>
      </c>
      <c r="E646" s="93"/>
      <c r="F646" s="94"/>
      <c r="G646" s="93" t="n">
        <v>43617</v>
      </c>
      <c r="H646" s="94" t="n">
        <v>264.87</v>
      </c>
      <c r="I646" s="95" t="n">
        <f aca="false">H646/H645-1</f>
        <v>0.0197505197505197</v>
      </c>
    </row>
    <row r="647" customFormat="false" ht="18" hidden="false" customHeight="false" outlineLevel="0" collapsed="false">
      <c r="A647" s="89" t="n">
        <v>43655</v>
      </c>
      <c r="B647" s="90" t="n">
        <v>84.95</v>
      </c>
      <c r="C647" s="91" t="n">
        <f aca="false">B647/B646-1</f>
        <v>0.00425582220120591</v>
      </c>
      <c r="E647" s="93"/>
      <c r="F647" s="94"/>
      <c r="G647" s="93" t="n">
        <v>43620</v>
      </c>
      <c r="H647" s="94" t="n">
        <v>265.62</v>
      </c>
      <c r="I647" s="95" t="n">
        <f aca="false">H647/H646-1</f>
        <v>0.0028315777551251</v>
      </c>
    </row>
    <row r="648" customFormat="false" ht="18" hidden="false" customHeight="false" outlineLevel="0" collapsed="false">
      <c r="A648" s="89" t="n">
        <v>43656</v>
      </c>
      <c r="B648" s="90" t="n">
        <v>85.49</v>
      </c>
      <c r="C648" s="91" t="n">
        <f aca="false">B648/B647-1</f>
        <v>0.00635668040023529</v>
      </c>
      <c r="E648" s="93"/>
      <c r="F648" s="94"/>
      <c r="G648" s="93" t="n">
        <v>43621</v>
      </c>
      <c r="H648" s="94" t="n">
        <v>265.96</v>
      </c>
      <c r="I648" s="95" t="n">
        <f aca="false">H648/H647-1</f>
        <v>0.00128002409457118</v>
      </c>
    </row>
    <row r="649" customFormat="false" ht="18" hidden="false" customHeight="false" outlineLevel="0" collapsed="false">
      <c r="A649" s="89" t="n">
        <v>43657</v>
      </c>
      <c r="B649" s="90" t="n">
        <v>86.51</v>
      </c>
      <c r="C649" s="91" t="n">
        <f aca="false">B649/B648-1</f>
        <v>0.0119312200257342</v>
      </c>
      <c r="E649" s="93"/>
      <c r="F649" s="94"/>
      <c r="G649" s="93" t="n">
        <v>43622</v>
      </c>
      <c r="H649" s="94" t="n">
        <v>267.9</v>
      </c>
      <c r="I649" s="95" t="n">
        <f aca="false">H649/H648-1</f>
        <v>0.00729432997443213</v>
      </c>
    </row>
    <row r="650" customFormat="false" ht="18" hidden="false" customHeight="false" outlineLevel="0" collapsed="false">
      <c r="A650" s="89" t="n">
        <v>43658</v>
      </c>
      <c r="B650" s="90" t="n">
        <v>87.45</v>
      </c>
      <c r="C650" s="91" t="n">
        <f aca="false">B650/B649-1</f>
        <v>0.01086579586175</v>
      </c>
      <c r="E650" s="93"/>
      <c r="F650" s="94"/>
      <c r="G650" s="93" t="n">
        <v>43623</v>
      </c>
      <c r="H650" s="94" t="n">
        <v>267.49</v>
      </c>
      <c r="I650" s="95" t="n">
        <f aca="false">H650/H649-1</f>
        <v>-0.00153042179917873</v>
      </c>
    </row>
    <row r="651" customFormat="false" ht="18" hidden="false" customHeight="false" outlineLevel="0" collapsed="false">
      <c r="A651" s="89" t="n">
        <v>43659</v>
      </c>
      <c r="B651" s="90" t="n">
        <v>86.94</v>
      </c>
      <c r="C651" s="91" t="n">
        <f aca="false">B651/B650-1</f>
        <v>-0.00583190394511157</v>
      </c>
      <c r="E651" s="93"/>
      <c r="F651" s="94"/>
      <c r="G651" s="93" t="n">
        <v>43624</v>
      </c>
      <c r="H651" s="94" t="n">
        <v>269.1</v>
      </c>
      <c r="I651" s="95" t="n">
        <f aca="false">H651/H650-1</f>
        <v>0.00601891659501286</v>
      </c>
    </row>
    <row r="652" customFormat="false" ht="18" hidden="false" customHeight="false" outlineLevel="0" collapsed="false">
      <c r="A652" s="89" t="n">
        <v>43662</v>
      </c>
      <c r="B652" s="90" t="n">
        <v>87.07</v>
      </c>
      <c r="C652" s="91" t="n">
        <f aca="false">B652/B651-1</f>
        <v>0.0014952841039797</v>
      </c>
      <c r="E652" s="93"/>
      <c r="F652" s="94"/>
      <c r="G652" s="93" t="n">
        <v>43627</v>
      </c>
      <c r="H652" s="94" t="n">
        <v>269.38</v>
      </c>
      <c r="I652" s="95" t="n">
        <f aca="false">H652/H651-1</f>
        <v>0.00104050538833134</v>
      </c>
    </row>
    <row r="653" customFormat="false" ht="18" hidden="false" customHeight="false" outlineLevel="0" collapsed="false">
      <c r="A653" s="89" t="n">
        <v>43663</v>
      </c>
      <c r="B653" s="90" t="n">
        <v>87.5</v>
      </c>
      <c r="C653" s="91" t="n">
        <f aca="false">B653/B652-1</f>
        <v>0.00493855518548303</v>
      </c>
      <c r="E653" s="93"/>
      <c r="F653" s="94"/>
      <c r="G653" s="93" t="n">
        <v>43628</v>
      </c>
      <c r="H653" s="94" t="n">
        <v>271.41</v>
      </c>
      <c r="I653" s="95" t="n">
        <f aca="false">H653/H652-1</f>
        <v>0.00753582300096523</v>
      </c>
    </row>
    <row r="654" customFormat="false" ht="18" hidden="false" customHeight="false" outlineLevel="0" collapsed="false">
      <c r="A654" s="89" t="n">
        <v>43664</v>
      </c>
      <c r="B654" s="90" t="n">
        <v>87.26</v>
      </c>
      <c r="C654" s="91" t="n">
        <f aca="false">B654/B653-1</f>
        <v>-0.00274285714285705</v>
      </c>
      <c r="E654" s="93"/>
      <c r="F654" s="94"/>
      <c r="G654" s="93" t="n">
        <v>43629</v>
      </c>
      <c r="H654" s="94" t="n">
        <v>272.49</v>
      </c>
      <c r="I654" s="95" t="n">
        <f aca="false">H654/H653-1</f>
        <v>0.00397921963081682</v>
      </c>
    </row>
    <row r="655" customFormat="false" ht="18" hidden="false" customHeight="false" outlineLevel="0" collapsed="false">
      <c r="A655" s="89" t="n">
        <v>43665</v>
      </c>
      <c r="B655" s="90" t="n">
        <v>86.73</v>
      </c>
      <c r="C655" s="91" t="n">
        <f aca="false">B655/B654-1</f>
        <v>-0.00607380242952094</v>
      </c>
      <c r="E655" s="93"/>
      <c r="F655" s="94"/>
      <c r="G655" s="93" t="n">
        <v>43630</v>
      </c>
      <c r="H655" s="94" t="n">
        <v>274.97</v>
      </c>
      <c r="I655" s="95" t="n">
        <f aca="false">H655/H654-1</f>
        <v>0.00910125142207052</v>
      </c>
    </row>
    <row r="656" customFormat="false" ht="18" hidden="false" customHeight="false" outlineLevel="0" collapsed="false">
      <c r="A656" s="89" t="n">
        <v>43666</v>
      </c>
      <c r="B656" s="90" t="n">
        <v>87</v>
      </c>
      <c r="C656" s="91" t="n">
        <f aca="false">B656/B655-1</f>
        <v>0.00311310965063982</v>
      </c>
      <c r="E656" s="93"/>
      <c r="F656" s="94"/>
      <c r="G656" s="93" t="n">
        <v>43631</v>
      </c>
      <c r="H656" s="94" t="n">
        <v>276.52</v>
      </c>
      <c r="I656" s="95" t="n">
        <f aca="false">H656/H655-1</f>
        <v>0.0056369785794812</v>
      </c>
    </row>
    <row r="657" customFormat="false" ht="18" hidden="false" customHeight="false" outlineLevel="0" collapsed="false">
      <c r="A657" s="89" t="n">
        <v>43669</v>
      </c>
      <c r="B657" s="90" t="n">
        <v>87.17</v>
      </c>
      <c r="C657" s="91" t="n">
        <f aca="false">B657/B656-1</f>
        <v>0.00195402298850578</v>
      </c>
      <c r="E657" s="93"/>
      <c r="F657" s="94"/>
      <c r="G657" s="93" t="n">
        <v>43634</v>
      </c>
      <c r="H657" s="94" t="n">
        <v>275.3</v>
      </c>
      <c r="I657" s="95" t="n">
        <f aca="false">H657/H656-1</f>
        <v>-0.00441197743382027</v>
      </c>
    </row>
    <row r="658" customFormat="false" ht="18" hidden="false" customHeight="false" outlineLevel="0" collapsed="false">
      <c r="A658" s="89" t="n">
        <v>43670</v>
      </c>
      <c r="B658" s="90" t="n">
        <v>87.06</v>
      </c>
      <c r="C658" s="91" t="n">
        <f aca="false">B658/B657-1</f>
        <v>-0.00126190203051513</v>
      </c>
      <c r="E658" s="93"/>
      <c r="F658" s="94"/>
      <c r="G658" s="93" t="n">
        <v>43635</v>
      </c>
      <c r="H658" s="94" t="n">
        <v>272.67</v>
      </c>
      <c r="I658" s="95" t="n">
        <f aca="false">H658/H657-1</f>
        <v>-0.00955321467490011</v>
      </c>
    </row>
    <row r="659" customFormat="false" ht="18" hidden="false" customHeight="false" outlineLevel="0" collapsed="false">
      <c r="A659" s="89" t="n">
        <v>43671</v>
      </c>
      <c r="B659" s="90" t="n">
        <v>87.34</v>
      </c>
      <c r="C659" s="91" t="n">
        <f aca="false">B659/B658-1</f>
        <v>0.00321617275442221</v>
      </c>
      <c r="E659" s="93"/>
      <c r="F659" s="94"/>
      <c r="G659" s="93" t="n">
        <v>43636</v>
      </c>
      <c r="H659" s="94" t="n">
        <v>271.08</v>
      </c>
      <c r="I659" s="95" t="n">
        <f aca="false">H659/H658-1</f>
        <v>-0.00583122455715712</v>
      </c>
    </row>
    <row r="660" customFormat="false" ht="18" hidden="false" customHeight="false" outlineLevel="0" collapsed="false">
      <c r="A660" s="89" t="n">
        <v>43672</v>
      </c>
      <c r="B660" s="90" t="n">
        <v>86.51</v>
      </c>
      <c r="C660" s="91" t="n">
        <f aca="false">B660/B659-1</f>
        <v>-0.00950309136707117</v>
      </c>
      <c r="E660" s="93"/>
      <c r="F660" s="94"/>
      <c r="G660" s="93" t="n">
        <v>43637</v>
      </c>
      <c r="H660" s="94" t="n">
        <v>270</v>
      </c>
      <c r="I660" s="95" t="n">
        <f aca="false">H660/H659-1</f>
        <v>-0.00398406374501992</v>
      </c>
    </row>
    <row r="661" customFormat="false" ht="18" hidden="false" customHeight="false" outlineLevel="0" collapsed="false">
      <c r="A661" s="89" t="n">
        <v>43673</v>
      </c>
      <c r="B661" s="90" t="n">
        <v>87.56</v>
      </c>
      <c r="C661" s="91" t="n">
        <f aca="false">B661/B660-1</f>
        <v>0.0121373251647208</v>
      </c>
      <c r="E661" s="93"/>
      <c r="F661" s="94"/>
      <c r="G661" s="93" t="n">
        <v>43638</v>
      </c>
      <c r="H661" s="94" t="n">
        <v>267.77</v>
      </c>
      <c r="I661" s="95" t="n">
        <f aca="false">H661/H660-1</f>
        <v>-0.0082592592592593</v>
      </c>
    </row>
    <row r="662" customFormat="false" ht="18" hidden="false" customHeight="false" outlineLevel="0" collapsed="false">
      <c r="A662" s="89" t="n">
        <v>43676</v>
      </c>
      <c r="B662" s="90" t="n">
        <v>87.68</v>
      </c>
      <c r="C662" s="91" t="n">
        <f aca="false">B662/B661-1</f>
        <v>0.00137048880767487</v>
      </c>
      <c r="E662" s="93"/>
      <c r="F662" s="94"/>
      <c r="G662" s="93" t="n">
        <v>43641</v>
      </c>
      <c r="H662" s="94" t="n">
        <v>266.78</v>
      </c>
      <c r="I662" s="95" t="n">
        <f aca="false">H662/H661-1</f>
        <v>-0.00369720282331853</v>
      </c>
    </row>
    <row r="663" customFormat="false" ht="18" hidden="false" customHeight="false" outlineLevel="0" collapsed="false">
      <c r="A663" s="89" t="n">
        <v>43677</v>
      </c>
      <c r="B663" s="90" t="n">
        <v>86.46</v>
      </c>
      <c r="C663" s="91" t="n">
        <f aca="false">B663/B662-1</f>
        <v>-0.0139142335766425</v>
      </c>
      <c r="E663" s="93"/>
      <c r="F663" s="94"/>
      <c r="G663" s="93" t="n">
        <v>43642</v>
      </c>
      <c r="H663" s="94" t="n">
        <v>268.27</v>
      </c>
      <c r="I663" s="95" t="n">
        <f aca="false">H663/H662-1</f>
        <v>0.00558512632131358</v>
      </c>
    </row>
    <row r="664" customFormat="false" ht="18" hidden="false" customHeight="false" outlineLevel="0" collapsed="false">
      <c r="A664" s="89" t="n">
        <v>43678</v>
      </c>
      <c r="B664" s="90" t="n">
        <v>85.84</v>
      </c>
      <c r="C664" s="91" t="n">
        <f aca="false">B664/B663-1</f>
        <v>-0.00717094610224367</v>
      </c>
      <c r="E664" s="93"/>
      <c r="F664" s="94"/>
      <c r="G664" s="93" t="n">
        <v>43643</v>
      </c>
      <c r="H664" s="94" t="n">
        <v>267.87</v>
      </c>
      <c r="I664" s="95" t="n">
        <f aca="false">H664/H663-1</f>
        <v>-0.00149103515115356</v>
      </c>
    </row>
    <row r="665" customFormat="false" ht="18" hidden="false" customHeight="false" outlineLevel="0" collapsed="false">
      <c r="A665" s="89" t="n">
        <v>43679</v>
      </c>
      <c r="B665" s="90" t="n">
        <v>85.11</v>
      </c>
      <c r="C665" s="91" t="n">
        <f aca="false">B665/B664-1</f>
        <v>-0.00850419384902146</v>
      </c>
      <c r="E665" s="93"/>
      <c r="F665" s="94"/>
      <c r="G665" s="93" t="n">
        <v>43644</v>
      </c>
      <c r="H665" s="94" t="n">
        <v>267.24</v>
      </c>
      <c r="I665" s="95" t="n">
        <f aca="false">H665/H664-1</f>
        <v>-0.00235188710941869</v>
      </c>
    </row>
    <row r="666" customFormat="false" ht="18" hidden="false" customHeight="false" outlineLevel="0" collapsed="false">
      <c r="A666" s="89" t="n">
        <v>43680</v>
      </c>
      <c r="B666" s="90" t="n">
        <v>86.24</v>
      </c>
      <c r="C666" s="91" t="n">
        <f aca="false">B666/B665-1</f>
        <v>0.0132769357302314</v>
      </c>
      <c r="E666" s="93"/>
      <c r="F666" s="94"/>
      <c r="G666" s="93" t="n">
        <v>43645</v>
      </c>
      <c r="H666" s="94" t="n">
        <v>268.13</v>
      </c>
      <c r="I666" s="95" t="n">
        <f aca="false">H666/H665-1</f>
        <v>0.00333033976949548</v>
      </c>
    </row>
    <row r="667" customFormat="false" ht="18" hidden="false" customHeight="false" outlineLevel="0" collapsed="false">
      <c r="A667" s="89" t="n">
        <v>43683</v>
      </c>
      <c r="B667" s="90" t="n">
        <v>85.96</v>
      </c>
      <c r="C667" s="91" t="n">
        <f aca="false">B667/B666-1</f>
        <v>-0.00324675324675328</v>
      </c>
      <c r="E667" s="93"/>
      <c r="F667" s="94"/>
      <c r="G667" s="93" t="n">
        <v>43648</v>
      </c>
      <c r="H667" s="94" t="n">
        <v>271.83</v>
      </c>
      <c r="I667" s="95" t="n">
        <f aca="false">H667/H666-1</f>
        <v>0.0137992764703687</v>
      </c>
    </row>
    <row r="668" customFormat="false" ht="18" hidden="false" customHeight="false" outlineLevel="0" collapsed="false">
      <c r="A668" s="89" t="n">
        <v>43684</v>
      </c>
      <c r="B668" s="90" t="n">
        <v>86.18</v>
      </c>
      <c r="C668" s="91" t="n">
        <f aca="false">B668/B667-1</f>
        <v>0.00255932992089369</v>
      </c>
      <c r="E668" s="93"/>
      <c r="F668" s="94"/>
      <c r="G668" s="93" t="n">
        <v>43649</v>
      </c>
      <c r="H668" s="94" t="n">
        <v>272.62</v>
      </c>
      <c r="I668" s="95" t="n">
        <f aca="false">H668/H667-1</f>
        <v>0.00290622815730424</v>
      </c>
    </row>
    <row r="669" customFormat="false" ht="18" hidden="false" customHeight="false" outlineLevel="0" collapsed="false">
      <c r="A669" s="89" t="n">
        <v>43685</v>
      </c>
      <c r="B669" s="90" t="n">
        <v>86.36</v>
      </c>
      <c r="C669" s="91" t="n">
        <f aca="false">B669/B668-1</f>
        <v>0.00208865165931771</v>
      </c>
      <c r="E669" s="93"/>
      <c r="F669" s="94"/>
      <c r="G669" s="93" t="n">
        <v>43650</v>
      </c>
      <c r="H669" s="94" t="n">
        <v>270.79</v>
      </c>
      <c r="I669" s="95" t="n">
        <f aca="false">H669/H668-1</f>
        <v>-0.0067126403051867</v>
      </c>
    </row>
    <row r="670" customFormat="false" ht="18" hidden="false" customHeight="false" outlineLevel="0" collapsed="false">
      <c r="A670" s="89" t="n">
        <v>43686</v>
      </c>
      <c r="B670" s="90" t="n">
        <v>86.03</v>
      </c>
      <c r="C670" s="91" t="n">
        <f aca="false">B670/B669-1</f>
        <v>-0.00382121352477993</v>
      </c>
      <c r="E670" s="93"/>
      <c r="F670" s="94"/>
      <c r="G670" s="93" t="n">
        <v>43651</v>
      </c>
      <c r="H670" s="94" t="n">
        <v>266.88</v>
      </c>
      <c r="I670" s="95" t="n">
        <f aca="false">H670/H669-1</f>
        <v>-0.0144392333542599</v>
      </c>
    </row>
    <row r="671" customFormat="false" ht="18" hidden="false" customHeight="false" outlineLevel="0" collapsed="false">
      <c r="A671" s="89" t="n">
        <v>43687</v>
      </c>
      <c r="B671" s="90" t="n">
        <v>85.83</v>
      </c>
      <c r="C671" s="91" t="n">
        <f aca="false">B671/B670-1</f>
        <v>-0.00232477042892021</v>
      </c>
      <c r="E671" s="93"/>
      <c r="F671" s="94"/>
      <c r="G671" s="93" t="n">
        <v>43652</v>
      </c>
      <c r="H671" s="94" t="n">
        <v>266.27</v>
      </c>
      <c r="I671" s="95" t="n">
        <f aca="false">H671/H670-1</f>
        <v>-0.00228567146282976</v>
      </c>
    </row>
    <row r="672" customFormat="false" ht="18" hidden="false" customHeight="false" outlineLevel="0" collapsed="false">
      <c r="A672" s="89" t="n">
        <v>43690</v>
      </c>
      <c r="B672" s="90" t="n">
        <v>85.14</v>
      </c>
      <c r="C672" s="91" t="n">
        <f aca="false">B672/B671-1</f>
        <v>-0.00803914715134568</v>
      </c>
      <c r="E672" s="93"/>
      <c r="F672" s="94"/>
      <c r="G672" s="93" t="n">
        <v>43655</v>
      </c>
      <c r="H672" s="94" t="n">
        <v>266.65</v>
      </c>
      <c r="I672" s="95" t="n">
        <f aca="false">H672/H671-1</f>
        <v>0.00142712284523228</v>
      </c>
    </row>
    <row r="673" customFormat="false" ht="18" hidden="false" customHeight="false" outlineLevel="0" collapsed="false">
      <c r="A673" s="89" t="n">
        <v>43691</v>
      </c>
      <c r="B673" s="90" t="n">
        <v>84.42</v>
      </c>
      <c r="C673" s="91" t="n">
        <f aca="false">B673/B672-1</f>
        <v>-0.0084566596194503</v>
      </c>
      <c r="E673" s="93"/>
      <c r="F673" s="94"/>
      <c r="G673" s="93" t="n">
        <v>43656</v>
      </c>
      <c r="H673" s="94" t="n">
        <v>269.35</v>
      </c>
      <c r="I673" s="95" t="n">
        <f aca="false">H673/H672-1</f>
        <v>0.0101256328520534</v>
      </c>
    </row>
    <row r="674" customFormat="false" ht="18" hidden="false" customHeight="false" outlineLevel="0" collapsed="false">
      <c r="A674" s="89" t="n">
        <v>43692</v>
      </c>
      <c r="B674" s="90" t="n">
        <v>84.26</v>
      </c>
      <c r="C674" s="91" t="n">
        <f aca="false">B674/B673-1</f>
        <v>-0.00189528547737494</v>
      </c>
      <c r="E674" s="93"/>
      <c r="F674" s="94"/>
      <c r="G674" s="93" t="n">
        <v>43657</v>
      </c>
      <c r="H674" s="94" t="n">
        <v>271.79</v>
      </c>
      <c r="I674" s="95" t="n">
        <f aca="false">H674/H673-1</f>
        <v>0.00905884536847967</v>
      </c>
    </row>
    <row r="675" customFormat="false" ht="18" hidden="false" customHeight="false" outlineLevel="0" collapsed="false">
      <c r="A675" s="89" t="n">
        <v>43693</v>
      </c>
      <c r="B675" s="90" t="n">
        <v>84.19</v>
      </c>
      <c r="C675" s="91" t="n">
        <f aca="false">B675/B674-1</f>
        <v>-0.000830761927367751</v>
      </c>
      <c r="E675" s="93"/>
      <c r="F675" s="94"/>
      <c r="G675" s="93" t="n">
        <v>43658</v>
      </c>
      <c r="H675" s="94" t="n">
        <v>275.27</v>
      </c>
      <c r="I675" s="95" t="n">
        <f aca="false">H675/H674-1</f>
        <v>0.0128040030906214</v>
      </c>
    </row>
    <row r="676" customFormat="false" ht="18" hidden="false" customHeight="false" outlineLevel="0" collapsed="false">
      <c r="A676" s="89" t="n">
        <v>43694</v>
      </c>
      <c r="B676" s="90" t="n">
        <v>84.17</v>
      </c>
      <c r="C676" s="91" t="n">
        <f aca="false">B676/B675-1</f>
        <v>-0.000237557904739227</v>
      </c>
      <c r="E676" s="93"/>
      <c r="F676" s="94"/>
      <c r="G676" s="93" t="n">
        <v>43659</v>
      </c>
      <c r="H676" s="94" t="n">
        <v>276.8</v>
      </c>
      <c r="I676" s="95" t="n">
        <f aca="false">H676/H675-1</f>
        <v>0.00555817924219859</v>
      </c>
    </row>
    <row r="677" customFormat="false" ht="18" hidden="false" customHeight="false" outlineLevel="0" collapsed="false">
      <c r="A677" s="89" t="n">
        <v>43697</v>
      </c>
      <c r="B677" s="90" t="n">
        <v>83.75</v>
      </c>
      <c r="C677" s="91" t="n">
        <f aca="false">B677/B676-1</f>
        <v>-0.00498990139004396</v>
      </c>
      <c r="E677" s="93"/>
      <c r="F677" s="94"/>
      <c r="G677" s="93" t="n">
        <v>43662</v>
      </c>
      <c r="H677" s="94" t="n">
        <v>277.06</v>
      </c>
      <c r="I677" s="95" t="n">
        <f aca="false">H677/H676-1</f>
        <v>0.000939306358381575</v>
      </c>
    </row>
    <row r="678" customFormat="false" ht="18" hidden="false" customHeight="false" outlineLevel="0" collapsed="false">
      <c r="A678" s="89" t="n">
        <v>43698</v>
      </c>
      <c r="B678" s="90" t="n">
        <v>83.98</v>
      </c>
      <c r="C678" s="91" t="n">
        <f aca="false">B678/B677-1</f>
        <v>0.00274626865671657</v>
      </c>
      <c r="E678" s="93"/>
      <c r="F678" s="94"/>
      <c r="G678" s="93" t="n">
        <v>43663</v>
      </c>
      <c r="H678" s="94" t="n">
        <v>275.45</v>
      </c>
      <c r="I678" s="95" t="n">
        <f aca="false">H678/H677-1</f>
        <v>-0.00581101566447706</v>
      </c>
    </row>
    <row r="679" customFormat="false" ht="18" hidden="false" customHeight="false" outlineLevel="0" collapsed="false">
      <c r="A679" s="89" t="n">
        <v>43699</v>
      </c>
      <c r="B679" s="90" t="n">
        <v>85.33</v>
      </c>
      <c r="C679" s="91" t="n">
        <f aca="false">B679/B678-1</f>
        <v>0.0160752560133364</v>
      </c>
      <c r="E679" s="93"/>
      <c r="F679" s="94"/>
      <c r="G679" s="93" t="n">
        <v>43664</v>
      </c>
      <c r="H679" s="94" t="n">
        <v>274.85</v>
      </c>
      <c r="I679" s="95" t="n">
        <f aca="false">H679/H678-1</f>
        <v>-0.00217825376656366</v>
      </c>
    </row>
    <row r="680" customFormat="false" ht="18" hidden="false" customHeight="false" outlineLevel="0" collapsed="false">
      <c r="A680" s="89" t="n">
        <v>43700</v>
      </c>
      <c r="B680" s="90" t="n">
        <v>84.75</v>
      </c>
      <c r="C680" s="91" t="n">
        <f aca="false">B680/B679-1</f>
        <v>-0.00679714051330127</v>
      </c>
      <c r="E680" s="93"/>
      <c r="F680" s="94"/>
      <c r="G680" s="93" t="n">
        <v>43665</v>
      </c>
      <c r="H680" s="94" t="n">
        <v>274.93</v>
      </c>
      <c r="I680" s="95" t="n">
        <f aca="false">H680/H679-1</f>
        <v>0.000291067855193727</v>
      </c>
    </row>
    <row r="681" customFormat="false" ht="18" hidden="false" customHeight="false" outlineLevel="0" collapsed="false">
      <c r="A681" s="89" t="n">
        <v>43701</v>
      </c>
      <c r="B681" s="90" t="n">
        <v>84.88</v>
      </c>
      <c r="C681" s="91" t="n">
        <f aca="false">B681/B680-1</f>
        <v>0.00153392330383473</v>
      </c>
      <c r="E681" s="93"/>
      <c r="F681" s="94"/>
      <c r="G681" s="93" t="n">
        <v>43666</v>
      </c>
      <c r="H681" s="94" t="n">
        <v>274.46</v>
      </c>
      <c r="I681" s="95" t="n">
        <f aca="false">H681/H680-1</f>
        <v>-0.00170952606117936</v>
      </c>
    </row>
    <row r="682" customFormat="false" ht="18" hidden="false" customHeight="false" outlineLevel="0" collapsed="false">
      <c r="A682" s="89" t="n">
        <v>43704</v>
      </c>
      <c r="B682" s="90" t="n">
        <v>85.15</v>
      </c>
      <c r="C682" s="91" t="n">
        <f aca="false">B682/B681-1</f>
        <v>0.00318096135721024</v>
      </c>
      <c r="E682" s="93"/>
      <c r="F682" s="94"/>
      <c r="G682" s="93" t="n">
        <v>43669</v>
      </c>
      <c r="H682" s="94" t="n">
        <v>273.87</v>
      </c>
      <c r="I682" s="95" t="n">
        <f aca="false">H682/H681-1</f>
        <v>-0.00214967572688174</v>
      </c>
    </row>
    <row r="683" customFormat="false" ht="18" hidden="false" customHeight="false" outlineLevel="0" collapsed="false">
      <c r="A683" s="89" t="n">
        <v>43705</v>
      </c>
      <c r="B683" s="90" t="n">
        <v>86.03</v>
      </c>
      <c r="C683" s="91" t="n">
        <f aca="false">B683/B682-1</f>
        <v>0.0103347034644743</v>
      </c>
      <c r="E683" s="93"/>
      <c r="F683" s="94"/>
      <c r="G683" s="93" t="n">
        <v>43670</v>
      </c>
      <c r="H683" s="94" t="n">
        <v>278.67</v>
      </c>
      <c r="I683" s="95" t="n">
        <f aca="false">H683/H682-1</f>
        <v>0.017526563698105</v>
      </c>
    </row>
    <row r="684" customFormat="false" ht="18" hidden="false" customHeight="false" outlineLevel="0" collapsed="false">
      <c r="A684" s="89" t="n">
        <v>43706</v>
      </c>
      <c r="B684" s="90" t="n">
        <v>85.8</v>
      </c>
      <c r="C684" s="91" t="n">
        <f aca="false">B684/B683-1</f>
        <v>-0.00267348599325823</v>
      </c>
      <c r="E684" s="93"/>
      <c r="F684" s="94"/>
      <c r="G684" s="93" t="n">
        <v>43671</v>
      </c>
      <c r="H684" s="94" t="n">
        <v>278.96</v>
      </c>
      <c r="I684" s="95" t="n">
        <f aca="false">H684/H683-1</f>
        <v>0.00104065740840409</v>
      </c>
    </row>
    <row r="685" customFormat="false" ht="18" hidden="false" customHeight="false" outlineLevel="0" collapsed="false">
      <c r="A685" s="89" t="n">
        <v>43707</v>
      </c>
      <c r="B685" s="90" t="n">
        <v>85.72</v>
      </c>
      <c r="C685" s="91" t="n">
        <f aca="false">B685/B684-1</f>
        <v>-0.000932400932400879</v>
      </c>
      <c r="E685" s="93"/>
      <c r="F685" s="94"/>
      <c r="G685" s="93" t="n">
        <v>43672</v>
      </c>
      <c r="H685" s="94" t="n">
        <v>279.7</v>
      </c>
      <c r="I685" s="95" t="n">
        <f aca="false">H685/H684-1</f>
        <v>0.00265271006595924</v>
      </c>
    </row>
    <row r="686" customFormat="false" ht="18" hidden="false" customHeight="false" outlineLevel="0" collapsed="false">
      <c r="A686" s="89" t="n">
        <v>43708</v>
      </c>
      <c r="B686" s="90" t="n">
        <v>85.15</v>
      </c>
      <c r="C686" s="91" t="n">
        <f aca="false">B686/B685-1</f>
        <v>-0.00664955669622014</v>
      </c>
      <c r="E686" s="93"/>
      <c r="F686" s="94"/>
      <c r="G686" s="93" t="n">
        <v>43673</v>
      </c>
      <c r="H686" s="94" t="n">
        <v>281.96</v>
      </c>
      <c r="I686" s="95" t="n">
        <f aca="false">H686/H685-1</f>
        <v>0.00808008580622088</v>
      </c>
    </row>
    <row r="687" customFormat="false" ht="18" hidden="false" customHeight="false" outlineLevel="0" collapsed="false">
      <c r="A687" s="89" t="n">
        <v>43712</v>
      </c>
      <c r="B687" s="90" t="n">
        <v>84.32</v>
      </c>
      <c r="C687" s="91" t="n">
        <f aca="false">B687/B686-1</f>
        <v>-0.00974750440399308</v>
      </c>
      <c r="E687" s="93"/>
      <c r="F687" s="94"/>
      <c r="G687" s="93" t="n">
        <v>43676</v>
      </c>
      <c r="H687" s="94" t="n">
        <v>283.04</v>
      </c>
      <c r="I687" s="95" t="n">
        <f aca="false">H687/H686-1</f>
        <v>0.00383033054333959</v>
      </c>
    </row>
    <row r="688" customFormat="false" ht="18" hidden="false" customHeight="false" outlineLevel="0" collapsed="false">
      <c r="A688" s="89" t="n">
        <v>43713</v>
      </c>
      <c r="B688" s="90" t="n">
        <v>84.19</v>
      </c>
      <c r="C688" s="91" t="n">
        <f aca="false">B688/B687-1</f>
        <v>-0.00154174573055021</v>
      </c>
      <c r="E688" s="93"/>
      <c r="F688" s="94"/>
      <c r="G688" s="93" t="n">
        <v>43677</v>
      </c>
      <c r="H688" s="94" t="n">
        <v>281.66</v>
      </c>
      <c r="I688" s="95" t="n">
        <f aca="false">H688/H687-1</f>
        <v>-0.0048756359525155</v>
      </c>
    </row>
    <row r="689" customFormat="false" ht="18" hidden="false" customHeight="false" outlineLevel="0" collapsed="false">
      <c r="A689" s="89" t="n">
        <v>43714</v>
      </c>
      <c r="B689" s="90" t="n">
        <v>84.64</v>
      </c>
      <c r="C689" s="91" t="n">
        <f aca="false">B689/B688-1</f>
        <v>0.00534505285663389</v>
      </c>
      <c r="E689" s="93"/>
      <c r="F689" s="94"/>
      <c r="G689" s="93" t="n">
        <v>43678</v>
      </c>
      <c r="H689" s="94" t="n">
        <v>276.19</v>
      </c>
      <c r="I689" s="95" t="n">
        <f aca="false">H689/H688-1</f>
        <v>-0.0194205780018463</v>
      </c>
    </row>
    <row r="690" customFormat="false" ht="18" hidden="false" customHeight="false" outlineLevel="0" collapsed="false">
      <c r="A690" s="89" t="n">
        <v>43715</v>
      </c>
      <c r="B690" s="90" t="n">
        <v>84.71</v>
      </c>
      <c r="C690" s="91" t="n">
        <f aca="false">B690/B689-1</f>
        <v>0.000827032136105688</v>
      </c>
      <c r="E690" s="93"/>
      <c r="F690" s="94"/>
      <c r="G690" s="93" t="n">
        <v>43679</v>
      </c>
      <c r="H690" s="94" t="n">
        <v>275.31</v>
      </c>
      <c r="I690" s="95" t="n">
        <f aca="false">H690/H689-1</f>
        <v>-0.00318621239002137</v>
      </c>
    </row>
    <row r="691" customFormat="false" ht="18" hidden="false" customHeight="false" outlineLevel="0" collapsed="false">
      <c r="A691" s="89" t="n">
        <v>43718</v>
      </c>
      <c r="B691" s="90" t="n">
        <v>84.58</v>
      </c>
      <c r="C691" s="91" t="n">
        <f aca="false">B691/B690-1</f>
        <v>-0.00153464762129618</v>
      </c>
      <c r="E691" s="93"/>
      <c r="F691" s="94"/>
      <c r="G691" s="93" t="n">
        <v>43680</v>
      </c>
      <c r="H691" s="94" t="n">
        <v>276.54</v>
      </c>
      <c r="I691" s="95" t="n">
        <f aca="false">H691/H690-1</f>
        <v>0.00446769096654687</v>
      </c>
    </row>
    <row r="692" customFormat="false" ht="18" hidden="false" customHeight="false" outlineLevel="0" collapsed="false">
      <c r="A692" s="89" t="n">
        <v>43719</v>
      </c>
      <c r="B692" s="90" t="n">
        <v>84.64</v>
      </c>
      <c r="C692" s="91" t="n">
        <f aca="false">B692/B691-1</f>
        <v>0.000709387562071395</v>
      </c>
      <c r="E692" s="93"/>
      <c r="F692" s="94"/>
      <c r="G692" s="93" t="n">
        <v>43683</v>
      </c>
      <c r="H692" s="94" t="n">
        <v>276.24</v>
      </c>
      <c r="I692" s="95" t="n">
        <f aca="false">H692/H691-1</f>
        <v>-0.00108483402039494</v>
      </c>
    </row>
    <row r="693" customFormat="false" ht="18" hidden="false" customHeight="false" outlineLevel="0" collapsed="false">
      <c r="A693" s="89" t="n">
        <v>43720</v>
      </c>
      <c r="B693" s="90" t="n">
        <v>84.69</v>
      </c>
      <c r="C693" s="91" t="n">
        <f aca="false">B693/B692-1</f>
        <v>0.000590737240075523</v>
      </c>
      <c r="E693" s="93"/>
      <c r="F693" s="94"/>
      <c r="G693" s="93" t="n">
        <v>43684</v>
      </c>
      <c r="H693" s="94" t="n">
        <v>273.3</v>
      </c>
      <c r="I693" s="95" t="n">
        <f aca="false">H693/H692-1</f>
        <v>-0.010642919200695</v>
      </c>
    </row>
    <row r="694" customFormat="false" ht="18" hidden="false" customHeight="false" outlineLevel="0" collapsed="false">
      <c r="A694" s="89" t="n">
        <v>43721</v>
      </c>
      <c r="B694" s="90" t="n">
        <v>84.72</v>
      </c>
      <c r="C694" s="91" t="n">
        <f aca="false">B694/B693-1</f>
        <v>0.000354233085370081</v>
      </c>
      <c r="E694" s="93"/>
      <c r="F694" s="94"/>
      <c r="G694" s="93" t="n">
        <v>43685</v>
      </c>
      <c r="H694" s="94" t="n">
        <v>274.14</v>
      </c>
      <c r="I694" s="95" t="n">
        <f aca="false">H694/H693-1</f>
        <v>0.00307354555433581</v>
      </c>
    </row>
    <row r="695" customFormat="false" ht="18" hidden="false" customHeight="false" outlineLevel="0" collapsed="false">
      <c r="A695" s="89" t="n">
        <v>43722</v>
      </c>
      <c r="B695" s="90" t="n">
        <v>84.44</v>
      </c>
      <c r="C695" s="91" t="n">
        <f aca="false">B695/B694-1</f>
        <v>-0.00330500472143536</v>
      </c>
      <c r="E695" s="93"/>
      <c r="F695" s="94"/>
      <c r="G695" s="93" t="n">
        <v>43686</v>
      </c>
      <c r="H695" s="94" t="n">
        <v>274.06</v>
      </c>
      <c r="I695" s="95" t="n">
        <f aca="false">H695/H694-1</f>
        <v>-0.000291821696943084</v>
      </c>
    </row>
    <row r="696" customFormat="false" ht="18" hidden="false" customHeight="false" outlineLevel="0" collapsed="false">
      <c r="A696" s="89" t="n">
        <v>43725</v>
      </c>
      <c r="B696" s="90" t="n">
        <v>84.49</v>
      </c>
      <c r="C696" s="91" t="n">
        <f aca="false">B696/B695-1</f>
        <v>0.000592136428233081</v>
      </c>
      <c r="E696" s="93"/>
      <c r="F696" s="94"/>
      <c r="G696" s="93" t="n">
        <v>43687</v>
      </c>
      <c r="H696" s="94" t="n">
        <v>271.55</v>
      </c>
      <c r="I696" s="95" t="n">
        <f aca="false">H696/H695-1</f>
        <v>-0.00915857841348611</v>
      </c>
    </row>
    <row r="697" customFormat="false" ht="18" hidden="false" customHeight="false" outlineLevel="0" collapsed="false">
      <c r="A697" s="89" t="n">
        <v>43726</v>
      </c>
      <c r="B697" s="90" t="n">
        <v>84.39</v>
      </c>
      <c r="C697" s="91" t="n">
        <f aca="false">B697/B696-1</f>
        <v>-0.00118357202035735</v>
      </c>
      <c r="E697" s="93"/>
      <c r="F697" s="94"/>
      <c r="G697" s="93" t="n">
        <v>43690</v>
      </c>
      <c r="H697" s="94" t="n">
        <v>268.61</v>
      </c>
      <c r="I697" s="95" t="n">
        <f aca="false">H697/H696-1</f>
        <v>-0.0108267354078438</v>
      </c>
    </row>
    <row r="698" customFormat="false" ht="18" hidden="false" customHeight="false" outlineLevel="0" collapsed="false">
      <c r="A698" s="89" t="n">
        <v>43727</v>
      </c>
      <c r="B698" s="90" t="n">
        <v>84.32</v>
      </c>
      <c r="C698" s="91" t="n">
        <f aca="false">B698/B697-1</f>
        <v>-0.000829482166133544</v>
      </c>
      <c r="E698" s="93"/>
      <c r="F698" s="94"/>
      <c r="G698" s="93" t="n">
        <v>43691</v>
      </c>
      <c r="H698" s="94" t="n">
        <v>267.47</v>
      </c>
      <c r="I698" s="95" t="n">
        <f aca="false">H698/H697-1</f>
        <v>-0.00424407133018123</v>
      </c>
    </row>
    <row r="699" customFormat="false" ht="18" hidden="false" customHeight="false" outlineLevel="0" collapsed="false">
      <c r="A699" s="89" t="n">
        <v>43728</v>
      </c>
      <c r="B699" s="90" t="n">
        <v>83.47</v>
      </c>
      <c r="C699" s="91" t="n">
        <f aca="false">B699/B698-1</f>
        <v>-0.0100806451612903</v>
      </c>
      <c r="E699" s="93"/>
      <c r="F699" s="94"/>
      <c r="G699" s="93" t="n">
        <v>43692</v>
      </c>
      <c r="H699" s="94" t="n">
        <v>266.51</v>
      </c>
      <c r="I699" s="95" t="n">
        <f aca="false">H699/H698-1</f>
        <v>-0.0035891875724382</v>
      </c>
    </row>
    <row r="700" customFormat="false" ht="18" hidden="false" customHeight="false" outlineLevel="0" collapsed="false">
      <c r="A700" s="89" t="n">
        <v>43729</v>
      </c>
      <c r="B700" s="90" t="n">
        <v>83.81</v>
      </c>
      <c r="C700" s="91" t="n">
        <f aca="false">B700/B699-1</f>
        <v>0.00407331975560088</v>
      </c>
      <c r="E700" s="93"/>
      <c r="F700" s="94"/>
      <c r="G700" s="93" t="n">
        <v>43693</v>
      </c>
      <c r="H700" s="94" t="n">
        <v>266.16</v>
      </c>
      <c r="I700" s="95" t="n">
        <f aca="false">H700/H699-1</f>
        <v>-0.00131327154703376</v>
      </c>
    </row>
    <row r="701" customFormat="false" ht="18" hidden="false" customHeight="false" outlineLevel="0" collapsed="false">
      <c r="A701" s="89" t="n">
        <v>43732</v>
      </c>
      <c r="B701" s="90" t="n">
        <v>83.33</v>
      </c>
      <c r="C701" s="91" t="n">
        <f aca="false">B701/B700-1</f>
        <v>-0.00572724018613535</v>
      </c>
      <c r="E701" s="93"/>
      <c r="F701" s="94"/>
      <c r="G701" s="93" t="n">
        <v>43694</v>
      </c>
      <c r="H701" s="94" t="n">
        <v>263.7</v>
      </c>
      <c r="I701" s="95" t="n">
        <f aca="false">H701/H700-1</f>
        <v>-0.0092425608656449</v>
      </c>
    </row>
    <row r="702" customFormat="false" ht="18" hidden="false" customHeight="false" outlineLevel="0" collapsed="false">
      <c r="A702" s="89" t="n">
        <v>43733</v>
      </c>
      <c r="B702" s="90" t="n">
        <v>82.78</v>
      </c>
      <c r="C702" s="91" t="n">
        <f aca="false">B702/B701-1</f>
        <v>-0.00660026401056035</v>
      </c>
      <c r="E702" s="93"/>
      <c r="F702" s="94"/>
      <c r="G702" s="93" t="n">
        <v>43697</v>
      </c>
      <c r="H702" s="94" t="n">
        <v>262.63</v>
      </c>
      <c r="I702" s="95" t="n">
        <f aca="false">H702/H701-1</f>
        <v>-0.00405764125900643</v>
      </c>
    </row>
    <row r="703" customFormat="false" ht="18" hidden="false" customHeight="false" outlineLevel="0" collapsed="false">
      <c r="A703" s="89" t="n">
        <v>43734</v>
      </c>
      <c r="B703" s="90" t="n">
        <v>82.42</v>
      </c>
      <c r="C703" s="91" t="n">
        <f aca="false">B703/B702-1</f>
        <v>-0.00434887654022709</v>
      </c>
      <c r="E703" s="93"/>
      <c r="F703" s="94"/>
      <c r="G703" s="93" t="n">
        <v>43698</v>
      </c>
      <c r="H703" s="94" t="n">
        <v>264.44</v>
      </c>
      <c r="I703" s="95" t="n">
        <f aca="false">H703/H702-1</f>
        <v>0.00689182500095198</v>
      </c>
    </row>
    <row r="704" customFormat="false" ht="18" hidden="false" customHeight="false" outlineLevel="0" collapsed="false">
      <c r="A704" s="89" t="n">
        <v>43735</v>
      </c>
      <c r="B704" s="90" t="n">
        <v>82.61</v>
      </c>
      <c r="C704" s="91" t="n">
        <f aca="false">B704/B703-1</f>
        <v>0.0023052657122058</v>
      </c>
      <c r="E704" s="93"/>
      <c r="F704" s="94"/>
      <c r="G704" s="93" t="n">
        <v>43699</v>
      </c>
      <c r="H704" s="94" t="n">
        <v>265.56</v>
      </c>
      <c r="I704" s="95" t="n">
        <f aca="false">H704/H703-1</f>
        <v>0.00423536530025714</v>
      </c>
    </row>
    <row r="705" customFormat="false" ht="18" hidden="false" customHeight="false" outlineLevel="0" collapsed="false">
      <c r="A705" s="89" t="n">
        <v>43736</v>
      </c>
      <c r="B705" s="90" t="n">
        <v>82.52</v>
      </c>
      <c r="C705" s="91" t="n">
        <f aca="false">B705/B704-1</f>
        <v>-0.0010894564822661</v>
      </c>
      <c r="E705" s="93"/>
      <c r="F705" s="94"/>
      <c r="G705" s="93" t="n">
        <v>43700</v>
      </c>
      <c r="H705" s="94" t="n">
        <v>267.78</v>
      </c>
      <c r="I705" s="95" t="n">
        <f aca="false">H705/H704-1</f>
        <v>0.00835969272480774</v>
      </c>
    </row>
    <row r="706" customFormat="false" ht="18" hidden="false" customHeight="false" outlineLevel="0" collapsed="false">
      <c r="A706" s="89" t="n">
        <v>43739</v>
      </c>
      <c r="B706" s="90" t="n">
        <v>81.27</v>
      </c>
      <c r="C706" s="91" t="n">
        <f aca="false">B706/B705-1</f>
        <v>-0.0151478429471643</v>
      </c>
      <c r="E706" s="93"/>
      <c r="F706" s="94"/>
      <c r="G706" s="93" t="n">
        <v>43701</v>
      </c>
      <c r="H706" s="94" t="n">
        <v>265.19</v>
      </c>
      <c r="I706" s="95" t="n">
        <f aca="false">H706/H705-1</f>
        <v>-0.00967211890357744</v>
      </c>
    </row>
    <row r="707" customFormat="false" ht="18" hidden="false" customHeight="false" outlineLevel="0" collapsed="false">
      <c r="A707" s="89" t="n">
        <v>43740</v>
      </c>
      <c r="B707" s="90" t="n">
        <v>80.36</v>
      </c>
      <c r="C707" s="91" t="n">
        <f aca="false">B707/B706-1</f>
        <v>-0.0111972437553832</v>
      </c>
      <c r="E707" s="93"/>
      <c r="F707" s="94"/>
      <c r="G707" s="93" t="n">
        <v>43704</v>
      </c>
      <c r="H707" s="94" t="n">
        <v>266.92</v>
      </c>
      <c r="I707" s="95" t="n">
        <f aca="false">H707/H706-1</f>
        <v>0.00652362457106226</v>
      </c>
    </row>
    <row r="708" customFormat="false" ht="18" hidden="false" customHeight="false" outlineLevel="0" collapsed="false">
      <c r="A708" s="89" t="n">
        <v>43741</v>
      </c>
      <c r="B708" s="90" t="n">
        <v>80.74</v>
      </c>
      <c r="C708" s="91" t="n">
        <f aca="false">B708/B707-1</f>
        <v>0.00472872075659536</v>
      </c>
      <c r="E708" s="93"/>
      <c r="F708" s="94"/>
      <c r="G708" s="93" t="n">
        <v>43705</v>
      </c>
      <c r="H708" s="94" t="n">
        <v>269.68</v>
      </c>
      <c r="I708" s="95" t="n">
        <f aca="false">H708/H707-1</f>
        <v>0.0103401768320095</v>
      </c>
    </row>
    <row r="709" customFormat="false" ht="18" hidden="false" customHeight="false" outlineLevel="0" collapsed="false">
      <c r="A709" s="89" t="n">
        <v>43742</v>
      </c>
      <c r="B709" s="90" t="n">
        <v>80.71</v>
      </c>
      <c r="C709" s="91" t="n">
        <f aca="false">B709/B708-1</f>
        <v>-0.00037156304186281</v>
      </c>
      <c r="E709" s="93"/>
      <c r="F709" s="94"/>
      <c r="G709" s="93" t="n">
        <v>43706</v>
      </c>
      <c r="H709" s="94" t="n">
        <v>269.99</v>
      </c>
      <c r="I709" s="95" t="n">
        <f aca="false">H709/H708-1</f>
        <v>0.00114951053099976</v>
      </c>
    </row>
    <row r="710" customFormat="false" ht="18" hidden="false" customHeight="false" outlineLevel="0" collapsed="false">
      <c r="A710" s="89" t="n">
        <v>43743</v>
      </c>
      <c r="B710" s="90" t="n">
        <v>80.74</v>
      </c>
      <c r="C710" s="91" t="n">
        <f aca="false">B710/B709-1</f>
        <v>0.000371701152273696</v>
      </c>
      <c r="E710" s="93"/>
      <c r="F710" s="94"/>
      <c r="G710" s="93" t="n">
        <v>43707</v>
      </c>
      <c r="H710" s="94" t="n">
        <v>267.94</v>
      </c>
      <c r="I710" s="95" t="n">
        <f aca="false">H710/H709-1</f>
        <v>-0.00759287381014118</v>
      </c>
    </row>
    <row r="711" customFormat="false" ht="18" hidden="false" customHeight="false" outlineLevel="0" collapsed="false">
      <c r="A711" s="89" t="n">
        <v>43746</v>
      </c>
      <c r="B711" s="90" t="n">
        <v>81.14</v>
      </c>
      <c r="C711" s="91" t="n">
        <f aca="false">B711/B710-1</f>
        <v>0.00495417389150377</v>
      </c>
      <c r="E711" s="93"/>
      <c r="F711" s="94"/>
      <c r="G711" s="93" t="n">
        <v>43708</v>
      </c>
      <c r="H711" s="94" t="n">
        <v>269.08</v>
      </c>
      <c r="I711" s="95" t="n">
        <f aca="false">H711/H710-1</f>
        <v>0.00425468388445172</v>
      </c>
    </row>
    <row r="712" customFormat="false" ht="18" hidden="false" customHeight="false" outlineLevel="0" collapsed="false">
      <c r="A712" s="89" t="n">
        <v>43747</v>
      </c>
      <c r="B712" s="90" t="n">
        <v>81.27</v>
      </c>
      <c r="C712" s="91" t="n">
        <f aca="false">B712/B711-1</f>
        <v>0.00160216909046085</v>
      </c>
      <c r="E712" s="93"/>
      <c r="F712" s="94"/>
      <c r="G712" s="93" t="n">
        <v>43711</v>
      </c>
      <c r="H712" s="94" t="n">
        <v>271.71</v>
      </c>
      <c r="I712" s="95" t="n">
        <f aca="false">H712/H711-1</f>
        <v>0.00977404489371181</v>
      </c>
    </row>
    <row r="713" customFormat="false" ht="18" hidden="false" customHeight="false" outlineLevel="0" collapsed="false">
      <c r="A713" s="89" t="n">
        <v>43748</v>
      </c>
      <c r="B713" s="90" t="n">
        <v>81.93</v>
      </c>
      <c r="C713" s="91" t="n">
        <f aca="false">B713/B712-1</f>
        <v>0.0081210778885199</v>
      </c>
      <c r="E713" s="93"/>
      <c r="F713" s="94"/>
      <c r="G713" s="93" t="n">
        <v>43712</v>
      </c>
      <c r="H713" s="94" t="n">
        <v>269.5</v>
      </c>
      <c r="I713" s="95" t="n">
        <f aca="false">H713/H712-1</f>
        <v>-0.00813367192963077</v>
      </c>
    </row>
    <row r="714" customFormat="false" ht="18" hidden="false" customHeight="false" outlineLevel="0" collapsed="false">
      <c r="A714" s="89" t="n">
        <v>43749</v>
      </c>
      <c r="B714" s="90" t="n">
        <v>81.07</v>
      </c>
      <c r="C714" s="91" t="n">
        <f aca="false">B714/B713-1</f>
        <v>-0.0104967655315515</v>
      </c>
      <c r="E714" s="93"/>
      <c r="F714" s="94"/>
      <c r="G714" s="93" t="n">
        <v>43713</v>
      </c>
      <c r="H714" s="94" t="n">
        <v>268.59</v>
      </c>
      <c r="I714" s="95" t="n">
        <f aca="false">H714/H713-1</f>
        <v>-0.00337662337662348</v>
      </c>
    </row>
    <row r="715" customFormat="false" ht="18" hidden="false" customHeight="false" outlineLevel="0" collapsed="false">
      <c r="A715" s="89" t="n">
        <v>43750</v>
      </c>
      <c r="B715" s="90" t="n">
        <v>81.3</v>
      </c>
      <c r="C715" s="91" t="n">
        <f aca="false">B715/B714-1</f>
        <v>0.00283705439743431</v>
      </c>
      <c r="E715" s="93"/>
      <c r="F715" s="94"/>
      <c r="G715" s="93" t="n">
        <v>43714</v>
      </c>
      <c r="H715" s="94" t="n">
        <v>266.77</v>
      </c>
      <c r="I715" s="95" t="n">
        <f aca="false">H715/H714-1</f>
        <v>-0.00677612718269482</v>
      </c>
    </row>
    <row r="716" customFormat="false" ht="18" hidden="false" customHeight="false" outlineLevel="0" collapsed="false">
      <c r="A716" s="89" t="n">
        <v>43753</v>
      </c>
      <c r="B716" s="90" t="n">
        <v>81.21</v>
      </c>
      <c r="C716" s="91" t="n">
        <f aca="false">B716/B715-1</f>
        <v>-0.0011070110701108</v>
      </c>
      <c r="E716" s="93"/>
      <c r="F716" s="94"/>
      <c r="G716" s="93" t="n">
        <v>43715</v>
      </c>
      <c r="H716" s="94" t="n">
        <v>267.02</v>
      </c>
      <c r="I716" s="95" t="n">
        <f aca="false">H716/H715-1</f>
        <v>0.000937136859467058</v>
      </c>
    </row>
    <row r="717" customFormat="false" ht="18" hidden="false" customHeight="false" outlineLevel="0" collapsed="false">
      <c r="A717" s="89" t="n">
        <v>43754</v>
      </c>
      <c r="B717" s="90" t="n">
        <v>80.82</v>
      </c>
      <c r="C717" s="91" t="n">
        <f aca="false">B717/B716-1</f>
        <v>-0.004802364240857</v>
      </c>
      <c r="E717" s="93"/>
      <c r="F717" s="94"/>
      <c r="G717" s="93" t="n">
        <v>43718</v>
      </c>
      <c r="H717" s="94" t="n">
        <v>268.09</v>
      </c>
      <c r="I717" s="95" t="n">
        <f aca="false">H717/H716-1</f>
        <v>0.00400719047262377</v>
      </c>
    </row>
    <row r="718" customFormat="false" ht="18" hidden="false" customHeight="false" outlineLevel="0" collapsed="false">
      <c r="A718" s="89" t="n">
        <v>43755</v>
      </c>
      <c r="B718" s="90" t="n">
        <v>80.3</v>
      </c>
      <c r="C718" s="91" t="n">
        <f aca="false">B718/B717-1</f>
        <v>-0.00643405097748073</v>
      </c>
      <c r="E718" s="93"/>
      <c r="F718" s="94"/>
      <c r="G718" s="93" t="n">
        <v>43719</v>
      </c>
      <c r="H718" s="94" t="n">
        <v>267.32</v>
      </c>
      <c r="I718" s="95" t="n">
        <f aca="false">H718/H717-1</f>
        <v>-0.00287216979372595</v>
      </c>
    </row>
    <row r="719" customFormat="false" ht="18" hidden="false" customHeight="false" outlineLevel="0" collapsed="false">
      <c r="A719" s="89" t="n">
        <v>43756</v>
      </c>
      <c r="B719" s="90" t="n">
        <v>79.71</v>
      </c>
      <c r="C719" s="91" t="n">
        <f aca="false">B719/B718-1</f>
        <v>-0.00734744707347457</v>
      </c>
      <c r="E719" s="93"/>
      <c r="F719" s="94"/>
      <c r="G719" s="93" t="n">
        <v>43720</v>
      </c>
      <c r="H719" s="94" t="n">
        <v>267.22</v>
      </c>
      <c r="I719" s="95" t="n">
        <f aca="false">H719/H718-1</f>
        <v>-0.000374083495436106</v>
      </c>
    </row>
    <row r="720" customFormat="false" ht="18" hidden="false" customHeight="false" outlineLevel="0" collapsed="false">
      <c r="A720" s="89" t="n">
        <v>43757</v>
      </c>
      <c r="B720" s="90" t="n">
        <v>80.15</v>
      </c>
      <c r="C720" s="91" t="n">
        <f aca="false">B720/B719-1</f>
        <v>0.00552001003638214</v>
      </c>
      <c r="E720" s="93"/>
      <c r="F720" s="94"/>
      <c r="G720" s="93" t="n">
        <v>43721</v>
      </c>
      <c r="H720" s="94" t="n">
        <v>268.83</v>
      </c>
      <c r="I720" s="95" t="n">
        <f aca="false">H720/H719-1</f>
        <v>0.00602499812888246</v>
      </c>
    </row>
    <row r="721" customFormat="false" ht="18" hidden="false" customHeight="false" outlineLevel="0" collapsed="false">
      <c r="A721" s="89" t="n">
        <v>43760</v>
      </c>
      <c r="B721" s="90" t="n">
        <v>80.61</v>
      </c>
      <c r="C721" s="91" t="n">
        <f aca="false">B721/B720-1</f>
        <v>0.00573923892701167</v>
      </c>
      <c r="E721" s="93"/>
      <c r="F721" s="94"/>
      <c r="G721" s="93" t="n">
        <v>43722</v>
      </c>
      <c r="H721" s="94" t="n">
        <v>269.11</v>
      </c>
      <c r="I721" s="95" t="n">
        <f aca="false">H721/H720-1</f>
        <v>0.00104155042220011</v>
      </c>
    </row>
    <row r="722" customFormat="false" ht="18" hidden="false" customHeight="false" outlineLevel="0" collapsed="false">
      <c r="A722" s="89" t="n">
        <v>43761</v>
      </c>
      <c r="B722" s="90" t="n">
        <v>81.25</v>
      </c>
      <c r="C722" s="91" t="n">
        <f aca="false">B722/B721-1</f>
        <v>0.00793946160525993</v>
      </c>
      <c r="E722" s="93"/>
      <c r="F722" s="94"/>
      <c r="G722" s="93" t="n">
        <v>43725</v>
      </c>
      <c r="H722" s="94" t="n">
        <v>267.07</v>
      </c>
      <c r="I722" s="95" t="n">
        <f aca="false">H722/H721-1</f>
        <v>-0.00758054327226787</v>
      </c>
    </row>
    <row r="723" customFormat="false" ht="18" hidden="false" customHeight="false" outlineLevel="0" collapsed="false">
      <c r="A723" s="89" t="n">
        <v>43762</v>
      </c>
      <c r="B723" s="90" t="n">
        <v>80.64</v>
      </c>
      <c r="C723" s="91" t="n">
        <f aca="false">B723/B722-1</f>
        <v>-0.00750769230769233</v>
      </c>
      <c r="E723" s="93"/>
      <c r="F723" s="94"/>
      <c r="G723" s="93" t="n">
        <v>43726</v>
      </c>
      <c r="H723" s="94" t="n">
        <v>266.76</v>
      </c>
      <c r="I723" s="95" t="n">
        <f aca="false">H723/H722-1</f>
        <v>-0.00116074437413416</v>
      </c>
    </row>
    <row r="724" customFormat="false" ht="18" hidden="false" customHeight="false" outlineLevel="0" collapsed="false">
      <c r="A724" s="89" t="n">
        <v>43763</v>
      </c>
      <c r="B724" s="90" t="n">
        <v>80.96</v>
      </c>
      <c r="C724" s="91" t="n">
        <f aca="false">B724/B723-1</f>
        <v>0.00396825396825395</v>
      </c>
      <c r="E724" s="93"/>
      <c r="F724" s="94"/>
      <c r="G724" s="93" t="n">
        <v>43727</v>
      </c>
      <c r="H724" s="94" t="n">
        <v>265.62</v>
      </c>
      <c r="I724" s="95" t="n">
        <f aca="false">H724/H723-1</f>
        <v>-0.00427350427350426</v>
      </c>
    </row>
    <row r="725" customFormat="false" ht="18" hidden="false" customHeight="false" outlineLevel="0" collapsed="false">
      <c r="A725" s="89" t="n">
        <v>43764</v>
      </c>
      <c r="B725" s="90" t="n">
        <v>81</v>
      </c>
      <c r="C725" s="91" t="n">
        <f aca="false">B725/B724-1</f>
        <v>0.000494071146245112</v>
      </c>
      <c r="E725" s="93"/>
      <c r="F725" s="94"/>
      <c r="G725" s="93" t="n">
        <v>43728</v>
      </c>
      <c r="H725" s="94" t="n">
        <v>262.12</v>
      </c>
      <c r="I725" s="95" t="n">
        <f aca="false">H725/H724-1</f>
        <v>-0.0131767186205858</v>
      </c>
    </row>
    <row r="726" customFormat="false" ht="18" hidden="false" customHeight="false" outlineLevel="0" collapsed="false">
      <c r="A726" s="89" t="n">
        <v>43767</v>
      </c>
      <c r="B726" s="90" t="n">
        <v>81.21</v>
      </c>
      <c r="C726" s="91" t="n">
        <f aca="false">B726/B725-1</f>
        <v>0.00259259259259248</v>
      </c>
      <c r="E726" s="93"/>
      <c r="F726" s="94"/>
      <c r="G726" s="93" t="n">
        <v>43729</v>
      </c>
      <c r="H726" s="94" t="n">
        <v>264.29</v>
      </c>
      <c r="I726" s="95" t="n">
        <f aca="false">H726/H725-1</f>
        <v>0.00827865099954228</v>
      </c>
    </row>
    <row r="727" customFormat="false" ht="18" hidden="false" customHeight="false" outlineLevel="0" collapsed="false">
      <c r="A727" s="89" t="n">
        <v>43768</v>
      </c>
      <c r="B727" s="90" t="n">
        <v>81.19</v>
      </c>
      <c r="C727" s="91" t="n">
        <f aca="false">B727/B726-1</f>
        <v>-0.000246275089274661</v>
      </c>
      <c r="E727" s="93"/>
      <c r="F727" s="94"/>
      <c r="G727" s="93" t="n">
        <v>43732</v>
      </c>
      <c r="H727" s="94" t="n">
        <v>262.67</v>
      </c>
      <c r="I727" s="95" t="n">
        <f aca="false">H727/H726-1</f>
        <v>-0.00612963033031899</v>
      </c>
    </row>
    <row r="728" customFormat="false" ht="18" hidden="false" customHeight="false" outlineLevel="0" collapsed="false">
      <c r="A728" s="89" t="n">
        <v>43769</v>
      </c>
      <c r="B728" s="90" t="n">
        <v>81.89</v>
      </c>
      <c r="C728" s="91" t="n">
        <f aca="false">B728/B727-1</f>
        <v>0.00862175144722266</v>
      </c>
      <c r="E728" s="93"/>
      <c r="F728" s="94"/>
      <c r="G728" s="93" t="n">
        <v>43733</v>
      </c>
      <c r="H728" s="94" t="n">
        <v>260.52</v>
      </c>
      <c r="I728" s="95" t="n">
        <f aca="false">H728/H727-1</f>
        <v>-0.00818517531503415</v>
      </c>
    </row>
    <row r="729" customFormat="false" ht="18" hidden="false" customHeight="false" outlineLevel="0" collapsed="false">
      <c r="A729" s="89" t="n">
        <v>43770</v>
      </c>
      <c r="B729" s="90" t="n">
        <v>82.71</v>
      </c>
      <c r="C729" s="91" t="n">
        <f aca="false">B729/B728-1</f>
        <v>0.0100134326535595</v>
      </c>
      <c r="E729" s="93"/>
      <c r="F729" s="94"/>
      <c r="G729" s="93" t="n">
        <v>43734</v>
      </c>
      <c r="H729" s="94" t="n">
        <v>260.96</v>
      </c>
      <c r="I729" s="95" t="n">
        <f aca="false">H729/H728-1</f>
        <v>0.00168892983264235</v>
      </c>
    </row>
    <row r="730" customFormat="false" ht="18" hidden="false" customHeight="false" outlineLevel="0" collapsed="false">
      <c r="A730" s="89" t="n">
        <v>43771</v>
      </c>
      <c r="B730" s="90" t="n">
        <v>83.52</v>
      </c>
      <c r="C730" s="91" t="n">
        <f aca="false">B730/B729-1</f>
        <v>0.00979325353645266</v>
      </c>
      <c r="E730" s="93"/>
      <c r="F730" s="94"/>
      <c r="G730" s="93" t="n">
        <v>43735</v>
      </c>
      <c r="H730" s="94" t="n">
        <v>260.06</v>
      </c>
      <c r="I730" s="95" t="n">
        <f aca="false">H730/H729-1</f>
        <v>-0.0034488044144696</v>
      </c>
    </row>
    <row r="731" customFormat="false" ht="18" hidden="false" customHeight="false" outlineLevel="0" collapsed="false">
      <c r="A731" s="89" t="n">
        <v>43774</v>
      </c>
      <c r="B731" s="90" t="n">
        <v>82.83</v>
      </c>
      <c r="C731" s="91" t="n">
        <f aca="false">B731/B730-1</f>
        <v>-0.00826149425287359</v>
      </c>
      <c r="E731" s="93"/>
      <c r="F731" s="94"/>
      <c r="G731" s="93" t="n">
        <v>43736</v>
      </c>
      <c r="H731" s="94" t="n">
        <v>262.4</v>
      </c>
      <c r="I731" s="95" t="n">
        <f aca="false">H731/H730-1</f>
        <v>0.00899792355610241</v>
      </c>
    </row>
    <row r="732" customFormat="false" ht="18" hidden="false" customHeight="false" outlineLevel="0" collapsed="false">
      <c r="A732" s="89" t="n">
        <v>43775</v>
      </c>
      <c r="B732" s="90" t="n">
        <v>83.11</v>
      </c>
      <c r="C732" s="91" t="n">
        <f aca="false">B732/B731-1</f>
        <v>0.0033804177230472</v>
      </c>
      <c r="E732" s="93"/>
      <c r="F732" s="94"/>
      <c r="G732" s="93" t="n">
        <v>43739</v>
      </c>
      <c r="H732" s="94" t="n">
        <v>262</v>
      </c>
      <c r="I732" s="95" t="n">
        <f aca="false">H732/H731-1</f>
        <v>-0.00152439024390239</v>
      </c>
    </row>
    <row r="733" customFormat="false" ht="18" hidden="false" customHeight="false" outlineLevel="0" collapsed="false">
      <c r="A733" s="89" t="n">
        <v>43776</v>
      </c>
      <c r="B733" s="90" t="n">
        <v>83.27</v>
      </c>
      <c r="C733" s="91" t="n">
        <f aca="false">B733/B732-1</f>
        <v>0.00192515942726512</v>
      </c>
      <c r="E733" s="93"/>
      <c r="F733" s="94"/>
      <c r="G733" s="93" t="n">
        <v>43740</v>
      </c>
      <c r="H733" s="94" t="n">
        <v>258.64</v>
      </c>
      <c r="I733" s="95" t="n">
        <f aca="false">H733/H732-1</f>
        <v>-0.0128244274809161</v>
      </c>
    </row>
    <row r="734" customFormat="false" ht="18" hidden="false" customHeight="false" outlineLevel="0" collapsed="false">
      <c r="A734" s="89" t="n">
        <v>43777</v>
      </c>
      <c r="B734" s="90" t="n">
        <v>82.42</v>
      </c>
      <c r="C734" s="91" t="n">
        <f aca="false">B734/B733-1</f>
        <v>-0.0102077578960009</v>
      </c>
      <c r="E734" s="93"/>
      <c r="F734" s="94"/>
      <c r="G734" s="93" t="n">
        <v>43741</v>
      </c>
      <c r="H734" s="94" t="n">
        <v>256.56</v>
      </c>
      <c r="I734" s="95" t="n">
        <f aca="false">H734/H733-1</f>
        <v>-0.00804206619239089</v>
      </c>
    </row>
    <row r="735" customFormat="false" ht="18" hidden="false" customHeight="false" outlineLevel="0" collapsed="false">
      <c r="A735" s="89" t="n">
        <v>43778</v>
      </c>
      <c r="B735" s="90" t="n">
        <v>82.78</v>
      </c>
      <c r="C735" s="91" t="n">
        <f aca="false">B735/B734-1</f>
        <v>0.00436787187575827</v>
      </c>
      <c r="E735" s="93"/>
      <c r="F735" s="94"/>
      <c r="G735" s="93" t="n">
        <v>43742</v>
      </c>
      <c r="H735" s="94" t="n">
        <v>257.05</v>
      </c>
      <c r="I735" s="95" t="n">
        <f aca="false">H735/H734-1</f>
        <v>0.00190988462737773</v>
      </c>
    </row>
    <row r="736" customFormat="false" ht="18" hidden="false" customHeight="false" outlineLevel="0" collapsed="false">
      <c r="A736" s="89" t="n">
        <v>43781</v>
      </c>
      <c r="B736" s="90" t="n">
        <v>82.34</v>
      </c>
      <c r="C736" s="91" t="n">
        <f aca="false">B736/B735-1</f>
        <v>-0.00531529354916649</v>
      </c>
      <c r="E736" s="93"/>
      <c r="F736" s="94"/>
      <c r="G736" s="93" t="n">
        <v>43743</v>
      </c>
      <c r="H736" s="94" t="n">
        <v>258.93</v>
      </c>
      <c r="I736" s="95" t="n">
        <f aca="false">H736/H735-1</f>
        <v>0.00731375218829022</v>
      </c>
    </row>
    <row r="737" customFormat="false" ht="18" hidden="false" customHeight="false" outlineLevel="0" collapsed="false">
      <c r="A737" s="89" t="n">
        <v>43782</v>
      </c>
      <c r="B737" s="90" t="n">
        <v>83.77</v>
      </c>
      <c r="C737" s="91" t="n">
        <f aca="false">B737/B736-1</f>
        <v>0.0173670148166138</v>
      </c>
      <c r="E737" s="93"/>
      <c r="F737" s="94"/>
      <c r="G737" s="93" t="n">
        <v>43746</v>
      </c>
      <c r="H737" s="94" t="n">
        <v>258.01</v>
      </c>
      <c r="I737" s="95" t="n">
        <f aca="false">H737/H736-1</f>
        <v>-0.00355308384505471</v>
      </c>
    </row>
    <row r="738" customFormat="false" ht="18" hidden="false" customHeight="false" outlineLevel="0" collapsed="false">
      <c r="A738" s="89" t="n">
        <v>43783</v>
      </c>
      <c r="B738" s="90" t="n">
        <v>83.25</v>
      </c>
      <c r="C738" s="91" t="n">
        <f aca="false">B738/B737-1</f>
        <v>-0.00620747284230627</v>
      </c>
      <c r="E738" s="93"/>
      <c r="F738" s="94"/>
      <c r="G738" s="93" t="n">
        <v>43747</v>
      </c>
      <c r="H738" s="94" t="n">
        <v>260.68</v>
      </c>
      <c r="I738" s="95" t="n">
        <f aca="false">H738/H737-1</f>
        <v>0.0103484361071278</v>
      </c>
    </row>
    <row r="739" customFormat="false" ht="18" hidden="false" customHeight="false" outlineLevel="0" collapsed="false">
      <c r="A739" s="89" t="n">
        <v>43784</v>
      </c>
      <c r="B739" s="90" t="n">
        <v>83.94</v>
      </c>
      <c r="C739" s="91" t="n">
        <f aca="false">B739/B738-1</f>
        <v>0.0082882882882882</v>
      </c>
      <c r="E739" s="93"/>
      <c r="F739" s="94"/>
      <c r="G739" s="93" t="n">
        <v>43748</v>
      </c>
      <c r="H739" s="94" t="n">
        <v>263.04</v>
      </c>
      <c r="I739" s="95" t="n">
        <f aca="false">H739/H738-1</f>
        <v>0.00905324535829366</v>
      </c>
    </row>
    <row r="740" customFormat="false" ht="18" hidden="false" customHeight="false" outlineLevel="0" collapsed="false">
      <c r="A740" s="89" t="n">
        <v>43785</v>
      </c>
      <c r="B740" s="90" t="n">
        <v>84.21</v>
      </c>
      <c r="C740" s="91" t="n">
        <f aca="false">B740/B739-1</f>
        <v>0.00321658327376695</v>
      </c>
      <c r="E740" s="93"/>
      <c r="F740" s="94"/>
      <c r="G740" s="93" t="n">
        <v>43749</v>
      </c>
      <c r="H740" s="94" t="n">
        <v>264.26</v>
      </c>
      <c r="I740" s="95" t="n">
        <f aca="false">H740/H739-1</f>
        <v>0.0046380778588806</v>
      </c>
    </row>
    <row r="741" customFormat="false" ht="18" hidden="false" customHeight="false" outlineLevel="0" collapsed="false">
      <c r="A741" s="89" t="n">
        <v>43788</v>
      </c>
      <c r="B741" s="90" t="n">
        <v>84.74</v>
      </c>
      <c r="C741" s="91" t="n">
        <f aca="false">B741/B740-1</f>
        <v>0.00629378933618341</v>
      </c>
      <c r="E741" s="93"/>
      <c r="F741" s="94"/>
      <c r="G741" s="93" t="n">
        <v>43750</v>
      </c>
      <c r="H741" s="94" t="n">
        <v>261.7</v>
      </c>
      <c r="I741" s="95" t="n">
        <f aca="false">H741/H740-1</f>
        <v>-0.00968742904715059</v>
      </c>
    </row>
    <row r="742" customFormat="false" ht="18" hidden="false" customHeight="false" outlineLevel="0" collapsed="false">
      <c r="A742" s="89" t="n">
        <v>43789</v>
      </c>
      <c r="B742" s="90" t="n">
        <v>84.74</v>
      </c>
      <c r="C742" s="91" t="n">
        <f aca="false">B742/B741-1</f>
        <v>0</v>
      </c>
      <c r="E742" s="93"/>
      <c r="F742" s="94"/>
      <c r="G742" s="93" t="n">
        <v>43753</v>
      </c>
      <c r="H742" s="94" t="n">
        <v>260.54</v>
      </c>
      <c r="I742" s="95" t="n">
        <f aca="false">H742/H741-1</f>
        <v>-0.00443255636224671</v>
      </c>
    </row>
    <row r="743" customFormat="false" ht="18" hidden="false" customHeight="false" outlineLevel="0" collapsed="false">
      <c r="A743" s="89" t="n">
        <v>43790</v>
      </c>
      <c r="B743" s="90" t="n">
        <v>85.16</v>
      </c>
      <c r="C743" s="91" t="n">
        <f aca="false">B743/B742-1</f>
        <v>0.00495633703091802</v>
      </c>
      <c r="E743" s="93"/>
      <c r="F743" s="94"/>
      <c r="G743" s="93" t="n">
        <v>43754</v>
      </c>
      <c r="H743" s="94" t="n">
        <v>261.52</v>
      </c>
      <c r="I743" s="95" t="n">
        <f aca="false">H743/H742-1</f>
        <v>0.00376141859215462</v>
      </c>
    </row>
    <row r="744" customFormat="false" ht="18" hidden="false" customHeight="false" outlineLevel="0" collapsed="false">
      <c r="A744" s="89" t="n">
        <v>43792</v>
      </c>
      <c r="B744" s="90" t="n">
        <v>84.99</v>
      </c>
      <c r="C744" s="91" t="n">
        <f aca="false">B744/B743-1</f>
        <v>-0.00199624236730867</v>
      </c>
      <c r="E744" s="93"/>
      <c r="F744" s="94"/>
      <c r="G744" s="93" t="n">
        <v>43755</v>
      </c>
      <c r="H744" s="94" t="n">
        <v>258.59</v>
      </c>
      <c r="I744" s="95" t="n">
        <f aca="false">H744/H743-1</f>
        <v>-0.0112037320281432</v>
      </c>
    </row>
    <row r="745" customFormat="false" ht="18" hidden="false" customHeight="false" outlineLevel="0" collapsed="false">
      <c r="A745" s="89" t="n">
        <v>43795</v>
      </c>
      <c r="B745" s="90" t="n">
        <v>85.36</v>
      </c>
      <c r="C745" s="91" t="n">
        <f aca="false">B745/B744-1</f>
        <v>0.00435345334745274</v>
      </c>
      <c r="E745" s="93"/>
      <c r="F745" s="94"/>
      <c r="G745" s="93" t="n">
        <v>43756</v>
      </c>
      <c r="H745" s="94" t="n">
        <v>256.02</v>
      </c>
      <c r="I745" s="95" t="n">
        <f aca="false">H745/H744-1</f>
        <v>-0.00993851270350743</v>
      </c>
    </row>
    <row r="746" customFormat="false" ht="18" hidden="false" customHeight="false" outlineLevel="0" collapsed="false">
      <c r="A746" s="89" t="n">
        <v>43796</v>
      </c>
      <c r="B746" s="90" t="n">
        <v>85.8</v>
      </c>
      <c r="C746" s="91" t="n">
        <f aca="false">B746/B745-1</f>
        <v>0.00515463917525771</v>
      </c>
      <c r="E746" s="93"/>
      <c r="F746" s="94"/>
      <c r="G746" s="93" t="n">
        <v>43757</v>
      </c>
      <c r="H746" s="94" t="n">
        <v>254.71</v>
      </c>
      <c r="I746" s="95" t="n">
        <f aca="false">H746/H745-1</f>
        <v>-0.00511678775095681</v>
      </c>
    </row>
    <row r="747" customFormat="false" ht="18" hidden="false" customHeight="false" outlineLevel="0" collapsed="false">
      <c r="A747" s="89" t="n">
        <v>43797</v>
      </c>
      <c r="B747" s="90" t="n">
        <v>86.48</v>
      </c>
      <c r="C747" s="91" t="n">
        <f aca="false">B747/B746-1</f>
        <v>0.00792540792540808</v>
      </c>
      <c r="E747" s="93"/>
      <c r="F747" s="94"/>
      <c r="G747" s="93" t="n">
        <v>43760</v>
      </c>
      <c r="H747" s="94" t="n">
        <v>252.58</v>
      </c>
      <c r="I747" s="95" t="n">
        <f aca="false">H747/H746-1</f>
        <v>-0.00836245141533509</v>
      </c>
    </row>
    <row r="748" customFormat="false" ht="18" hidden="false" customHeight="false" outlineLevel="0" collapsed="false">
      <c r="A748" s="89" t="n">
        <v>43798</v>
      </c>
      <c r="B748" s="90" t="n">
        <v>85.87</v>
      </c>
      <c r="C748" s="91" t="n">
        <f aca="false">B748/B747-1</f>
        <v>-0.00705365402405178</v>
      </c>
      <c r="E748" s="93"/>
      <c r="F748" s="94"/>
      <c r="G748" s="93" t="n">
        <v>43761</v>
      </c>
      <c r="H748" s="94" t="n">
        <v>252.8</v>
      </c>
      <c r="I748" s="95" t="n">
        <f aca="false">H748/H747-1</f>
        <v>0.000871011164779389</v>
      </c>
    </row>
    <row r="749" customFormat="false" ht="18" hidden="false" customHeight="false" outlineLevel="0" collapsed="false">
      <c r="A749" s="89" t="n">
        <v>43799</v>
      </c>
      <c r="B749" s="90" t="n">
        <v>86.85</v>
      </c>
      <c r="C749" s="91" t="n">
        <f aca="false">B749/B748-1</f>
        <v>0.0114126004425292</v>
      </c>
      <c r="E749" s="93"/>
      <c r="F749" s="94"/>
      <c r="G749" s="93" t="n">
        <v>43762</v>
      </c>
      <c r="H749" s="94" t="n">
        <v>253.1</v>
      </c>
      <c r="I749" s="95" t="n">
        <f aca="false">H749/H748-1</f>
        <v>0.00118670886075933</v>
      </c>
    </row>
    <row r="750" customFormat="false" ht="18" hidden="false" customHeight="false" outlineLevel="0" collapsed="false">
      <c r="A750" s="89" t="n">
        <v>43802</v>
      </c>
      <c r="B750" s="90" t="n">
        <v>86.25</v>
      </c>
      <c r="C750" s="91" t="n">
        <f aca="false">B750/B749-1</f>
        <v>-0.00690846286701208</v>
      </c>
      <c r="E750" s="93"/>
      <c r="F750" s="94"/>
      <c r="G750" s="93" t="n">
        <v>43763</v>
      </c>
      <c r="H750" s="94" t="n">
        <v>251.36</v>
      </c>
      <c r="I750" s="95" t="n">
        <f aca="false">H750/H749-1</f>
        <v>-0.00687475306203078</v>
      </c>
    </row>
    <row r="751" customFormat="false" ht="18" hidden="false" customHeight="false" outlineLevel="0" collapsed="false">
      <c r="A751" s="89" t="n">
        <v>43803</v>
      </c>
      <c r="B751" s="90" t="n">
        <v>86.75</v>
      </c>
      <c r="C751" s="91" t="n">
        <f aca="false">B751/B750-1</f>
        <v>0.00579710144927526</v>
      </c>
      <c r="E751" s="93"/>
      <c r="F751" s="94"/>
      <c r="G751" s="93" t="n">
        <v>43764</v>
      </c>
      <c r="H751" s="94" t="n">
        <v>253.85</v>
      </c>
      <c r="I751" s="95" t="n">
        <f aca="false">H751/H750-1</f>
        <v>0.00990611075747916</v>
      </c>
    </row>
    <row r="752" customFormat="false" ht="18" hidden="false" customHeight="false" outlineLevel="0" collapsed="false">
      <c r="A752" s="89" t="n">
        <v>43804</v>
      </c>
      <c r="B752" s="90" t="n">
        <v>87.23</v>
      </c>
      <c r="C752" s="91" t="n">
        <f aca="false">B752/B751-1</f>
        <v>0.00553314121037474</v>
      </c>
      <c r="E752" s="93"/>
      <c r="F752" s="94"/>
      <c r="G752" s="93" t="n">
        <v>43767</v>
      </c>
      <c r="H752" s="94" t="n">
        <v>254.42</v>
      </c>
      <c r="I752" s="95" t="n">
        <f aca="false">H752/H751-1</f>
        <v>0.00224542052393151</v>
      </c>
    </row>
    <row r="753" customFormat="false" ht="18" hidden="false" customHeight="false" outlineLevel="0" collapsed="false">
      <c r="A753" s="89" t="n">
        <v>43805</v>
      </c>
      <c r="B753" s="90" t="n">
        <v>87.14</v>
      </c>
      <c r="C753" s="91" t="n">
        <f aca="false">B753/B752-1</f>
        <v>-0.00103175513011577</v>
      </c>
      <c r="E753" s="93"/>
      <c r="F753" s="94"/>
      <c r="G753" s="93" t="n">
        <v>43768</v>
      </c>
      <c r="H753" s="94" t="n">
        <v>252.89</v>
      </c>
      <c r="I753" s="95" t="n">
        <f aca="false">H753/H752-1</f>
        <v>-0.00601367816995524</v>
      </c>
    </row>
    <row r="754" customFormat="false" ht="18" hidden="false" customHeight="false" outlineLevel="0" collapsed="false">
      <c r="A754" s="89" t="n">
        <v>43806</v>
      </c>
      <c r="B754" s="90" t="n">
        <v>86.84</v>
      </c>
      <c r="C754" s="91" t="n">
        <f aca="false">B754/B753-1</f>
        <v>-0.00344273582740418</v>
      </c>
      <c r="E754" s="93"/>
      <c r="F754" s="94"/>
      <c r="G754" s="93" t="n">
        <v>43769</v>
      </c>
      <c r="H754" s="94" t="n">
        <v>252.89</v>
      </c>
      <c r="I754" s="95" t="n">
        <f aca="false">H754/H753-1</f>
        <v>0</v>
      </c>
    </row>
    <row r="755" customFormat="false" ht="18" hidden="false" customHeight="false" outlineLevel="0" collapsed="false">
      <c r="A755" s="89" t="n">
        <v>43809</v>
      </c>
      <c r="B755" s="90" t="n">
        <v>86.7</v>
      </c>
      <c r="C755" s="91" t="n">
        <f aca="false">B755/B754-1</f>
        <v>-0.00161216029479505</v>
      </c>
      <c r="E755" s="93"/>
      <c r="F755" s="94"/>
      <c r="G755" s="93" t="n">
        <v>43770</v>
      </c>
      <c r="H755" s="94" t="n">
        <v>256.15</v>
      </c>
      <c r="I755" s="95" t="n">
        <f aca="false">H755/H754-1</f>
        <v>0.0128909802681008</v>
      </c>
    </row>
    <row r="756" customFormat="false" ht="18" hidden="false" customHeight="false" outlineLevel="0" collapsed="false">
      <c r="A756" s="89" t="n">
        <v>43810</v>
      </c>
      <c r="B756" s="90" t="n">
        <v>86.88</v>
      </c>
      <c r="C756" s="91" t="n">
        <f aca="false">B756/B755-1</f>
        <v>0.00207612456747386</v>
      </c>
      <c r="E756" s="93"/>
      <c r="F756" s="94"/>
      <c r="G756" s="93" t="n">
        <v>43771</v>
      </c>
      <c r="H756" s="94" t="n">
        <v>260.38</v>
      </c>
      <c r="I756" s="95" t="n">
        <f aca="false">H756/H755-1</f>
        <v>0.0165137614678901</v>
      </c>
    </row>
    <row r="757" customFormat="false" ht="18" hidden="false" customHeight="false" outlineLevel="0" collapsed="false">
      <c r="A757" s="89" t="n">
        <v>43811</v>
      </c>
      <c r="B757" s="90" t="n">
        <v>88.32</v>
      </c>
      <c r="C757" s="91" t="n">
        <f aca="false">B757/B756-1</f>
        <v>0.0165745856353592</v>
      </c>
      <c r="E757" s="93"/>
      <c r="F757" s="94"/>
      <c r="G757" s="93" t="n">
        <v>43774</v>
      </c>
      <c r="H757" s="94" t="n">
        <v>264.01</v>
      </c>
      <c r="I757" s="95" t="n">
        <f aca="false">H757/H756-1</f>
        <v>0.0139411629157384</v>
      </c>
    </row>
    <row r="758" customFormat="false" ht="18" hidden="false" customHeight="false" outlineLevel="0" collapsed="false">
      <c r="A758" s="89" t="n">
        <v>43812</v>
      </c>
      <c r="B758" s="90" t="n">
        <v>88.87</v>
      </c>
      <c r="C758" s="91" t="n">
        <f aca="false">B758/B757-1</f>
        <v>0.00622735507246386</v>
      </c>
      <c r="E758" s="93"/>
      <c r="F758" s="94"/>
      <c r="G758" s="93" t="n">
        <v>43775</v>
      </c>
      <c r="H758" s="94" t="n">
        <v>262.93</v>
      </c>
      <c r="I758" s="95" t="n">
        <f aca="false">H758/H757-1</f>
        <v>-0.00409075413810078</v>
      </c>
    </row>
    <row r="759" customFormat="false" ht="18" hidden="false" customHeight="false" outlineLevel="0" collapsed="false">
      <c r="A759" s="89" t="n">
        <v>43813</v>
      </c>
      <c r="B759" s="90" t="n">
        <v>88.75</v>
      </c>
      <c r="C759" s="91" t="n">
        <f aca="false">B759/B758-1</f>
        <v>-0.00135028693597394</v>
      </c>
      <c r="E759" s="93"/>
      <c r="F759" s="94"/>
      <c r="G759" s="93" t="n">
        <v>43776</v>
      </c>
      <c r="H759" s="94" t="n">
        <v>262.82</v>
      </c>
      <c r="I759" s="95" t="n">
        <f aca="false">H759/H758-1</f>
        <v>-0.000418362301753406</v>
      </c>
    </row>
    <row r="760" customFormat="false" ht="18" hidden="false" customHeight="false" outlineLevel="0" collapsed="false">
      <c r="A760" s="89" t="n">
        <v>43816</v>
      </c>
      <c r="B760" s="90" t="n">
        <v>88.77</v>
      </c>
      <c r="C760" s="91" t="n">
        <f aca="false">B760/B759-1</f>
        <v>0.000225352112676047</v>
      </c>
      <c r="E760" s="93"/>
      <c r="F760" s="94"/>
      <c r="G760" s="93" t="n">
        <v>43777</v>
      </c>
      <c r="H760" s="94" t="n">
        <v>262.14</v>
      </c>
      <c r="I760" s="95" t="n">
        <f aca="false">H760/H759-1</f>
        <v>-0.00258732212160417</v>
      </c>
    </row>
    <row r="761" customFormat="false" ht="18" hidden="false" customHeight="false" outlineLevel="0" collapsed="false">
      <c r="A761" s="89" t="n">
        <v>43817</v>
      </c>
      <c r="B761" s="90" t="n">
        <v>88.99</v>
      </c>
      <c r="C761" s="91" t="n">
        <f aca="false">B761/B760-1</f>
        <v>0.00247831474597282</v>
      </c>
      <c r="E761" s="93"/>
      <c r="F761" s="94"/>
      <c r="G761" s="93" t="n">
        <v>43778</v>
      </c>
      <c r="H761" s="94" t="n">
        <v>260.39</v>
      </c>
      <c r="I761" s="95" t="n">
        <f aca="false">H761/H760-1</f>
        <v>-0.00667582207980466</v>
      </c>
    </row>
    <row r="762" customFormat="false" ht="18" hidden="false" customHeight="false" outlineLevel="0" collapsed="false">
      <c r="A762" s="89" t="n">
        <v>43818</v>
      </c>
      <c r="B762" s="90" t="n">
        <v>89</v>
      </c>
      <c r="C762" s="91" t="n">
        <f aca="false">B762/B761-1</f>
        <v>0.000112372176649167</v>
      </c>
      <c r="E762" s="93"/>
      <c r="F762" s="94"/>
      <c r="G762" s="93" t="n">
        <v>43781</v>
      </c>
      <c r="H762" s="94" t="n">
        <v>261.82</v>
      </c>
      <c r="I762" s="95" t="n">
        <f aca="false">H762/H761-1</f>
        <v>0.00549176235646542</v>
      </c>
    </row>
    <row r="763" customFormat="false" ht="18" hidden="false" customHeight="false" outlineLevel="0" collapsed="false">
      <c r="A763" s="89" t="n">
        <v>43819</v>
      </c>
      <c r="B763" s="90" t="n">
        <v>89.16</v>
      </c>
      <c r="C763" s="91" t="n">
        <f aca="false">B763/B762-1</f>
        <v>0.00179775280898875</v>
      </c>
      <c r="E763" s="93"/>
      <c r="F763" s="94"/>
      <c r="G763" s="93" t="n">
        <v>43782</v>
      </c>
      <c r="H763" s="94" t="n">
        <v>263.62</v>
      </c>
      <c r="I763" s="95" t="n">
        <f aca="false">H763/H762-1</f>
        <v>0.00687495225727597</v>
      </c>
    </row>
    <row r="764" customFormat="false" ht="18" hidden="false" customHeight="false" outlineLevel="0" collapsed="false">
      <c r="A764" s="89" t="n">
        <v>43820</v>
      </c>
      <c r="B764" s="90" t="n">
        <v>89.04</v>
      </c>
      <c r="C764" s="91" t="n">
        <f aca="false">B764/B763-1</f>
        <v>-0.00134589502018834</v>
      </c>
      <c r="E764" s="93"/>
      <c r="F764" s="94"/>
      <c r="G764" s="93" t="n">
        <v>43783</v>
      </c>
      <c r="H764" s="94" t="n">
        <v>268.76</v>
      </c>
      <c r="I764" s="95" t="n">
        <f aca="false">H764/H763-1</f>
        <v>0.0194977619300507</v>
      </c>
    </row>
    <row r="765" customFormat="false" ht="18" hidden="false" customHeight="false" outlineLevel="0" collapsed="false">
      <c r="A765" s="89" t="n">
        <v>43824</v>
      </c>
      <c r="B765" s="90" t="n">
        <v>89.36</v>
      </c>
      <c r="C765" s="91" t="n">
        <f aca="false">B765/B764-1</f>
        <v>0.00359389038634306</v>
      </c>
      <c r="E765" s="93"/>
      <c r="F765" s="94"/>
      <c r="G765" s="93" t="n">
        <v>43784</v>
      </c>
      <c r="H765" s="94" t="n">
        <v>268.39</v>
      </c>
      <c r="I765" s="95" t="n">
        <f aca="false">H765/H764-1</f>
        <v>-0.00137669296026199</v>
      </c>
    </row>
    <row r="766" customFormat="false" ht="18" hidden="false" customHeight="false" outlineLevel="0" collapsed="false">
      <c r="A766" s="89" t="n">
        <v>43825</v>
      </c>
      <c r="B766" s="90" t="n">
        <v>89.68</v>
      </c>
      <c r="C766" s="91" t="n">
        <f aca="false">B766/B765-1</f>
        <v>0.0035810205908684</v>
      </c>
      <c r="E766" s="93"/>
      <c r="F766" s="94"/>
      <c r="G766" s="93" t="n">
        <v>43785</v>
      </c>
      <c r="H766" s="94" t="n">
        <v>267.7</v>
      </c>
      <c r="I766" s="95" t="n">
        <f aca="false">H766/H765-1</f>
        <v>-0.00257088565147734</v>
      </c>
    </row>
    <row r="767" customFormat="false" ht="18" hidden="false" customHeight="false" outlineLevel="0" collapsed="false">
      <c r="A767" s="89" t="n">
        <v>43826</v>
      </c>
      <c r="B767" s="90" t="n">
        <v>89.43</v>
      </c>
      <c r="C767" s="91" t="n">
        <f aca="false">B767/B766-1</f>
        <v>-0.00278768956289033</v>
      </c>
      <c r="E767" s="93"/>
      <c r="F767" s="94"/>
      <c r="G767" s="93" t="n">
        <v>43788</v>
      </c>
      <c r="H767" s="94" t="n">
        <v>269.95</v>
      </c>
      <c r="I767" s="95" t="n">
        <f aca="false">H767/H766-1</f>
        <v>0.00840493089279049</v>
      </c>
    </row>
    <row r="768" customFormat="false" ht="18" hidden="false" customHeight="false" outlineLevel="0" collapsed="false">
      <c r="A768" s="89" t="n">
        <v>43827</v>
      </c>
      <c r="B768" s="90" t="n">
        <v>89.06</v>
      </c>
      <c r="C768" s="91" t="n">
        <f aca="false">B768/B767-1</f>
        <v>-0.00413731410041374</v>
      </c>
      <c r="E768" s="93"/>
      <c r="F768" s="94"/>
      <c r="G768" s="93" t="n">
        <v>43789</v>
      </c>
      <c r="H768" s="94" t="n">
        <v>270.63</v>
      </c>
      <c r="I768" s="95" t="n">
        <f aca="false">H768/H767-1</f>
        <v>0.00251898499722181</v>
      </c>
    </row>
    <row r="769" customFormat="false" ht="18" hidden="false" customHeight="false" outlineLevel="0" collapsed="false">
      <c r="A769" s="89" t="n">
        <v>43831</v>
      </c>
      <c r="B769" s="90" t="n">
        <v>88.18</v>
      </c>
      <c r="C769" s="91" t="n">
        <f aca="false">B769/B768-1</f>
        <v>-0.00988097911520314</v>
      </c>
      <c r="E769" s="93"/>
      <c r="F769" s="94"/>
      <c r="G769" s="93" t="n">
        <v>43790</v>
      </c>
      <c r="H769" s="94" t="n">
        <v>269.36</v>
      </c>
      <c r="I769" s="95" t="n">
        <f aca="false">H769/H768-1</f>
        <v>-0.00469275394449975</v>
      </c>
    </row>
    <row r="770" customFormat="false" ht="18" hidden="false" customHeight="false" outlineLevel="0" collapsed="false">
      <c r="A770" s="89" t="n">
        <v>43832</v>
      </c>
      <c r="B770" s="90" t="n">
        <v>87.84</v>
      </c>
      <c r="C770" s="91" t="n">
        <f aca="false">B770/B769-1</f>
        <v>-0.00385574960308466</v>
      </c>
      <c r="E770" s="93"/>
      <c r="F770" s="94"/>
      <c r="G770" s="93" t="n">
        <v>43791</v>
      </c>
      <c r="H770" s="94" t="n">
        <v>270.63</v>
      </c>
      <c r="I770" s="95" t="n">
        <f aca="false">H770/H769-1</f>
        <v>0.00471487971487972</v>
      </c>
    </row>
    <row r="771" customFormat="false" ht="18" hidden="false" customHeight="false" outlineLevel="0" collapsed="false">
      <c r="A771" s="89" t="n">
        <v>43833</v>
      </c>
      <c r="B771" s="90" t="n">
        <v>87.44</v>
      </c>
      <c r="C771" s="91" t="n">
        <f aca="false">B771/B770-1</f>
        <v>-0.00455373406193083</v>
      </c>
      <c r="E771" s="93"/>
      <c r="F771" s="94"/>
      <c r="G771" s="93" t="n">
        <v>43792</v>
      </c>
      <c r="H771" s="94" t="n">
        <v>269.23</v>
      </c>
      <c r="I771" s="95" t="n">
        <f aca="false">H771/H770-1</f>
        <v>-0.00517311458448799</v>
      </c>
    </row>
    <row r="772" customFormat="false" ht="18" hidden="false" customHeight="false" outlineLevel="0" collapsed="false">
      <c r="A772" s="89" t="n">
        <v>43834</v>
      </c>
      <c r="B772" s="90" t="n">
        <v>87.17</v>
      </c>
      <c r="C772" s="91" t="n">
        <f aca="false">B772/B771-1</f>
        <v>-0.00308783165599269</v>
      </c>
      <c r="E772" s="93"/>
      <c r="F772" s="94"/>
      <c r="G772" s="93" t="n">
        <v>43795</v>
      </c>
      <c r="H772" s="94" t="n">
        <v>268.42</v>
      </c>
      <c r="I772" s="95" t="n">
        <f aca="false">H772/H771-1</f>
        <v>-0.00300858002451432</v>
      </c>
    </row>
    <row r="773" customFormat="false" ht="18" hidden="false" customHeight="false" outlineLevel="0" collapsed="false">
      <c r="A773" s="89" t="n">
        <v>43837</v>
      </c>
      <c r="B773" s="90" t="n">
        <v>87.28</v>
      </c>
      <c r="C773" s="91" t="n">
        <f aca="false">B773/B772-1</f>
        <v>0.00126190203051513</v>
      </c>
      <c r="E773" s="93"/>
      <c r="F773" s="94"/>
      <c r="G773" s="93" t="n">
        <v>43796</v>
      </c>
      <c r="H773" s="94" t="n">
        <v>270.3</v>
      </c>
      <c r="I773" s="95" t="n">
        <f aca="false">H773/H772-1</f>
        <v>0.00700394903509416</v>
      </c>
    </row>
    <row r="774" customFormat="false" ht="18" hidden="false" customHeight="false" outlineLevel="0" collapsed="false">
      <c r="A774" s="89" t="n">
        <v>43838</v>
      </c>
      <c r="B774" s="90" t="n">
        <v>86.94</v>
      </c>
      <c r="C774" s="91" t="n">
        <f aca="false">B774/B773-1</f>
        <v>-0.00389550870760769</v>
      </c>
      <c r="E774" s="93"/>
      <c r="F774" s="94"/>
      <c r="G774" s="93" t="n">
        <v>43797</v>
      </c>
      <c r="H774" s="94" t="n">
        <v>269.84</v>
      </c>
      <c r="I774" s="95" t="n">
        <f aca="false">H774/H773-1</f>
        <v>-0.00170181280059212</v>
      </c>
    </row>
    <row r="775" customFormat="false" ht="18" hidden="false" customHeight="false" outlineLevel="0" collapsed="false">
      <c r="A775" s="89" t="n">
        <v>43839</v>
      </c>
      <c r="B775" s="90" t="n">
        <v>87.56</v>
      </c>
      <c r="C775" s="91" t="n">
        <f aca="false">B775/B774-1</f>
        <v>0.00713135495744188</v>
      </c>
      <c r="E775" s="93"/>
      <c r="F775" s="94"/>
      <c r="G775" s="93" t="n">
        <v>43798</v>
      </c>
      <c r="H775" s="94" t="n">
        <v>270.67</v>
      </c>
      <c r="I775" s="95" t="n">
        <f aca="false">H775/H774-1</f>
        <v>0.00307589682775</v>
      </c>
    </row>
    <row r="776" customFormat="false" ht="18" hidden="false" customHeight="false" outlineLevel="0" collapsed="false">
      <c r="A776" s="89" t="n">
        <v>43840</v>
      </c>
      <c r="B776" s="90" t="n">
        <v>88.35</v>
      </c>
      <c r="C776" s="91" t="n">
        <f aca="false">B776/B775-1</f>
        <v>0.0090223846505253</v>
      </c>
      <c r="E776" s="93"/>
      <c r="F776" s="94"/>
      <c r="G776" s="93" t="n">
        <v>43799</v>
      </c>
      <c r="H776" s="94" t="n">
        <v>270.45</v>
      </c>
      <c r="I776" s="95" t="n">
        <f aca="false">H776/H775-1</f>
        <v>-0.000812797871947546</v>
      </c>
    </row>
    <row r="777" customFormat="false" ht="18" hidden="false" customHeight="false" outlineLevel="0" collapsed="false">
      <c r="A777" s="89" t="n">
        <v>43841</v>
      </c>
      <c r="B777" s="90" t="n">
        <v>88.51</v>
      </c>
      <c r="C777" s="91" t="n">
        <f aca="false">B777/B776-1</f>
        <v>0.00181097906055472</v>
      </c>
      <c r="E777" s="93"/>
      <c r="F777" s="94"/>
      <c r="G777" s="93" t="n">
        <v>43802</v>
      </c>
      <c r="H777" s="94" t="n">
        <v>270</v>
      </c>
      <c r="I777" s="95" t="n">
        <f aca="false">H777/H776-1</f>
        <v>-0.00166389351081531</v>
      </c>
    </row>
    <row r="778" customFormat="false" ht="18" hidden="false" customHeight="false" outlineLevel="0" collapsed="false">
      <c r="A778" s="89" t="n">
        <v>43845</v>
      </c>
      <c r="B778" s="90" t="n">
        <v>87.69</v>
      </c>
      <c r="C778" s="91" t="n">
        <f aca="false">B778/B777-1</f>
        <v>-0.00926448988814832</v>
      </c>
      <c r="E778" s="93"/>
      <c r="F778" s="94"/>
      <c r="G778" s="93" t="n">
        <v>43803</v>
      </c>
      <c r="H778" s="94" t="n">
        <v>268.32</v>
      </c>
      <c r="I778" s="95" t="n">
        <f aca="false">H778/H777-1</f>
        <v>-0.00622222222222224</v>
      </c>
    </row>
    <row r="779" customFormat="false" ht="18" hidden="false" customHeight="false" outlineLevel="0" collapsed="false">
      <c r="A779" s="89" t="n">
        <v>43846</v>
      </c>
      <c r="B779" s="90" t="n">
        <v>87.36</v>
      </c>
      <c r="C779" s="91" t="n">
        <f aca="false">B779/B778-1</f>
        <v>-0.00376325692781387</v>
      </c>
      <c r="E779" s="93"/>
      <c r="F779" s="94"/>
      <c r="G779" s="93" t="n">
        <v>43804</v>
      </c>
      <c r="H779" s="94" t="n">
        <v>269.23</v>
      </c>
      <c r="I779" s="95" t="n">
        <f aca="false">H779/H778-1</f>
        <v>0.00339147286821717</v>
      </c>
    </row>
    <row r="780" customFormat="false" ht="18" hidden="false" customHeight="false" outlineLevel="0" collapsed="false">
      <c r="A780" s="89" t="n">
        <v>43847</v>
      </c>
      <c r="B780" s="90" t="n">
        <v>87.45</v>
      </c>
      <c r="C780" s="91" t="n">
        <f aca="false">B780/B779-1</f>
        <v>0.00103021978021989</v>
      </c>
      <c r="E780" s="93"/>
      <c r="F780" s="94"/>
      <c r="G780" s="93" t="n">
        <v>43805</v>
      </c>
      <c r="H780" s="94" t="n">
        <v>268.43</v>
      </c>
      <c r="I780" s="95" t="n">
        <f aca="false">H780/H779-1</f>
        <v>-0.0029714370612488</v>
      </c>
    </row>
    <row r="781" customFormat="false" ht="18" hidden="false" customHeight="false" outlineLevel="0" collapsed="false">
      <c r="A781" s="89" t="n">
        <v>43848</v>
      </c>
      <c r="B781" s="90" t="n">
        <v>87.49</v>
      </c>
      <c r="C781" s="91" t="n">
        <f aca="false">B781/B780-1</f>
        <v>0.000457404230989056</v>
      </c>
      <c r="E781" s="93"/>
      <c r="F781" s="94"/>
      <c r="G781" s="93" t="n">
        <v>43806</v>
      </c>
      <c r="H781" s="94" t="n">
        <v>268.78</v>
      </c>
      <c r="I781" s="95" t="n">
        <f aca="false">H781/H780-1</f>
        <v>0.00130387810602373</v>
      </c>
    </row>
    <row r="782" customFormat="false" ht="18" hidden="false" customHeight="false" outlineLevel="0" collapsed="false">
      <c r="A782" s="89" t="n">
        <v>43851</v>
      </c>
      <c r="B782" s="90" t="n">
        <v>87.55</v>
      </c>
      <c r="C782" s="91" t="n">
        <f aca="false">B782/B781-1</f>
        <v>0.000685792662018514</v>
      </c>
      <c r="E782" s="93"/>
      <c r="F782" s="94"/>
      <c r="G782" s="93" t="n">
        <v>43809</v>
      </c>
      <c r="H782" s="94" t="n">
        <v>268.4</v>
      </c>
      <c r="I782" s="95" t="n">
        <f aca="false">H782/H781-1</f>
        <v>-0.00141379566932065</v>
      </c>
    </row>
    <row r="783" customFormat="false" ht="18" hidden="false" customHeight="false" outlineLevel="0" collapsed="false">
      <c r="A783" s="89" t="n">
        <v>43852</v>
      </c>
      <c r="B783" s="90" t="n">
        <v>87.1</v>
      </c>
      <c r="C783" s="91" t="n">
        <f aca="false">B783/B782-1</f>
        <v>-0.0051399200456882</v>
      </c>
      <c r="E783" s="93"/>
      <c r="F783" s="94"/>
      <c r="G783" s="93" t="n">
        <v>43810</v>
      </c>
      <c r="H783" s="94" t="n">
        <v>268.92</v>
      </c>
      <c r="I783" s="95" t="n">
        <f aca="false">H783/H782-1</f>
        <v>0.00193740685543986</v>
      </c>
    </row>
    <row r="784" customFormat="false" ht="18" hidden="false" customHeight="false" outlineLevel="0" collapsed="false">
      <c r="A784" s="89" t="n">
        <v>43853</v>
      </c>
      <c r="B784" s="90" t="n">
        <v>86.86</v>
      </c>
      <c r="C784" s="91" t="n">
        <f aca="false">B784/B783-1</f>
        <v>-0.00275545350172213</v>
      </c>
      <c r="E784" s="93"/>
      <c r="F784" s="94"/>
      <c r="G784" s="93" t="n">
        <v>43811</v>
      </c>
      <c r="H784" s="94" t="n">
        <v>268.64</v>
      </c>
      <c r="I784" s="95" t="n">
        <f aca="false">H784/H783-1</f>
        <v>-0.00104120184441481</v>
      </c>
    </row>
    <row r="785" customFormat="false" ht="18" hidden="false" customHeight="false" outlineLevel="0" collapsed="false">
      <c r="A785" s="89" t="n">
        <v>43854</v>
      </c>
      <c r="B785" s="90" t="n">
        <v>87.48</v>
      </c>
      <c r="C785" s="91" t="n">
        <f aca="false">B785/B784-1</f>
        <v>0.00713792309463512</v>
      </c>
      <c r="E785" s="93"/>
      <c r="F785" s="94"/>
      <c r="G785" s="93" t="n">
        <v>43812</v>
      </c>
      <c r="H785" s="94" t="n">
        <v>273.18</v>
      </c>
      <c r="I785" s="95" t="n">
        <f aca="false">H785/H784-1</f>
        <v>0.0168999404407386</v>
      </c>
    </row>
    <row r="786" customFormat="false" ht="18" hidden="false" customHeight="false" outlineLevel="0" collapsed="false">
      <c r="A786" s="89" t="n">
        <v>43855</v>
      </c>
      <c r="B786" s="90" t="n">
        <v>87.61</v>
      </c>
      <c r="C786" s="91" t="n">
        <f aca="false">B786/B785-1</f>
        <v>0.00148605395518975</v>
      </c>
      <c r="E786" s="93"/>
      <c r="F786" s="94"/>
      <c r="G786" s="93" t="n">
        <v>43813</v>
      </c>
      <c r="H786" s="94" t="n">
        <v>275.06</v>
      </c>
      <c r="I786" s="95" t="n">
        <f aca="false">H786/H785-1</f>
        <v>0.00688190936378952</v>
      </c>
    </row>
    <row r="787" customFormat="false" ht="18" hidden="false" customHeight="false" outlineLevel="0" collapsed="false">
      <c r="A787" s="89" t="n">
        <v>43858</v>
      </c>
      <c r="B787" s="90" t="n">
        <v>87.94</v>
      </c>
      <c r="C787" s="91" t="n">
        <f aca="false">B787/B786-1</f>
        <v>0.00376669329985169</v>
      </c>
      <c r="E787" s="93"/>
      <c r="F787" s="94"/>
      <c r="G787" s="93" t="n">
        <v>43816</v>
      </c>
      <c r="H787" s="94" t="n">
        <v>274.09</v>
      </c>
      <c r="I787" s="95" t="n">
        <f aca="false">H787/H786-1</f>
        <v>-0.00352650330836923</v>
      </c>
    </row>
    <row r="788" customFormat="false" ht="18" hidden="false" customHeight="false" outlineLevel="0" collapsed="false">
      <c r="A788" s="89" t="n">
        <v>43859</v>
      </c>
      <c r="B788" s="90" t="n">
        <v>88.14</v>
      </c>
      <c r="C788" s="91" t="n">
        <f aca="false">B788/B787-1</f>
        <v>0.00227427791676149</v>
      </c>
      <c r="E788" s="93"/>
      <c r="F788" s="94"/>
      <c r="G788" s="93" t="n">
        <v>43817</v>
      </c>
      <c r="H788" s="94" t="n">
        <v>274.46</v>
      </c>
      <c r="I788" s="95" t="n">
        <f aca="false">H788/H787-1</f>
        <v>0.00134992155861213</v>
      </c>
    </row>
    <row r="789" customFormat="false" ht="18" hidden="false" customHeight="false" outlineLevel="0" collapsed="false">
      <c r="A789" s="89" t="n">
        <v>43860</v>
      </c>
      <c r="B789" s="90" t="n">
        <v>87.98</v>
      </c>
      <c r="C789" s="91" t="n">
        <f aca="false">B789/B788-1</f>
        <v>-0.00181529385069201</v>
      </c>
      <c r="E789" s="93"/>
      <c r="F789" s="94"/>
      <c r="G789" s="93" t="n">
        <v>43818</v>
      </c>
      <c r="H789" s="94" t="n">
        <v>272.72</v>
      </c>
      <c r="I789" s="95" t="n">
        <f aca="false">H789/H788-1</f>
        <v>-0.00633972163521079</v>
      </c>
    </row>
    <row r="790" customFormat="false" ht="18" hidden="false" customHeight="false" outlineLevel="0" collapsed="false">
      <c r="A790" s="89" t="n">
        <v>43861</v>
      </c>
      <c r="B790" s="90" t="n">
        <v>88.35</v>
      </c>
      <c r="C790" s="91" t="n">
        <f aca="false">B790/B789-1</f>
        <v>0.00420550125028396</v>
      </c>
      <c r="E790" s="93"/>
      <c r="F790" s="94"/>
      <c r="G790" s="93" t="n">
        <v>43819</v>
      </c>
      <c r="H790" s="94" t="n">
        <v>273.62</v>
      </c>
      <c r="I790" s="95" t="n">
        <f aca="false">H790/H789-1</f>
        <v>0.0033000880023466</v>
      </c>
    </row>
    <row r="791" customFormat="false" ht="18" hidden="false" customHeight="false" outlineLevel="0" collapsed="false">
      <c r="A791" s="89" t="n">
        <v>43862</v>
      </c>
      <c r="B791" s="90" t="n">
        <v>87.64</v>
      </c>
      <c r="C791" s="91" t="n">
        <f aca="false">B791/B790-1</f>
        <v>-0.00803621958121103</v>
      </c>
      <c r="E791" s="93"/>
      <c r="F791" s="94"/>
      <c r="G791" s="93" t="n">
        <v>43820</v>
      </c>
      <c r="H791" s="94" t="n">
        <v>272.38</v>
      </c>
      <c r="I791" s="95" t="n">
        <f aca="false">H791/H790-1</f>
        <v>-0.00453183246838684</v>
      </c>
    </row>
    <row r="792" customFormat="false" ht="18" hidden="false" customHeight="false" outlineLevel="0" collapsed="false">
      <c r="A792" s="89" t="n">
        <v>43865</v>
      </c>
      <c r="B792" s="90" t="n">
        <v>86.9</v>
      </c>
      <c r="C792" s="91" t="n">
        <f aca="false">B792/B791-1</f>
        <v>-0.00844363304427198</v>
      </c>
      <c r="E792" s="93"/>
      <c r="F792" s="94"/>
      <c r="G792" s="93" t="n">
        <v>43823</v>
      </c>
      <c r="H792" s="94" t="n">
        <v>272.5</v>
      </c>
      <c r="I792" s="95" t="n">
        <f aca="false">H792/H791-1</f>
        <v>0.000440560980982552</v>
      </c>
    </row>
    <row r="793" customFormat="false" ht="18" hidden="false" customHeight="false" outlineLevel="0" collapsed="false">
      <c r="A793" s="89" t="n">
        <v>43866</v>
      </c>
      <c r="B793" s="90" t="n">
        <v>87.69</v>
      </c>
      <c r="C793" s="91" t="n">
        <f aca="false">B793/B792-1</f>
        <v>0.00909090909090904</v>
      </c>
      <c r="E793" s="93"/>
      <c r="F793" s="94"/>
      <c r="G793" s="93" t="n">
        <v>43824</v>
      </c>
      <c r="H793" s="94" t="n">
        <v>273.88</v>
      </c>
      <c r="I793" s="95" t="n">
        <f aca="false">H793/H792-1</f>
        <v>0.00506422018348629</v>
      </c>
    </row>
    <row r="794" customFormat="false" ht="18" hidden="false" customHeight="false" outlineLevel="0" collapsed="false">
      <c r="A794" s="89" t="n">
        <v>43867</v>
      </c>
      <c r="B794" s="90" t="n">
        <v>87.57</v>
      </c>
      <c r="C794" s="91" t="n">
        <f aca="false">B794/B793-1</f>
        <v>-0.0013684570646596</v>
      </c>
      <c r="E794" s="93"/>
      <c r="F794" s="94"/>
      <c r="G794" s="93" t="n">
        <v>43825</v>
      </c>
      <c r="H794" s="94" t="n">
        <v>276.49</v>
      </c>
      <c r="I794" s="95" t="n">
        <f aca="false">H794/H793-1</f>
        <v>0.00952972104571348</v>
      </c>
    </row>
    <row r="795" customFormat="false" ht="18" hidden="false" customHeight="false" outlineLevel="0" collapsed="false">
      <c r="A795" s="89" t="n">
        <v>43868</v>
      </c>
      <c r="B795" s="90" t="n">
        <v>87.46</v>
      </c>
      <c r="C795" s="91" t="n">
        <f aca="false">B795/B794-1</f>
        <v>-0.00125613794678547</v>
      </c>
      <c r="E795" s="93"/>
      <c r="F795" s="94"/>
      <c r="G795" s="93" t="n">
        <v>43826</v>
      </c>
      <c r="H795" s="94" t="n">
        <v>279.58</v>
      </c>
      <c r="I795" s="95" t="n">
        <f aca="false">H795/H794-1</f>
        <v>0.0111758110600744</v>
      </c>
    </row>
    <row r="796" customFormat="false" ht="18" hidden="false" customHeight="false" outlineLevel="0" collapsed="false">
      <c r="A796" s="89" t="n">
        <v>43869</v>
      </c>
      <c r="B796" s="90" t="n">
        <v>87.49</v>
      </c>
      <c r="C796" s="91" t="n">
        <f aca="false">B796/B795-1</f>
        <v>0.000343013949233972</v>
      </c>
      <c r="E796" s="93"/>
      <c r="F796" s="94"/>
      <c r="G796" s="93" t="n">
        <v>43827</v>
      </c>
      <c r="H796" s="94" t="n">
        <v>280.09</v>
      </c>
      <c r="I796" s="95" t="n">
        <f aca="false">H796/H795-1</f>
        <v>0.00182416481865655</v>
      </c>
    </row>
    <row r="797" customFormat="false" ht="18" hidden="false" customHeight="false" outlineLevel="0" collapsed="false">
      <c r="A797" s="89" t="n">
        <v>43872</v>
      </c>
      <c r="B797" s="90" t="n">
        <v>87.57</v>
      </c>
      <c r="C797" s="91" t="n">
        <f aca="false">B797/B796-1</f>
        <v>0.000914390216024685</v>
      </c>
      <c r="E797" s="93"/>
      <c r="F797" s="94"/>
      <c r="G797" s="93" t="n">
        <v>43830</v>
      </c>
      <c r="H797" s="94" t="n">
        <v>280.45</v>
      </c>
      <c r="I797" s="95" t="n">
        <f aca="false">H797/H796-1</f>
        <v>0.0012853011532008</v>
      </c>
    </row>
    <row r="798" customFormat="false" ht="18" hidden="false" customHeight="false" outlineLevel="0" collapsed="false">
      <c r="A798" s="89" t="n">
        <v>43873</v>
      </c>
      <c r="B798" s="90" t="n">
        <v>86.49</v>
      </c>
      <c r="C798" s="91" t="n">
        <f aca="false">B798/B797-1</f>
        <v>-0.012332990750257</v>
      </c>
      <c r="E798" s="93"/>
      <c r="F798" s="94"/>
      <c r="G798" s="93" t="n">
        <v>43831</v>
      </c>
      <c r="H798" s="94" t="n">
        <v>278.12</v>
      </c>
      <c r="I798" s="95" t="n">
        <f aca="false">H798/H797-1</f>
        <v>-0.00830807630593688</v>
      </c>
    </row>
    <row r="799" customFormat="false" ht="18" hidden="false" customHeight="false" outlineLevel="0" collapsed="false">
      <c r="A799" s="89" t="n">
        <v>43874</v>
      </c>
      <c r="B799" s="90" t="n">
        <v>87.08</v>
      </c>
      <c r="C799" s="91" t="n">
        <f aca="false">B799/B798-1</f>
        <v>0.00682159787258652</v>
      </c>
      <c r="E799" s="93"/>
      <c r="F799" s="94"/>
      <c r="G799" s="93" t="n">
        <v>43832</v>
      </c>
      <c r="H799" s="94" t="n">
        <v>275.66</v>
      </c>
      <c r="I799" s="95" t="n">
        <f aca="false">H799/H798-1</f>
        <v>-0.0088451028333093</v>
      </c>
    </row>
    <row r="800" customFormat="false" ht="18" hidden="false" customHeight="false" outlineLevel="0" collapsed="false">
      <c r="A800" s="89" t="n">
        <v>43875</v>
      </c>
      <c r="B800" s="90" t="n">
        <v>87.79</v>
      </c>
      <c r="C800" s="91" t="n">
        <f aca="false">B800/B799-1</f>
        <v>0.00815342214056058</v>
      </c>
      <c r="E800" s="93"/>
      <c r="F800" s="94"/>
      <c r="G800" s="93" t="n">
        <v>43833</v>
      </c>
      <c r="H800" s="94" t="n">
        <v>276.35</v>
      </c>
      <c r="I800" s="95" t="n">
        <f aca="false">H800/H799-1</f>
        <v>0.00250308350867012</v>
      </c>
    </row>
    <row r="801" customFormat="false" ht="18" hidden="false" customHeight="false" outlineLevel="0" collapsed="false">
      <c r="A801" s="89" t="n">
        <v>43876</v>
      </c>
      <c r="B801" s="90" t="n">
        <v>87.19</v>
      </c>
      <c r="C801" s="91" t="n">
        <f aca="false">B801/B800-1</f>
        <v>-0.00683449139993175</v>
      </c>
      <c r="E801" s="93"/>
      <c r="F801" s="94"/>
      <c r="G801" s="93" t="n">
        <v>43834</v>
      </c>
      <c r="H801" s="94" t="n">
        <v>276.12</v>
      </c>
      <c r="I801" s="95" t="n">
        <f aca="false">H801/H800-1</f>
        <v>-0.00083227790844953</v>
      </c>
    </row>
    <row r="802" customFormat="false" ht="18" hidden="false" customHeight="false" outlineLevel="0" collapsed="false">
      <c r="A802" s="89" t="n">
        <v>43880</v>
      </c>
      <c r="B802" s="90" t="n">
        <v>87.18</v>
      </c>
      <c r="C802" s="91" t="n">
        <f aca="false">B802/B801-1</f>
        <v>-0.00011469205184067</v>
      </c>
      <c r="E802" s="93"/>
      <c r="F802" s="94"/>
      <c r="G802" s="93" t="n">
        <v>43837</v>
      </c>
      <c r="H802" s="94" t="n">
        <v>274.74</v>
      </c>
      <c r="I802" s="95" t="n">
        <f aca="false">H802/H801-1</f>
        <v>-0.00499782703172536</v>
      </c>
    </row>
    <row r="803" customFormat="false" ht="18" hidden="false" customHeight="false" outlineLevel="0" collapsed="false">
      <c r="A803" s="89" t="n">
        <v>43881</v>
      </c>
      <c r="B803" s="90" t="n">
        <v>87.11</v>
      </c>
      <c r="C803" s="91" t="n">
        <f aca="false">B803/B802-1</f>
        <v>-0.000802936453315084</v>
      </c>
      <c r="E803" s="93"/>
      <c r="F803" s="94"/>
      <c r="G803" s="93" t="n">
        <v>43838</v>
      </c>
      <c r="H803" s="94" t="n">
        <v>273.95</v>
      </c>
      <c r="I803" s="95" t="n">
        <f aca="false">H803/H802-1</f>
        <v>-0.00287544587610111</v>
      </c>
    </row>
    <row r="804" customFormat="false" ht="18" hidden="false" customHeight="false" outlineLevel="0" collapsed="false">
      <c r="A804" s="89" t="n">
        <v>43882</v>
      </c>
      <c r="B804" s="90" t="n">
        <v>87.66</v>
      </c>
      <c r="C804" s="91" t="n">
        <f aca="false">B804/B803-1</f>
        <v>0.00631385604408208</v>
      </c>
      <c r="E804" s="93"/>
      <c r="F804" s="94"/>
      <c r="G804" s="93" t="n">
        <v>43839</v>
      </c>
      <c r="H804" s="94" t="n">
        <v>273.37</v>
      </c>
      <c r="I804" s="95" t="n">
        <f aca="false">H804/H803-1</f>
        <v>-0.00211717466690997</v>
      </c>
    </row>
    <row r="805" customFormat="false" ht="18" hidden="false" customHeight="false" outlineLevel="0" collapsed="false">
      <c r="A805" s="89" t="n">
        <v>43883</v>
      </c>
      <c r="B805" s="90" t="n">
        <v>88.15</v>
      </c>
      <c r="C805" s="91" t="n">
        <f aca="false">B805/B804-1</f>
        <v>0.0055897786903949</v>
      </c>
      <c r="E805" s="93"/>
      <c r="F805" s="94"/>
      <c r="G805" s="93" t="n">
        <v>43840</v>
      </c>
      <c r="H805" s="94" t="n">
        <v>274.96</v>
      </c>
      <c r="I805" s="95" t="n">
        <f aca="false">H805/H804-1</f>
        <v>0.00581629293631325</v>
      </c>
    </row>
    <row r="806" customFormat="false" ht="18" hidden="false" customHeight="false" outlineLevel="0" collapsed="false">
      <c r="A806" s="89" t="n">
        <v>43886</v>
      </c>
      <c r="B806" s="90" t="n">
        <v>87.9</v>
      </c>
      <c r="C806" s="91" t="n">
        <f aca="false">B806/B805-1</f>
        <v>-0.00283607487237658</v>
      </c>
      <c r="E806" s="93"/>
      <c r="F806" s="94"/>
      <c r="G806" s="93" t="n">
        <v>43841</v>
      </c>
      <c r="H806" s="94" t="n">
        <v>275.6</v>
      </c>
      <c r="I806" s="95" t="n">
        <f aca="false">H806/H805-1</f>
        <v>0.00232761128891501</v>
      </c>
    </row>
    <row r="807" customFormat="false" ht="18" hidden="false" customHeight="false" outlineLevel="0" collapsed="false">
      <c r="A807" s="89" t="n">
        <v>43887</v>
      </c>
      <c r="B807" s="90" t="n">
        <v>87.82</v>
      </c>
      <c r="C807" s="91" t="n">
        <f aca="false">B807/B806-1</f>
        <v>-0.00091012514220723</v>
      </c>
      <c r="E807" s="93"/>
      <c r="F807" s="94"/>
      <c r="G807" s="93" t="n">
        <v>43844</v>
      </c>
      <c r="H807" s="94" t="n">
        <v>275.55</v>
      </c>
      <c r="I807" s="95" t="n">
        <f aca="false">H807/H806-1</f>
        <v>-0.000181422351233751</v>
      </c>
    </row>
    <row r="808" customFormat="false" ht="18" hidden="false" customHeight="false" outlineLevel="0" collapsed="false">
      <c r="A808" s="89" t="n">
        <v>43888</v>
      </c>
      <c r="B808" s="90" t="n">
        <v>88</v>
      </c>
      <c r="C808" s="91" t="n">
        <f aca="false">B808/B807-1</f>
        <v>0.00204964700523802</v>
      </c>
      <c r="E808" s="101"/>
      <c r="F808" s="94"/>
      <c r="G808" s="93" t="n">
        <v>43845</v>
      </c>
      <c r="H808" s="94" t="n">
        <v>271.96</v>
      </c>
      <c r="I808" s="95" t="n">
        <f aca="false">H808/H807-1</f>
        <v>-0.0130284884775904</v>
      </c>
    </row>
    <row r="809" customFormat="false" ht="18" hidden="false" customHeight="false" outlineLevel="0" collapsed="false">
      <c r="A809" s="89" t="n">
        <v>43889</v>
      </c>
      <c r="B809" s="90" t="n">
        <v>88.3</v>
      </c>
      <c r="C809" s="91" t="n">
        <f aca="false">B809/B808-1</f>
        <v>0.00340909090909092</v>
      </c>
      <c r="E809" s="101"/>
      <c r="F809" s="94"/>
      <c r="G809" s="93" t="n">
        <v>43846</v>
      </c>
      <c r="H809" s="94" t="n">
        <v>266.71</v>
      </c>
      <c r="I809" s="95" t="n">
        <f aca="false">H809/H808-1</f>
        <v>-0.0193043094572731</v>
      </c>
    </row>
    <row r="810" customFormat="false" ht="18" hidden="false" customHeight="false" outlineLevel="0" collapsed="false">
      <c r="A810" s="89" t="n">
        <v>43890</v>
      </c>
      <c r="B810" s="90" t="n">
        <v>88.43</v>
      </c>
      <c r="C810" s="91" t="n">
        <f aca="false">B810/B809-1</f>
        <v>0.00147225368063442</v>
      </c>
      <c r="E810" s="93"/>
      <c r="F810" s="94"/>
      <c r="G810" s="93" t="n">
        <v>43847</v>
      </c>
      <c r="H810" s="94" t="n">
        <v>267.09</v>
      </c>
      <c r="I810" s="95" t="n">
        <f aca="false">H810/H809-1</f>
        <v>0.00142476847512274</v>
      </c>
    </row>
    <row r="811" customFormat="false" ht="18" hidden="false" customHeight="false" outlineLevel="0" collapsed="false">
      <c r="A811" s="89" t="n">
        <v>43893</v>
      </c>
      <c r="B811" s="90" t="n">
        <v>88.35</v>
      </c>
      <c r="C811" s="91" t="n">
        <f aca="false">B811/B810-1</f>
        <v>-0.000904670360737492</v>
      </c>
      <c r="E811" s="93"/>
      <c r="F811" s="94"/>
      <c r="G811" s="93" t="n">
        <v>43848</v>
      </c>
      <c r="H811" s="94" t="n">
        <v>269.14</v>
      </c>
      <c r="I811" s="95" t="n">
        <f aca="false">H811/H810-1</f>
        <v>0.00767531543674416</v>
      </c>
    </row>
    <row r="812" customFormat="false" ht="18" hidden="false" customHeight="false" outlineLevel="0" collapsed="false">
      <c r="A812" s="89" t="n">
        <v>43894</v>
      </c>
      <c r="B812" s="90" t="n">
        <v>88.54</v>
      </c>
      <c r="C812" s="91" t="n">
        <f aca="false">B812/B811-1</f>
        <v>0.00215053763440864</v>
      </c>
      <c r="E812" s="102"/>
      <c r="F812" s="94"/>
      <c r="G812" s="93" t="n">
        <v>43851</v>
      </c>
      <c r="H812" s="94" t="n">
        <v>267.35</v>
      </c>
      <c r="I812" s="95" t="n">
        <f aca="false">H812/H811-1</f>
        <v>-0.00665081370290543</v>
      </c>
    </row>
    <row r="813" customFormat="false" ht="18" hidden="false" customHeight="false" outlineLevel="0" collapsed="false">
      <c r="A813" s="89" t="n">
        <v>43895</v>
      </c>
      <c r="B813" s="90" t="n">
        <v>88.87</v>
      </c>
      <c r="C813" s="91" t="n">
        <f aca="false">B813/B812-1</f>
        <v>0.00372712898125149</v>
      </c>
      <c r="E813" s="93"/>
      <c r="F813" s="94"/>
      <c r="G813" s="93" t="n">
        <v>43852</v>
      </c>
      <c r="H813" s="94" t="n">
        <v>268.06</v>
      </c>
      <c r="I813" s="95" t="n">
        <f aca="false">H813/H812-1</f>
        <v>0.0026556947821208</v>
      </c>
    </row>
    <row r="814" customFormat="false" ht="18" hidden="false" customHeight="false" outlineLevel="0" collapsed="false">
      <c r="A814" s="89" t="n">
        <v>43896</v>
      </c>
      <c r="B814" s="90" t="n">
        <v>89.11</v>
      </c>
      <c r="C814" s="91" t="n">
        <f aca="false">B814/B813-1</f>
        <v>0.00270057387194766</v>
      </c>
      <c r="E814" s="93"/>
      <c r="F814" s="94"/>
      <c r="G814" s="93" t="n">
        <v>43853</v>
      </c>
      <c r="H814" s="94" t="n">
        <v>271.92</v>
      </c>
      <c r="I814" s="95" t="n">
        <f aca="false">H814/H813-1</f>
        <v>0.014399761247482</v>
      </c>
    </row>
    <row r="815" customFormat="false" ht="18" hidden="false" customHeight="false" outlineLevel="0" collapsed="false">
      <c r="A815" s="89" t="n">
        <v>43897</v>
      </c>
      <c r="B815" s="90" t="n">
        <v>89.21</v>
      </c>
      <c r="C815" s="91" t="n">
        <f aca="false">B815/B814-1</f>
        <v>0.00112220850634048</v>
      </c>
      <c r="E815" s="93"/>
      <c r="F815" s="94"/>
      <c r="G815" s="93" t="n">
        <v>43854</v>
      </c>
      <c r="H815" s="94" t="n">
        <v>273.65</v>
      </c>
      <c r="I815" s="95" t="n">
        <f aca="false">H815/H814-1</f>
        <v>0.00636216534274769</v>
      </c>
    </row>
    <row r="816" customFormat="false" ht="18" hidden="false" customHeight="false" outlineLevel="0" collapsed="false">
      <c r="A816" s="89" t="n">
        <v>43900</v>
      </c>
      <c r="B816" s="90" t="n">
        <v>89.07</v>
      </c>
      <c r="C816" s="91" t="n">
        <f aca="false">B816/B815-1</f>
        <v>-0.00156933079251209</v>
      </c>
      <c r="E816" s="93"/>
      <c r="F816" s="94"/>
      <c r="G816" s="93" t="n">
        <v>43855</v>
      </c>
      <c r="H816" s="94" t="n">
        <v>272.8</v>
      </c>
      <c r="I816" s="95" t="n">
        <f aca="false">H816/H815-1</f>
        <v>-0.00310615750045662</v>
      </c>
    </row>
    <row r="817" customFormat="false" ht="18" hidden="false" customHeight="false" outlineLevel="0" collapsed="false">
      <c r="A817" s="89" t="n">
        <v>43901</v>
      </c>
      <c r="B817" s="90" t="n">
        <v>88.95</v>
      </c>
      <c r="C817" s="91" t="n">
        <f aca="false">B817/B816-1</f>
        <v>-0.00134725496800259</v>
      </c>
      <c r="E817" s="93"/>
      <c r="F817" s="94"/>
      <c r="G817" s="93" t="n">
        <v>43858</v>
      </c>
      <c r="H817" s="94" t="n">
        <v>273.84</v>
      </c>
      <c r="I817" s="95" t="n">
        <f aca="false">H817/H816-1</f>
        <v>0.00381231671554239</v>
      </c>
    </row>
    <row r="818" customFormat="false" ht="18" hidden="false" customHeight="false" outlineLevel="0" collapsed="false">
      <c r="A818" s="89" t="n">
        <v>43902</v>
      </c>
      <c r="B818" s="90" t="n">
        <v>89.04</v>
      </c>
      <c r="C818" s="91" t="n">
        <f aca="false">B818/B817-1</f>
        <v>0.00101180438448578</v>
      </c>
      <c r="E818" s="93"/>
      <c r="F818" s="94"/>
      <c r="G818" s="93" t="n">
        <v>43859</v>
      </c>
      <c r="H818" s="94" t="n">
        <v>271.08</v>
      </c>
      <c r="I818" s="95" t="n">
        <f aca="false">H818/H817-1</f>
        <v>-0.0100788781770377</v>
      </c>
    </row>
    <row r="819" customFormat="false" ht="18" hidden="false" customHeight="false" outlineLevel="0" collapsed="false">
      <c r="A819" s="89" t="n">
        <v>43903</v>
      </c>
      <c r="B819" s="90" t="n">
        <v>88.59</v>
      </c>
      <c r="C819" s="91" t="n">
        <f aca="false">B819/B818-1</f>
        <v>-0.00505390835579522</v>
      </c>
      <c r="E819" s="93"/>
      <c r="F819" s="94"/>
      <c r="G819" s="93" t="n">
        <v>43860</v>
      </c>
      <c r="H819" s="94" t="n">
        <v>270.26</v>
      </c>
      <c r="I819" s="95" t="n">
        <f aca="false">H819/H818-1</f>
        <v>-0.00302493728788544</v>
      </c>
    </row>
    <row r="820" customFormat="false" ht="18" hidden="false" customHeight="false" outlineLevel="0" collapsed="false">
      <c r="A820" s="89" t="n">
        <v>43904</v>
      </c>
      <c r="B820" s="90" t="n">
        <v>88.31</v>
      </c>
      <c r="C820" s="91" t="n">
        <f aca="false">B820/B819-1</f>
        <v>-0.00316062761033975</v>
      </c>
      <c r="E820" s="93"/>
      <c r="F820" s="94"/>
      <c r="G820" s="93" t="n">
        <v>43861</v>
      </c>
      <c r="H820" s="94" t="n">
        <v>271.18</v>
      </c>
      <c r="I820" s="95" t="n">
        <f aca="false">H820/H819-1</f>
        <v>0.00340412935691559</v>
      </c>
    </row>
    <row r="821" customFormat="false" ht="18" hidden="false" customHeight="false" outlineLevel="0" collapsed="false">
      <c r="A821" s="89" t="n">
        <v>43907</v>
      </c>
      <c r="B821" s="90" t="n">
        <v>88.36</v>
      </c>
      <c r="C821" s="91" t="n">
        <f aca="false">B821/B820-1</f>
        <v>0.000566187294757103</v>
      </c>
      <c r="E821" s="93"/>
      <c r="F821" s="94"/>
      <c r="G821" s="93" t="n">
        <v>43862</v>
      </c>
      <c r="H821" s="94" t="n">
        <v>271.36</v>
      </c>
      <c r="I821" s="95" t="n">
        <f aca="false">H821/H820-1</f>
        <v>0.00066376576443683</v>
      </c>
    </row>
    <row r="822" customFormat="false" ht="18" hidden="false" customHeight="false" outlineLevel="0" collapsed="false">
      <c r="A822" s="89" t="n">
        <v>43908</v>
      </c>
      <c r="B822" s="90" t="n">
        <v>88.77</v>
      </c>
      <c r="C822" s="91" t="n">
        <f aca="false">B822/B821-1</f>
        <v>0.00464010864644626</v>
      </c>
      <c r="E822" s="93"/>
      <c r="F822" s="94"/>
      <c r="G822" s="93" t="n">
        <v>43865</v>
      </c>
      <c r="H822" s="94" t="n">
        <v>269.99</v>
      </c>
      <c r="I822" s="95" t="n">
        <f aca="false">H822/H821-1</f>
        <v>-0.00504864386792459</v>
      </c>
    </row>
    <row r="823" customFormat="false" ht="18" hidden="false" customHeight="false" outlineLevel="0" collapsed="false">
      <c r="A823" s="89" t="n">
        <v>43909</v>
      </c>
      <c r="B823" s="90" t="n">
        <v>89.19</v>
      </c>
      <c r="C823" s="91" t="n">
        <f aca="false">B823/B822-1</f>
        <v>0.00473132815140254</v>
      </c>
      <c r="E823" s="93"/>
      <c r="F823" s="94"/>
      <c r="G823" s="93" t="n">
        <v>43866</v>
      </c>
      <c r="H823" s="94" t="n">
        <v>275.04</v>
      </c>
      <c r="I823" s="95" t="n">
        <f aca="false">H823/H822-1</f>
        <v>0.0187043964591282</v>
      </c>
    </row>
    <row r="824" customFormat="false" ht="18" hidden="false" customHeight="false" outlineLevel="0" collapsed="false">
      <c r="A824" s="89" t="n">
        <v>43910</v>
      </c>
      <c r="B824" s="90" t="n">
        <v>89.5</v>
      </c>
      <c r="C824" s="91" t="n">
        <f aca="false">B824/B823-1</f>
        <v>0.00347572597824874</v>
      </c>
      <c r="E824" s="93"/>
      <c r="F824" s="94"/>
      <c r="G824" s="93" t="n">
        <v>43867</v>
      </c>
      <c r="H824" s="94" t="n">
        <v>275.66</v>
      </c>
      <c r="I824" s="95" t="n">
        <f aca="false">H824/H823-1</f>
        <v>0.00225421756835376</v>
      </c>
    </row>
    <row r="825" customFormat="false" ht="18" hidden="false" customHeight="false" outlineLevel="0" collapsed="false">
      <c r="A825" s="89" t="n">
        <v>43911</v>
      </c>
      <c r="B825" s="90" t="n">
        <v>89.79</v>
      </c>
      <c r="C825" s="91" t="n">
        <f aca="false">B825/B824-1</f>
        <v>0.00324022346368724</v>
      </c>
      <c r="E825" s="93"/>
      <c r="F825" s="94"/>
      <c r="G825" s="93" t="n">
        <v>43868</v>
      </c>
      <c r="H825" s="94" t="n">
        <v>274.5</v>
      </c>
      <c r="I825" s="95" t="n">
        <f aca="false">H825/H824-1</f>
        <v>-0.00420808242037296</v>
      </c>
    </row>
    <row r="826" customFormat="false" ht="18" hidden="false" customHeight="false" outlineLevel="0" collapsed="false">
      <c r="A826" s="89" t="n">
        <v>43914</v>
      </c>
      <c r="B826" s="90" t="n">
        <v>89.72</v>
      </c>
      <c r="C826" s="91" t="n">
        <f aca="false">B826/B825-1</f>
        <v>-0.0007795968370643</v>
      </c>
      <c r="E826" s="93"/>
      <c r="F826" s="94"/>
      <c r="G826" s="93" t="n">
        <v>43869</v>
      </c>
      <c r="H826" s="94" t="n">
        <v>273.78</v>
      </c>
      <c r="I826" s="95" t="n">
        <f aca="false">H826/H825-1</f>
        <v>-0.00262295081967223</v>
      </c>
    </row>
    <row r="827" customFormat="false" ht="18" hidden="false" customHeight="false" outlineLevel="0" collapsed="false">
      <c r="A827" s="89" t="n">
        <v>43915</v>
      </c>
      <c r="B827" s="90" t="n">
        <v>89.71</v>
      </c>
      <c r="C827" s="91" t="n">
        <f aca="false">B827/B826-1</f>
        <v>-0.000111457868925635</v>
      </c>
      <c r="E827" s="93"/>
      <c r="F827" s="94"/>
      <c r="G827" s="93" t="n">
        <v>43872</v>
      </c>
      <c r="H827" s="94" t="n">
        <v>273.49</v>
      </c>
      <c r="I827" s="95" t="n">
        <f aca="false">H827/H826-1</f>
        <v>-0.0010592446489881</v>
      </c>
    </row>
    <row r="828" customFormat="false" ht="18" hidden="false" customHeight="false" outlineLevel="0" collapsed="false">
      <c r="A828" s="89" t="n">
        <v>43916</v>
      </c>
      <c r="B828" s="90" t="n">
        <v>90.08</v>
      </c>
      <c r="C828" s="91" t="n">
        <f aca="false">B828/B827-1</f>
        <v>0.00412440084717436</v>
      </c>
      <c r="E828" s="93"/>
      <c r="F828" s="94"/>
      <c r="G828" s="93" t="n">
        <v>43873</v>
      </c>
      <c r="H828" s="94" t="n">
        <v>273.26</v>
      </c>
      <c r="I828" s="95" t="n">
        <f aca="false">H828/H827-1</f>
        <v>-0.000840981388716244</v>
      </c>
    </row>
    <row r="829" customFormat="false" ht="18" hidden="false" customHeight="false" outlineLevel="0" collapsed="false">
      <c r="A829" s="89" t="n">
        <v>43917</v>
      </c>
      <c r="B829" s="90" t="n">
        <v>89.67</v>
      </c>
      <c r="C829" s="91" t="n">
        <f aca="false">B829/B828-1</f>
        <v>-0.00455150976909413</v>
      </c>
      <c r="E829" s="93"/>
      <c r="F829" s="94"/>
      <c r="G829" s="93" t="n">
        <v>43874</v>
      </c>
      <c r="H829" s="94" t="n">
        <v>274.52</v>
      </c>
      <c r="I829" s="95" t="n">
        <f aca="false">H829/H828-1</f>
        <v>0.00461099319329583</v>
      </c>
    </row>
    <row r="830" customFormat="false" ht="18" hidden="false" customHeight="false" outlineLevel="0" collapsed="false">
      <c r="A830" s="89" t="n">
        <v>43921</v>
      </c>
      <c r="B830" s="90" t="n">
        <v>88.92</v>
      </c>
      <c r="C830" s="91" t="n">
        <f aca="false">B830/B829-1</f>
        <v>-0.00836400133824022</v>
      </c>
      <c r="E830" s="93"/>
      <c r="F830" s="94"/>
      <c r="G830" s="93" t="n">
        <v>43875</v>
      </c>
      <c r="H830" s="94" t="n">
        <v>277.24</v>
      </c>
      <c r="I830" s="95" t="n">
        <f aca="false">H830/H829-1</f>
        <v>0.00990820340958765</v>
      </c>
    </row>
    <row r="831" customFormat="false" ht="18" hidden="false" customHeight="false" outlineLevel="0" collapsed="false">
      <c r="A831" s="89" t="n">
        <v>43922</v>
      </c>
      <c r="B831" s="90" t="n">
        <v>88.96</v>
      </c>
      <c r="C831" s="91" t="n">
        <f aca="false">B831/B830-1</f>
        <v>0.000449842555105606</v>
      </c>
      <c r="E831" s="93"/>
      <c r="F831" s="94"/>
      <c r="G831" s="93" t="n">
        <v>43876</v>
      </c>
      <c r="H831" s="94" t="n">
        <v>279.36</v>
      </c>
      <c r="I831" s="95" t="n">
        <f aca="false">H831/H830-1</f>
        <v>0.00764680421295627</v>
      </c>
    </row>
    <row r="832" customFormat="false" ht="18" hidden="false" customHeight="false" outlineLevel="0" collapsed="false">
      <c r="A832" s="89" t="n">
        <v>43923</v>
      </c>
      <c r="B832" s="90" t="n">
        <v>89.15</v>
      </c>
      <c r="C832" s="91" t="n">
        <f aca="false">B832/B831-1</f>
        <v>0.00213579136690667</v>
      </c>
      <c r="E832" s="93"/>
      <c r="F832" s="94"/>
      <c r="G832" s="93" t="n">
        <v>43879</v>
      </c>
      <c r="H832" s="94" t="n">
        <v>279.29</v>
      </c>
      <c r="I832" s="95" t="n">
        <f aca="false">H832/H831-1</f>
        <v>-0.000250572737686139</v>
      </c>
    </row>
    <row r="833" customFormat="false" ht="18" hidden="false" customHeight="false" outlineLevel="0" collapsed="false">
      <c r="A833" s="89" t="n">
        <v>43924</v>
      </c>
      <c r="B833" s="90" t="n">
        <v>89.11</v>
      </c>
      <c r="C833" s="91" t="n">
        <f aca="false">B833/B832-1</f>
        <v>-0.000448681996634948</v>
      </c>
      <c r="E833" s="93"/>
      <c r="F833" s="94"/>
      <c r="G833" s="93" t="n">
        <v>43880</v>
      </c>
      <c r="H833" s="94" t="n">
        <v>280.32</v>
      </c>
      <c r="I833" s="95" t="n">
        <f aca="false">H833/H832-1</f>
        <v>0.00368792294747378</v>
      </c>
    </row>
    <row r="834" customFormat="false" ht="18" hidden="false" customHeight="false" outlineLevel="0" collapsed="false">
      <c r="A834" s="89" t="n">
        <v>43925</v>
      </c>
      <c r="B834" s="90" t="n">
        <v>89.25</v>
      </c>
      <c r="C834" s="91" t="n">
        <f aca="false">B834/B833-1</f>
        <v>0.00157109190887672</v>
      </c>
      <c r="E834" s="93"/>
      <c r="F834" s="94"/>
      <c r="G834" s="93" t="n">
        <v>43881</v>
      </c>
      <c r="H834" s="94" t="n">
        <v>280.67</v>
      </c>
      <c r="I834" s="95" t="n">
        <f aca="false">H834/H833-1</f>
        <v>0.00124857305936077</v>
      </c>
    </row>
    <row r="835" customFormat="false" ht="18" hidden="false" customHeight="false" outlineLevel="0" collapsed="false">
      <c r="A835" s="89" t="n">
        <v>43928</v>
      </c>
      <c r="B835" s="90" t="n">
        <v>89.28</v>
      </c>
      <c r="C835" s="91" t="n">
        <f aca="false">B835/B834-1</f>
        <v>0.000336134453781556</v>
      </c>
      <c r="E835" s="93"/>
      <c r="F835" s="94"/>
      <c r="G835" s="93" t="n">
        <v>43882</v>
      </c>
      <c r="H835" s="94" t="n">
        <v>282.97</v>
      </c>
      <c r="I835" s="95" t="n">
        <f aca="false">H835/H834-1</f>
        <v>0.00819467702283827</v>
      </c>
    </row>
    <row r="836" customFormat="false" ht="18" hidden="false" customHeight="false" outlineLevel="0" collapsed="false">
      <c r="A836" s="89" t="n">
        <v>43929</v>
      </c>
      <c r="B836" s="90" t="n">
        <v>89.88</v>
      </c>
      <c r="C836" s="91" t="n">
        <f aca="false">B836/B835-1</f>
        <v>0.00672043010752677</v>
      </c>
      <c r="E836" s="93"/>
      <c r="F836" s="94"/>
      <c r="G836" s="93" t="n">
        <v>43883</v>
      </c>
      <c r="H836" s="94" t="n">
        <v>282.69</v>
      </c>
      <c r="I836" s="95" t="n">
        <f aca="false">H836/H835-1</f>
        <v>-0.000989504187723145</v>
      </c>
    </row>
    <row r="837" customFormat="false" ht="18" hidden="false" customHeight="false" outlineLevel="0" collapsed="false">
      <c r="A837" s="89" t="n">
        <v>43930</v>
      </c>
      <c r="B837" s="90" t="n">
        <v>88.46</v>
      </c>
      <c r="C837" s="91" t="n">
        <f aca="false">B837/B836-1</f>
        <v>-0.0157988429016467</v>
      </c>
      <c r="E837" s="93"/>
      <c r="F837" s="94"/>
      <c r="G837" s="93" t="n">
        <v>43886</v>
      </c>
      <c r="H837" s="94" t="n">
        <v>282.06</v>
      </c>
      <c r="I837" s="95" t="n">
        <f aca="false">H837/H836-1</f>
        <v>-0.0022285896211397</v>
      </c>
    </row>
    <row r="838" customFormat="false" ht="18" hidden="false" customHeight="false" outlineLevel="0" collapsed="false">
      <c r="A838" s="89" t="n">
        <v>43931</v>
      </c>
      <c r="B838" s="90" t="n">
        <v>88.2</v>
      </c>
      <c r="C838" s="91" t="n">
        <f aca="false">B838/B837-1</f>
        <v>-0.00293918155098338</v>
      </c>
      <c r="E838" s="93"/>
      <c r="F838" s="94"/>
      <c r="G838" s="93" t="n">
        <v>43887</v>
      </c>
      <c r="H838" s="94" t="n">
        <v>283.41</v>
      </c>
      <c r="I838" s="95" t="n">
        <f aca="false">H838/H837-1</f>
        <v>0.00478621569878768</v>
      </c>
    </row>
    <row r="839" customFormat="false" ht="18" hidden="false" customHeight="false" outlineLevel="0" collapsed="false">
      <c r="A839" s="89" t="n">
        <v>43932</v>
      </c>
      <c r="B839" s="90" t="n">
        <v>87.95</v>
      </c>
      <c r="C839" s="91" t="n">
        <f aca="false">B839/B838-1</f>
        <v>-0.00283446712018143</v>
      </c>
      <c r="E839" s="93"/>
      <c r="F839" s="94"/>
      <c r="G839" s="93" t="n">
        <v>43888</v>
      </c>
      <c r="H839" s="94" t="n">
        <v>280.09</v>
      </c>
      <c r="I839" s="95" t="n">
        <f aca="false">H839/H838-1</f>
        <v>-0.0117144772590948</v>
      </c>
    </row>
    <row r="840" customFormat="false" ht="18" hidden="false" customHeight="false" outlineLevel="0" collapsed="false">
      <c r="A840" s="89" t="n">
        <v>43935</v>
      </c>
      <c r="B840" s="90" t="n">
        <v>86.93</v>
      </c>
      <c r="C840" s="91" t="n">
        <f aca="false">B840/B839-1</f>
        <v>-0.0115974985787378</v>
      </c>
      <c r="E840" s="93"/>
      <c r="F840" s="94"/>
      <c r="G840" s="93" t="n">
        <v>43889</v>
      </c>
      <c r="H840" s="94" t="n">
        <v>281.25</v>
      </c>
      <c r="I840" s="95" t="n">
        <f aca="false">H840/H839-1</f>
        <v>0.00414152593809147</v>
      </c>
    </row>
    <row r="841" customFormat="false" ht="18" hidden="false" customHeight="false" outlineLevel="0" collapsed="false">
      <c r="A841" s="89" t="n">
        <v>43936</v>
      </c>
      <c r="B841" s="90" t="n">
        <v>86.66</v>
      </c>
      <c r="C841" s="91" t="n">
        <f aca="false">B841/B840-1</f>
        <v>-0.00310594731393088</v>
      </c>
      <c r="E841" s="93"/>
      <c r="F841" s="94"/>
      <c r="G841" s="93" t="n">
        <v>43890</v>
      </c>
      <c r="H841" s="94" t="n">
        <v>282.53</v>
      </c>
      <c r="I841" s="95" t="n">
        <f aca="false">H841/H840-1</f>
        <v>0.00455111111111095</v>
      </c>
    </row>
    <row r="842" customFormat="false" ht="18" hidden="false" customHeight="false" outlineLevel="0" collapsed="false">
      <c r="A842" s="89" t="n">
        <v>43937</v>
      </c>
      <c r="B842" s="90" t="n">
        <v>87.34</v>
      </c>
      <c r="C842" s="91" t="n">
        <f aca="false">B842/B841-1</f>
        <v>0.00784675744288021</v>
      </c>
      <c r="E842" s="93"/>
      <c r="F842" s="94"/>
      <c r="G842" s="93" t="n">
        <v>43893</v>
      </c>
      <c r="H842" s="94" t="n">
        <v>283.43</v>
      </c>
      <c r="I842" s="95" t="n">
        <f aca="false">H842/H841-1</f>
        <v>0.00318550242452131</v>
      </c>
    </row>
    <row r="843" customFormat="false" ht="18" hidden="false" customHeight="false" outlineLevel="0" collapsed="false">
      <c r="A843" s="89" t="n">
        <v>43938</v>
      </c>
      <c r="B843" s="90" t="n">
        <v>87.27</v>
      </c>
      <c r="C843" s="91" t="n">
        <f aca="false">B843/B842-1</f>
        <v>-0.000801465536982016</v>
      </c>
      <c r="E843" s="93"/>
      <c r="F843" s="94"/>
      <c r="G843" s="93" t="n">
        <v>43894</v>
      </c>
      <c r="H843" s="94" t="n">
        <v>281.72</v>
      </c>
      <c r="I843" s="95" t="n">
        <f aca="false">H843/H842-1</f>
        <v>-0.00603323571957792</v>
      </c>
    </row>
    <row r="844" customFormat="false" ht="18" hidden="false" customHeight="false" outlineLevel="0" collapsed="false">
      <c r="A844" s="89" t="n">
        <v>43939</v>
      </c>
      <c r="B844" s="90" t="n">
        <v>87.52</v>
      </c>
      <c r="C844" s="91" t="n">
        <f aca="false">B844/B843-1</f>
        <v>0.00286467285435998</v>
      </c>
      <c r="E844" s="93"/>
      <c r="F844" s="94"/>
      <c r="G844" s="93" t="n">
        <v>43895</v>
      </c>
      <c r="H844" s="94" t="n">
        <v>283.2</v>
      </c>
      <c r="I844" s="95" t="n">
        <f aca="false">H844/H843-1</f>
        <v>0.00525344313502751</v>
      </c>
    </row>
    <row r="845" customFormat="false" ht="18" hidden="false" customHeight="false" outlineLevel="0" collapsed="false">
      <c r="A845" s="89" t="n">
        <v>43942</v>
      </c>
      <c r="B845" s="90" t="n">
        <v>87.99</v>
      </c>
      <c r="C845" s="91" t="n">
        <f aca="false">B845/B844-1</f>
        <v>0.00537020109689212</v>
      </c>
      <c r="E845" s="93"/>
      <c r="F845" s="94"/>
      <c r="G845" s="93" t="n">
        <v>43896</v>
      </c>
      <c r="H845" s="94" t="n">
        <v>283.71</v>
      </c>
      <c r="I845" s="95" t="n">
        <f aca="false">H845/H844-1</f>
        <v>0.00180084745762699</v>
      </c>
    </row>
    <row r="846" customFormat="false" ht="18" hidden="false" customHeight="false" outlineLevel="0" collapsed="false">
      <c r="A846" s="89" t="n">
        <v>43943</v>
      </c>
      <c r="B846" s="90" t="n">
        <v>88.11</v>
      </c>
      <c r="C846" s="91" t="n">
        <f aca="false">B846/B845-1</f>
        <v>0.00136379133992515</v>
      </c>
      <c r="E846" s="93"/>
      <c r="F846" s="94"/>
      <c r="G846" s="93" t="n">
        <v>43897</v>
      </c>
      <c r="H846" s="94" t="n">
        <v>284.6</v>
      </c>
      <c r="I846" s="95" t="n">
        <f aca="false">H846/H845-1</f>
        <v>0.00313700609777601</v>
      </c>
    </row>
    <row r="847" customFormat="false" ht="18" hidden="false" customHeight="false" outlineLevel="0" collapsed="false">
      <c r="A847" s="89" t="n">
        <v>43944</v>
      </c>
      <c r="B847" s="90" t="n">
        <v>87.48</v>
      </c>
      <c r="C847" s="91" t="n">
        <f aca="false">B847/B846-1</f>
        <v>-0.00715015321756884</v>
      </c>
      <c r="E847" s="93"/>
      <c r="F847" s="94"/>
      <c r="G847" s="93" t="n">
        <v>43900</v>
      </c>
      <c r="H847" s="94" t="n">
        <v>285.17</v>
      </c>
      <c r="I847" s="95" t="n">
        <f aca="false">H847/H846-1</f>
        <v>0.00200281096275479</v>
      </c>
    </row>
    <row r="848" customFormat="false" ht="18" hidden="false" customHeight="false" outlineLevel="0" collapsed="false">
      <c r="A848" s="89" t="n">
        <v>43945</v>
      </c>
      <c r="B848" s="90" t="n">
        <v>87.23</v>
      </c>
      <c r="C848" s="91" t="n">
        <f aca="false">B848/B847-1</f>
        <v>-0.00285779606767256</v>
      </c>
      <c r="E848" s="93"/>
      <c r="F848" s="94"/>
      <c r="G848" s="93" t="n">
        <v>43901</v>
      </c>
      <c r="H848" s="94" t="n">
        <v>287.26</v>
      </c>
      <c r="I848" s="95" t="n">
        <f aca="false">H848/H847-1</f>
        <v>0.00732896167198494</v>
      </c>
    </row>
    <row r="849" customFormat="false" ht="18" hidden="false" customHeight="false" outlineLevel="0" collapsed="false">
      <c r="A849" s="89" t="n">
        <v>43946</v>
      </c>
      <c r="B849" s="90" t="n">
        <v>87.61</v>
      </c>
      <c r="C849" s="91" t="n">
        <f aca="false">B849/B848-1</f>
        <v>0.00435629943826665</v>
      </c>
      <c r="E849" s="93"/>
      <c r="F849" s="94"/>
      <c r="G849" s="93" t="n">
        <v>43902</v>
      </c>
      <c r="H849" s="94" t="n">
        <v>285.71</v>
      </c>
      <c r="I849" s="95" t="n">
        <f aca="false">H849/H848-1</f>
        <v>-0.00539580867506795</v>
      </c>
    </row>
    <row r="850" customFormat="false" ht="18" hidden="false" customHeight="false" outlineLevel="0" collapsed="false">
      <c r="A850" s="89" t="n">
        <v>43949</v>
      </c>
      <c r="B850" s="90" t="n">
        <v>88.04</v>
      </c>
      <c r="C850" s="91" t="n">
        <f aca="false">B850/B849-1</f>
        <v>0.00490811551192794</v>
      </c>
      <c r="E850" s="93"/>
      <c r="F850" s="94"/>
      <c r="G850" s="93" t="n">
        <v>43903</v>
      </c>
      <c r="H850" s="94" t="n">
        <v>286.34</v>
      </c>
      <c r="I850" s="95" t="n">
        <f aca="false">H850/H849-1</f>
        <v>0.00220503307549613</v>
      </c>
    </row>
    <row r="851" customFormat="false" ht="18" hidden="false" customHeight="false" outlineLevel="0" collapsed="false">
      <c r="A851" s="89" t="n">
        <v>43950</v>
      </c>
      <c r="B851" s="90" t="n">
        <v>87.15</v>
      </c>
      <c r="C851" s="91" t="n">
        <f aca="false">B851/B850-1</f>
        <v>-0.0101090413448433</v>
      </c>
      <c r="E851" s="93"/>
      <c r="F851" s="94"/>
      <c r="G851" s="93" t="n">
        <v>43904</v>
      </c>
      <c r="H851" s="94" t="n">
        <v>283.88</v>
      </c>
      <c r="I851" s="95" t="n">
        <f aca="false">H851/H850-1</f>
        <v>-0.00859118530418379</v>
      </c>
    </row>
    <row r="852" customFormat="false" ht="18" hidden="false" customHeight="false" outlineLevel="0" collapsed="false">
      <c r="A852" s="89" t="n">
        <v>43951</v>
      </c>
      <c r="B852" s="90" t="n">
        <v>87.15</v>
      </c>
      <c r="C852" s="91" t="n">
        <f aca="false">B852/B851-1</f>
        <v>0</v>
      </c>
      <c r="E852" s="93"/>
      <c r="F852" s="94"/>
      <c r="G852" s="93" t="n">
        <v>43907</v>
      </c>
      <c r="H852" s="94" t="n">
        <v>284.82</v>
      </c>
      <c r="I852" s="95" t="n">
        <f aca="false">H852/H851-1</f>
        <v>0.0033112582781456</v>
      </c>
    </row>
    <row r="853" customFormat="false" ht="18" hidden="false" customHeight="false" outlineLevel="0" collapsed="false">
      <c r="A853" s="89" t="n">
        <v>43952</v>
      </c>
      <c r="B853" s="90" t="n">
        <v>87.86</v>
      </c>
      <c r="C853" s="91" t="n">
        <f aca="false">B853/B852-1</f>
        <v>0.00814687320711416</v>
      </c>
      <c r="E853" s="93"/>
      <c r="F853" s="94"/>
      <c r="G853" s="93" t="n">
        <v>43908</v>
      </c>
      <c r="H853" s="94" t="n">
        <v>282.51</v>
      </c>
      <c r="I853" s="95" t="n">
        <f aca="false">H853/H852-1</f>
        <v>-0.00811038550663579</v>
      </c>
    </row>
    <row r="854" customFormat="false" ht="18" hidden="false" customHeight="false" outlineLevel="0" collapsed="false">
      <c r="A854" s="89" t="n">
        <v>43953</v>
      </c>
      <c r="B854" s="90" t="n">
        <v>88.58</v>
      </c>
      <c r="C854" s="91" t="n">
        <f aca="false">B854/B853-1</f>
        <v>0.00819485545185517</v>
      </c>
      <c r="E854" s="93"/>
      <c r="F854" s="94"/>
      <c r="G854" s="93" t="n">
        <v>43909</v>
      </c>
      <c r="H854" s="94" t="n">
        <v>283.09</v>
      </c>
      <c r="I854" s="95" t="n">
        <f aca="false">H854/H853-1</f>
        <v>0.00205302467169299</v>
      </c>
    </row>
    <row r="855" customFormat="false" ht="18" hidden="false" customHeight="false" outlineLevel="0" collapsed="false">
      <c r="A855" s="89" t="n">
        <v>43956</v>
      </c>
      <c r="B855" s="90" t="n">
        <v>88.83</v>
      </c>
      <c r="C855" s="91" t="n">
        <f aca="false">B855/B854-1</f>
        <v>0.00282230751862733</v>
      </c>
      <c r="E855" s="93"/>
      <c r="F855" s="94"/>
      <c r="G855" s="93" t="n">
        <v>43910</v>
      </c>
      <c r="H855" s="94" t="n">
        <v>286.22</v>
      </c>
      <c r="I855" s="95" t="n">
        <f aca="false">H855/H854-1</f>
        <v>0.0110565544526477</v>
      </c>
    </row>
    <row r="856" customFormat="false" ht="18" hidden="false" customHeight="false" outlineLevel="0" collapsed="false">
      <c r="A856" s="89" t="n">
        <v>43957</v>
      </c>
      <c r="B856" s="90" t="n">
        <v>88.9</v>
      </c>
      <c r="C856" s="91" t="n">
        <f aca="false">B856/B855-1</f>
        <v>0.000788022064617921</v>
      </c>
      <c r="E856" s="93"/>
      <c r="F856" s="94"/>
      <c r="G856" s="93" t="n">
        <v>43911</v>
      </c>
      <c r="H856" s="94" t="n">
        <v>284.14</v>
      </c>
      <c r="I856" s="95" t="n">
        <f aca="false">H856/H855-1</f>
        <v>-0.00726713716721417</v>
      </c>
    </row>
    <row r="857" customFormat="false" ht="18" hidden="false" customHeight="false" outlineLevel="0" collapsed="false">
      <c r="A857" s="89" t="n">
        <v>43958</v>
      </c>
      <c r="B857" s="90" t="n">
        <v>88.57</v>
      </c>
      <c r="C857" s="91" t="n">
        <f aca="false">B857/B856-1</f>
        <v>-0.00371203599550074</v>
      </c>
      <c r="E857" s="93"/>
      <c r="F857" s="94"/>
      <c r="G857" s="93" t="n">
        <v>43914</v>
      </c>
      <c r="H857" s="94" t="n">
        <v>283.47</v>
      </c>
      <c r="I857" s="95" t="n">
        <f aca="false">H857/H856-1</f>
        <v>-0.00235799253888913</v>
      </c>
    </row>
    <row r="858" customFormat="false" ht="18" hidden="false" customHeight="false" outlineLevel="0" collapsed="false">
      <c r="A858" s="89" t="n">
        <v>43959</v>
      </c>
      <c r="B858" s="90" t="n">
        <v>88.87</v>
      </c>
      <c r="C858" s="91" t="n">
        <f aca="false">B858/B857-1</f>
        <v>0.00338715140566803</v>
      </c>
      <c r="E858" s="93"/>
      <c r="F858" s="94"/>
      <c r="G858" s="93" t="n">
        <v>43915</v>
      </c>
      <c r="H858" s="94" t="n">
        <v>283.75</v>
      </c>
      <c r="I858" s="95" t="n">
        <f aca="false">H858/H857-1</f>
        <v>0.000987758845733211</v>
      </c>
    </row>
    <row r="859" customFormat="false" ht="18" hidden="false" customHeight="false" outlineLevel="0" collapsed="false">
      <c r="A859" s="89" t="n">
        <v>43960</v>
      </c>
      <c r="B859" s="90" t="n">
        <v>88.66</v>
      </c>
      <c r="C859" s="91" t="n">
        <f aca="false">B859/B858-1</f>
        <v>-0.00236300213795437</v>
      </c>
      <c r="E859" s="93"/>
      <c r="F859" s="94"/>
      <c r="G859" s="93" t="n">
        <v>43916</v>
      </c>
      <c r="H859" s="94" t="n">
        <v>283.13</v>
      </c>
      <c r="I859" s="95" t="n">
        <f aca="false">H859/H858-1</f>
        <v>-0.00218502202643178</v>
      </c>
    </row>
    <row r="860" customFormat="false" ht="18" hidden="false" customHeight="false" outlineLevel="0" collapsed="false">
      <c r="A860" s="89" t="n">
        <v>43963</v>
      </c>
      <c r="B860" s="90" t="n">
        <v>88.75</v>
      </c>
      <c r="C860" s="91" t="n">
        <f aca="false">B860/B859-1</f>
        <v>0.00101511391833986</v>
      </c>
      <c r="E860" s="93"/>
      <c r="F860" s="94"/>
      <c r="G860" s="93" t="n">
        <v>43917</v>
      </c>
      <c r="H860" s="94" t="n">
        <v>284.14</v>
      </c>
      <c r="I860" s="95" t="n">
        <f aca="false">H860/H859-1</f>
        <v>0.00356726592024859</v>
      </c>
    </row>
    <row r="861" customFormat="false" ht="18" hidden="false" customHeight="false" outlineLevel="0" collapsed="false">
      <c r="A861" s="89" t="n">
        <v>43964</v>
      </c>
      <c r="B861" s="90" t="n">
        <v>88.95</v>
      </c>
      <c r="C861" s="91" t="n">
        <f aca="false">B861/B860-1</f>
        <v>0.00225352112676069</v>
      </c>
      <c r="E861" s="93"/>
      <c r="F861" s="94"/>
      <c r="G861" s="93" t="n">
        <v>43918</v>
      </c>
      <c r="H861" s="94" t="n">
        <v>284.68</v>
      </c>
      <c r="I861" s="95" t="n">
        <f aca="false">H861/H860-1</f>
        <v>0.00190047159850781</v>
      </c>
    </row>
    <row r="862" customFormat="false" ht="18" hidden="false" customHeight="false" outlineLevel="0" collapsed="false">
      <c r="A862" s="89" t="n">
        <v>43965</v>
      </c>
      <c r="B862" s="90" t="n">
        <v>89.88</v>
      </c>
      <c r="C862" s="91" t="n">
        <f aca="false">B862/B861-1</f>
        <v>0.0104553119730184</v>
      </c>
      <c r="E862" s="93"/>
      <c r="F862" s="94"/>
      <c r="G862" s="93" t="n">
        <v>43921</v>
      </c>
      <c r="H862" s="94" t="n">
        <v>284.88</v>
      </c>
      <c r="I862" s="95" t="n">
        <f aca="false">H862/H861-1</f>
        <v>0.000702543206407169</v>
      </c>
    </row>
    <row r="863" customFormat="false" ht="18" hidden="false" customHeight="false" outlineLevel="0" collapsed="false">
      <c r="A863" s="89" t="n">
        <v>43966</v>
      </c>
      <c r="B863" s="90" t="n">
        <v>89.58</v>
      </c>
      <c r="C863" s="91" t="n">
        <f aca="false">B863/B862-1</f>
        <v>-0.00333778371161542</v>
      </c>
      <c r="E863" s="93"/>
      <c r="F863" s="94"/>
      <c r="G863" s="93" t="n">
        <v>43922</v>
      </c>
      <c r="H863" s="94" t="n">
        <v>287.31</v>
      </c>
      <c r="I863" s="95" t="n">
        <f aca="false">H863/H862-1</f>
        <v>0.00852990732940184</v>
      </c>
    </row>
    <row r="864" customFormat="false" ht="18" hidden="false" customHeight="false" outlineLevel="0" collapsed="false">
      <c r="A864" s="89" t="n">
        <v>43967</v>
      </c>
      <c r="B864" s="90" t="n">
        <v>89.41</v>
      </c>
      <c r="C864" s="91" t="n">
        <f aca="false">B864/B863-1</f>
        <v>-0.00189774503237328</v>
      </c>
      <c r="E864" s="93"/>
      <c r="F864" s="94"/>
      <c r="G864" s="93" t="n">
        <v>43923</v>
      </c>
      <c r="H864" s="94" t="n">
        <v>286.38</v>
      </c>
      <c r="I864" s="95" t="n">
        <f aca="false">H864/H863-1</f>
        <v>-0.00323692179179291</v>
      </c>
    </row>
    <row r="865" customFormat="false" ht="18" hidden="false" customHeight="false" outlineLevel="0" collapsed="false">
      <c r="A865" s="89" t="n">
        <v>43970</v>
      </c>
      <c r="B865" s="90" t="n">
        <v>89.42</v>
      </c>
      <c r="C865" s="91" t="n">
        <f aca="false">B865/B864-1</f>
        <v>0.000111844312716825</v>
      </c>
      <c r="E865" s="93"/>
      <c r="F865" s="94"/>
      <c r="G865" s="93" t="n">
        <v>43924</v>
      </c>
      <c r="H865" s="94" t="n">
        <v>287.41</v>
      </c>
      <c r="I865" s="95" t="n">
        <f aca="false">H865/H864-1</f>
        <v>0.00359661987568982</v>
      </c>
    </row>
    <row r="866" customFormat="false" ht="18" hidden="false" customHeight="false" outlineLevel="0" collapsed="false">
      <c r="A866" s="89" t="n">
        <v>43971</v>
      </c>
      <c r="B866" s="90" t="n">
        <v>89.49</v>
      </c>
      <c r="C866" s="91" t="n">
        <f aca="false">B866/B865-1</f>
        <v>0.000782822634757263</v>
      </c>
      <c r="E866" s="93"/>
      <c r="F866" s="94"/>
      <c r="G866" s="93" t="n">
        <v>43925</v>
      </c>
      <c r="H866" s="94" t="n">
        <v>287.29</v>
      </c>
      <c r="I866" s="95" t="n">
        <f aca="false">H866/H865-1</f>
        <v>-0.000417522006889159</v>
      </c>
    </row>
    <row r="867" customFormat="false" ht="18" hidden="false" customHeight="false" outlineLevel="0" collapsed="false">
      <c r="A867" s="89" t="n">
        <v>43972</v>
      </c>
      <c r="B867" s="90" t="n">
        <v>89.2</v>
      </c>
      <c r="C867" s="91" t="n">
        <f aca="false">B867/B866-1</f>
        <v>-0.00324058554028372</v>
      </c>
      <c r="E867" s="93"/>
      <c r="F867" s="94"/>
      <c r="G867" s="93" t="n">
        <v>43928</v>
      </c>
      <c r="H867" s="94" t="n">
        <v>288.21</v>
      </c>
      <c r="I867" s="95" t="n">
        <f aca="false">H867/H866-1</f>
        <v>0.00320233909986412</v>
      </c>
    </row>
    <row r="868" customFormat="false" ht="18" hidden="false" customHeight="false" outlineLevel="0" collapsed="false">
      <c r="A868" s="89" t="n">
        <v>43973</v>
      </c>
      <c r="B868" s="90" t="n">
        <v>88.59</v>
      </c>
      <c r="C868" s="91" t="n">
        <f aca="false">B868/B867-1</f>
        <v>-0.00683856502242153</v>
      </c>
      <c r="E868" s="93"/>
      <c r="F868" s="94"/>
      <c r="G868" s="93" t="n">
        <v>43929</v>
      </c>
      <c r="H868" s="94" t="n">
        <v>290.18</v>
      </c>
      <c r="I868" s="95" t="n">
        <f aca="false">H868/H867-1</f>
        <v>0.00683529370944802</v>
      </c>
    </row>
    <row r="869" customFormat="false" ht="18" hidden="false" customHeight="false" outlineLevel="0" collapsed="false">
      <c r="A869" s="89" t="n">
        <v>43974</v>
      </c>
      <c r="B869" s="90" t="n">
        <v>88.94</v>
      </c>
      <c r="C869" s="91" t="n">
        <f aca="false">B869/B868-1</f>
        <v>0.00395078451292474</v>
      </c>
      <c r="E869" s="93"/>
      <c r="F869" s="94"/>
      <c r="G869" s="93" t="n">
        <v>43930</v>
      </c>
      <c r="H869" s="94" t="n">
        <v>290.59</v>
      </c>
      <c r="I869" s="95" t="n">
        <f aca="false">H869/H868-1</f>
        <v>0.00141291612102812</v>
      </c>
    </row>
    <row r="870" customFormat="false" ht="18" hidden="false" customHeight="false" outlineLevel="0" collapsed="false">
      <c r="A870" s="89" t="n">
        <v>43978</v>
      </c>
      <c r="B870" s="90" t="n">
        <v>88.41</v>
      </c>
      <c r="C870" s="91" t="n">
        <f aca="false">B870/B869-1</f>
        <v>-0.00595907353271874</v>
      </c>
      <c r="E870" s="93"/>
      <c r="F870" s="94"/>
      <c r="G870" s="93" t="n">
        <v>43931</v>
      </c>
      <c r="H870" s="94" t="n">
        <v>289.87</v>
      </c>
      <c r="I870" s="95" t="n">
        <f aca="false">H870/H869-1</f>
        <v>-0.00247771774665329</v>
      </c>
    </row>
    <row r="871" customFormat="false" ht="18" hidden="false" customHeight="false" outlineLevel="0" collapsed="false">
      <c r="A871" s="89" t="n">
        <v>43979</v>
      </c>
      <c r="B871" s="90" t="n">
        <v>88.09</v>
      </c>
      <c r="C871" s="91" t="n">
        <f aca="false">B871/B870-1</f>
        <v>-0.00361950005655465</v>
      </c>
      <c r="E871" s="93"/>
      <c r="F871" s="94"/>
      <c r="G871" s="93" t="n">
        <v>43932</v>
      </c>
      <c r="H871" s="94" t="n">
        <v>286.72</v>
      </c>
      <c r="I871" s="95" t="n">
        <f aca="false">H871/H870-1</f>
        <v>-0.0108669403525717</v>
      </c>
    </row>
    <row r="872" customFormat="false" ht="18" hidden="false" customHeight="false" outlineLevel="0" collapsed="false">
      <c r="A872" s="89" t="n">
        <v>43980</v>
      </c>
      <c r="B872" s="90" t="n">
        <v>88.62</v>
      </c>
      <c r="C872" s="91" t="n">
        <f aca="false">B872/B871-1</f>
        <v>0.00601657395845168</v>
      </c>
      <c r="E872" s="93"/>
      <c r="F872" s="94"/>
      <c r="G872" s="93" t="n">
        <v>43935</v>
      </c>
      <c r="H872" s="94" t="n">
        <v>283.89</v>
      </c>
      <c r="I872" s="95" t="n">
        <f aca="false">H872/H871-1</f>
        <v>-0.00987025669642871</v>
      </c>
    </row>
    <row r="873" customFormat="false" ht="18" hidden="false" customHeight="false" outlineLevel="0" collapsed="false">
      <c r="A873" s="89" t="n">
        <v>43981</v>
      </c>
      <c r="B873" s="90" t="n">
        <v>89.05</v>
      </c>
      <c r="C873" s="91" t="n">
        <f aca="false">B873/B872-1</f>
        <v>0.00485217783795977</v>
      </c>
      <c r="E873" s="93"/>
      <c r="F873" s="94"/>
      <c r="G873" s="93" t="n">
        <v>43936</v>
      </c>
      <c r="H873" s="94" t="n">
        <v>278.69</v>
      </c>
      <c r="I873" s="95" t="n">
        <f aca="false">H873/H872-1</f>
        <v>-0.0183169537496918</v>
      </c>
    </row>
    <row r="874" customFormat="false" ht="18" hidden="false" customHeight="false" outlineLevel="0" collapsed="false">
      <c r="A874" s="89" t="n">
        <v>43984</v>
      </c>
      <c r="B874" s="90" t="n">
        <v>89.09</v>
      </c>
      <c r="C874" s="91" t="n">
        <f aca="false">B874/B873-1</f>
        <v>0.000449185850645684</v>
      </c>
      <c r="E874" s="93"/>
      <c r="F874" s="94"/>
      <c r="G874" s="93" t="n">
        <v>43937</v>
      </c>
      <c r="H874" s="94" t="n">
        <v>280.21</v>
      </c>
      <c r="I874" s="95" t="n">
        <f aca="false">H874/H873-1</f>
        <v>0.00545408877247122</v>
      </c>
    </row>
    <row r="875" customFormat="false" ht="18" hidden="false" customHeight="false" outlineLevel="0" collapsed="false">
      <c r="A875" s="89" t="n">
        <v>43985</v>
      </c>
      <c r="B875" s="90" t="n">
        <v>89.15</v>
      </c>
      <c r="C875" s="91" t="n">
        <f aca="false">B875/B874-1</f>
        <v>0.000673476259961836</v>
      </c>
      <c r="E875" s="93"/>
      <c r="F875" s="94"/>
      <c r="G875" s="93" t="n">
        <v>43938</v>
      </c>
      <c r="H875" s="94" t="n">
        <v>281.02</v>
      </c>
      <c r="I875" s="95" t="n">
        <f aca="false">H875/H874-1</f>
        <v>0.00289068912601254</v>
      </c>
    </row>
    <row r="876" customFormat="false" ht="18" hidden="false" customHeight="false" outlineLevel="0" collapsed="false">
      <c r="A876" s="89" t="n">
        <v>43986</v>
      </c>
      <c r="B876" s="90" t="n">
        <v>89.39</v>
      </c>
      <c r="C876" s="91" t="n">
        <f aca="false">B876/B875-1</f>
        <v>0.00269209197980924</v>
      </c>
      <c r="E876" s="93"/>
      <c r="F876" s="94"/>
      <c r="G876" s="93" t="n">
        <v>43939</v>
      </c>
      <c r="H876" s="94" t="n">
        <v>277.82</v>
      </c>
      <c r="I876" s="95" t="n">
        <f aca="false">H876/H875-1</f>
        <v>-0.0113870898868408</v>
      </c>
    </row>
    <row r="877" customFormat="false" ht="18" hidden="false" customHeight="false" outlineLevel="0" collapsed="false">
      <c r="A877" s="89" t="n">
        <v>43987</v>
      </c>
      <c r="B877" s="90" t="n">
        <v>89.18</v>
      </c>
      <c r="C877" s="91" t="n">
        <f aca="false">B877/B876-1</f>
        <v>-0.00234925606891145</v>
      </c>
      <c r="E877" s="93"/>
      <c r="F877" s="94"/>
      <c r="G877" s="93" t="n">
        <v>43942</v>
      </c>
      <c r="H877" s="94" t="n">
        <v>279.23</v>
      </c>
      <c r="I877" s="95" t="n">
        <f aca="false">H877/H876-1</f>
        <v>0.00507522856525822</v>
      </c>
    </row>
    <row r="878" customFormat="false" ht="18" hidden="false" customHeight="false" outlineLevel="0" collapsed="false">
      <c r="A878" s="89" t="n">
        <v>43988</v>
      </c>
      <c r="B878" s="90" t="n">
        <v>88.48</v>
      </c>
      <c r="C878" s="91" t="n">
        <f aca="false">B878/B877-1</f>
        <v>-0.00784929356357933</v>
      </c>
      <c r="E878" s="93"/>
      <c r="F878" s="94"/>
      <c r="G878" s="93" t="n">
        <v>43943</v>
      </c>
      <c r="H878" s="94" t="n">
        <v>281.38</v>
      </c>
      <c r="I878" s="95" t="n">
        <f aca="false">H878/H877-1</f>
        <v>0.00769974572932708</v>
      </c>
    </row>
    <row r="879" customFormat="false" ht="18" hidden="false" customHeight="false" outlineLevel="0" collapsed="false">
      <c r="A879" s="89" t="n">
        <v>43991</v>
      </c>
      <c r="B879" s="90" t="n">
        <v>88.46</v>
      </c>
      <c r="C879" s="91" t="n">
        <f aca="false">B879/B878-1</f>
        <v>-0.000226039783001952</v>
      </c>
      <c r="E879" s="93"/>
      <c r="F879" s="94"/>
      <c r="G879" s="93" t="n">
        <v>43944</v>
      </c>
      <c r="H879" s="94" t="n">
        <v>284.66</v>
      </c>
      <c r="I879" s="95" t="n">
        <f aca="false">H879/H878-1</f>
        <v>0.0116568341744261</v>
      </c>
    </row>
    <row r="880" customFormat="false" ht="18" hidden="false" customHeight="false" outlineLevel="0" collapsed="false">
      <c r="A880" s="89" t="n">
        <v>43992</v>
      </c>
      <c r="B880" s="90" t="n">
        <v>88.8</v>
      </c>
      <c r="C880" s="91" t="n">
        <f aca="false">B880/B879-1</f>
        <v>0.00384354510513241</v>
      </c>
      <c r="E880" s="93"/>
      <c r="F880" s="94"/>
      <c r="G880" s="93" t="n">
        <v>43945</v>
      </c>
      <c r="H880" s="94" t="n">
        <v>283.96</v>
      </c>
      <c r="I880" s="95" t="n">
        <f aca="false">H880/H879-1</f>
        <v>-0.00245907398299738</v>
      </c>
    </row>
    <row r="881" customFormat="false" ht="18" hidden="false" customHeight="false" outlineLevel="0" collapsed="false">
      <c r="A881" s="89" t="n">
        <v>43993</v>
      </c>
      <c r="B881" s="90" t="n">
        <v>89.15</v>
      </c>
      <c r="C881" s="91" t="n">
        <f aca="false">B881/B880-1</f>
        <v>0.0039414414414416</v>
      </c>
      <c r="E881" s="93"/>
      <c r="F881" s="94"/>
      <c r="G881" s="93" t="n">
        <v>43946</v>
      </c>
      <c r="H881" s="94" t="n">
        <v>287.24</v>
      </c>
      <c r="I881" s="95" t="n">
        <f aca="false">H881/H880-1</f>
        <v>0.0115509226651642</v>
      </c>
    </row>
    <row r="882" customFormat="false" ht="18" hidden="false" customHeight="false" outlineLevel="0" collapsed="false">
      <c r="A882" s="89" t="n">
        <v>43994</v>
      </c>
      <c r="B882" s="90" t="n">
        <v>89.39</v>
      </c>
      <c r="C882" s="91" t="n">
        <f aca="false">B882/B881-1</f>
        <v>0.00269209197980924</v>
      </c>
      <c r="E882" s="93"/>
      <c r="F882" s="94"/>
      <c r="G882" s="93" t="n">
        <v>43949</v>
      </c>
      <c r="H882" s="94" t="n">
        <v>290.11</v>
      </c>
      <c r="I882" s="95" t="n">
        <f aca="false">H882/H881-1</f>
        <v>0.00999164461774127</v>
      </c>
    </row>
    <row r="883" customFormat="false" ht="18" hidden="false" customHeight="false" outlineLevel="0" collapsed="false">
      <c r="A883" s="89" t="n">
        <v>43995</v>
      </c>
      <c r="B883" s="90" t="n">
        <v>89.28</v>
      </c>
      <c r="C883" s="91" t="n">
        <f aca="false">B883/B882-1</f>
        <v>-0.00123056270276312</v>
      </c>
      <c r="E883" s="93"/>
      <c r="F883" s="94"/>
      <c r="G883" s="93" t="n">
        <v>43950</v>
      </c>
      <c r="H883" s="94" t="n">
        <v>288.71</v>
      </c>
      <c r="I883" s="95" t="n">
        <f aca="false">H883/H882-1</f>
        <v>-0.00482575574781996</v>
      </c>
    </row>
    <row r="884" customFormat="false" ht="18" hidden="false" customHeight="false" outlineLevel="0" collapsed="false">
      <c r="A884" s="89" t="n">
        <v>43998</v>
      </c>
      <c r="B884" s="90" t="n">
        <v>89.01</v>
      </c>
      <c r="C884" s="91" t="n">
        <f aca="false">B884/B883-1</f>
        <v>-0.00302419354838701</v>
      </c>
      <c r="E884" s="93"/>
      <c r="F884" s="94"/>
      <c r="G884" s="93" t="n">
        <v>43951</v>
      </c>
      <c r="H884" s="94" t="n">
        <v>288.62</v>
      </c>
      <c r="I884" s="95" t="n">
        <f aca="false">H884/H883-1</f>
        <v>-0.000311731495271972</v>
      </c>
    </row>
    <row r="885" customFormat="false" ht="18" hidden="false" customHeight="false" outlineLevel="0" collapsed="false">
      <c r="A885" s="89" t="n">
        <v>43999</v>
      </c>
      <c r="B885" s="90" t="n">
        <v>89.6</v>
      </c>
      <c r="C885" s="91" t="n">
        <f aca="false">B885/B884-1</f>
        <v>0.00662846871138068</v>
      </c>
      <c r="E885" s="93"/>
      <c r="F885" s="94"/>
      <c r="G885" s="93" t="n">
        <v>43952</v>
      </c>
      <c r="H885" s="94" t="n">
        <v>290.66</v>
      </c>
      <c r="I885" s="95" t="n">
        <f aca="false">H885/H884-1</f>
        <v>0.00706811724759215</v>
      </c>
    </row>
    <row r="886" customFormat="false" ht="18" hidden="false" customHeight="false" outlineLevel="0" collapsed="false">
      <c r="A886" s="89" t="n">
        <v>44001</v>
      </c>
      <c r="B886" s="90" t="n">
        <v>89.27</v>
      </c>
      <c r="C886" s="91" t="n">
        <f aca="false">B886/B885-1</f>
        <v>-0.00368303571428574</v>
      </c>
      <c r="E886" s="93"/>
      <c r="F886" s="94"/>
      <c r="G886" s="93" t="n">
        <v>43953</v>
      </c>
      <c r="H886" s="94" t="n">
        <v>292.85</v>
      </c>
      <c r="I886" s="95" t="n">
        <f aca="false">H886/H885-1</f>
        <v>0.00753457648111189</v>
      </c>
    </row>
    <row r="887" customFormat="false" ht="18" hidden="false" customHeight="false" outlineLevel="0" collapsed="false">
      <c r="A887" s="89" t="n">
        <v>44002</v>
      </c>
      <c r="B887" s="90" t="n">
        <v>89.38</v>
      </c>
      <c r="C887" s="91" t="n">
        <f aca="false">B887/B886-1</f>
        <v>0.00123221687016906</v>
      </c>
      <c r="E887" s="93"/>
      <c r="F887" s="94"/>
      <c r="G887" s="93" t="n">
        <v>43956</v>
      </c>
      <c r="H887" s="94" t="n">
        <v>294.23</v>
      </c>
      <c r="I887" s="95" t="n">
        <f aca="false">H887/H886-1</f>
        <v>0.00471231005634287</v>
      </c>
    </row>
    <row r="888" customFormat="false" ht="18" hidden="false" customHeight="false" outlineLevel="0" collapsed="false">
      <c r="A888" s="89" t="n">
        <v>44005</v>
      </c>
      <c r="B888" s="90" t="n">
        <v>89.42</v>
      </c>
      <c r="C888" s="91" t="n">
        <f aca="false">B888/B887-1</f>
        <v>0.000447527411054027</v>
      </c>
      <c r="E888" s="93"/>
      <c r="F888" s="94"/>
      <c r="G888" s="93" t="n">
        <v>43957</v>
      </c>
      <c r="H888" s="94" t="n">
        <v>293.47</v>
      </c>
      <c r="I888" s="95" t="n">
        <f aca="false">H888/H887-1</f>
        <v>-0.00258301328892363</v>
      </c>
    </row>
    <row r="889" customFormat="false" ht="18" hidden="false" customHeight="false" outlineLevel="0" collapsed="false">
      <c r="A889" s="89" t="n">
        <v>44006</v>
      </c>
      <c r="B889" s="90" t="n">
        <v>89.41</v>
      </c>
      <c r="C889" s="91" t="n">
        <f aca="false">B889/B888-1</f>
        <v>-0.000111831804965434</v>
      </c>
      <c r="E889" s="93"/>
      <c r="F889" s="94"/>
      <c r="G889" s="93" t="n">
        <v>43958</v>
      </c>
      <c r="H889" s="94" t="n">
        <v>292.92</v>
      </c>
      <c r="I889" s="95" t="n">
        <f aca="false">H889/H888-1</f>
        <v>-0.00187412682727373</v>
      </c>
    </row>
    <row r="890" customFormat="false" ht="18" hidden="false" customHeight="false" outlineLevel="0" collapsed="false">
      <c r="A890" s="89" t="n">
        <v>44007</v>
      </c>
      <c r="B890" s="90" t="n">
        <v>89.11</v>
      </c>
      <c r="C890" s="91" t="n">
        <f aca="false">B890/B889-1</f>
        <v>-0.00335532938150096</v>
      </c>
      <c r="E890" s="93"/>
      <c r="F890" s="94"/>
      <c r="G890" s="93" t="n">
        <v>43959</v>
      </c>
      <c r="H890" s="94" t="n">
        <v>292.31</v>
      </c>
      <c r="I890" s="95" t="n">
        <f aca="false">H890/H889-1</f>
        <v>-0.00208247985798171</v>
      </c>
    </row>
    <row r="891" customFormat="false" ht="18" hidden="false" customHeight="false" outlineLevel="0" collapsed="false">
      <c r="A891" s="89" t="n">
        <v>44008</v>
      </c>
      <c r="B891" s="90" t="n">
        <v>89.19</v>
      </c>
      <c r="C891" s="91" t="n">
        <f aca="false">B891/B890-1</f>
        <v>0.000897766805072253</v>
      </c>
      <c r="E891" s="93"/>
      <c r="F891" s="94"/>
      <c r="G891" s="93" t="n">
        <v>43960</v>
      </c>
      <c r="H891" s="94" t="n">
        <v>294.28</v>
      </c>
      <c r="I891" s="95" t="n">
        <f aca="false">H891/H890-1</f>
        <v>0.00673942047825937</v>
      </c>
    </row>
    <row r="892" customFormat="false" ht="18" hidden="false" customHeight="false" outlineLevel="0" collapsed="false">
      <c r="A892" s="89" t="n">
        <v>44009</v>
      </c>
      <c r="B892" s="90" t="n">
        <v>88.48</v>
      </c>
      <c r="C892" s="91" t="n">
        <f aca="false">B892/B891-1</f>
        <v>-0.00796053369211791</v>
      </c>
      <c r="E892" s="93"/>
      <c r="F892" s="94"/>
      <c r="G892" s="93" t="n">
        <v>43963</v>
      </c>
      <c r="H892" s="94" t="n">
        <v>295.85</v>
      </c>
      <c r="I892" s="95" t="n">
        <f aca="false">H892/H891-1</f>
        <v>0.00533505504961274</v>
      </c>
    </row>
    <row r="893" customFormat="false" ht="18" hidden="false" customHeight="false" outlineLevel="0" collapsed="false">
      <c r="A893" s="89" t="n">
        <v>44012</v>
      </c>
      <c r="B893" s="90" t="n">
        <v>87.75</v>
      </c>
      <c r="C893" s="91" t="n">
        <f aca="false">B893/B892-1</f>
        <v>-0.0082504520795661</v>
      </c>
      <c r="E893" s="93"/>
      <c r="F893" s="94"/>
      <c r="G893" s="93" t="n">
        <v>43964</v>
      </c>
      <c r="H893" s="94" t="n">
        <v>296.77</v>
      </c>
      <c r="I893" s="95" t="n">
        <f aca="false">H893/H892-1</f>
        <v>0.00310968396146682</v>
      </c>
    </row>
    <row r="894" customFormat="false" ht="18" hidden="false" customHeight="false" outlineLevel="0" collapsed="false">
      <c r="A894" s="89" t="n">
        <v>44013</v>
      </c>
      <c r="B894" s="90" t="n">
        <v>88.18</v>
      </c>
      <c r="C894" s="91" t="n">
        <f aca="false">B894/B893-1</f>
        <v>0.00490028490028505</v>
      </c>
      <c r="E894" s="93"/>
      <c r="F894" s="94"/>
      <c r="G894" s="93" t="n">
        <v>43965</v>
      </c>
      <c r="H894" s="94" t="n">
        <v>298.22</v>
      </c>
      <c r="I894" s="95" t="n">
        <f aca="false">H894/H893-1</f>
        <v>0.00488593860565434</v>
      </c>
    </row>
    <row r="895" customFormat="false" ht="18" hidden="false" customHeight="false" outlineLevel="0" collapsed="false">
      <c r="A895" s="89" t="n">
        <v>44014</v>
      </c>
      <c r="B895" s="90" t="n">
        <v>88.87</v>
      </c>
      <c r="C895" s="91" t="n">
        <f aca="false">B895/B894-1</f>
        <v>0.00782490360625987</v>
      </c>
      <c r="E895" s="93"/>
      <c r="F895" s="94"/>
      <c r="G895" s="93" t="n">
        <v>43966</v>
      </c>
      <c r="H895" s="94" t="n">
        <v>301.06</v>
      </c>
      <c r="I895" s="95" t="n">
        <f aca="false">H895/H894-1</f>
        <v>0.0095231708134933</v>
      </c>
    </row>
    <row r="896" customFormat="false" ht="18" hidden="false" customHeight="false" outlineLevel="0" collapsed="false">
      <c r="A896" s="89" t="n">
        <v>44016</v>
      </c>
      <c r="B896" s="90" t="n">
        <v>89.45</v>
      </c>
      <c r="C896" s="91" t="n">
        <f aca="false">B896/B895-1</f>
        <v>0.00652638685720719</v>
      </c>
      <c r="E896" s="93"/>
      <c r="F896" s="94"/>
      <c r="G896" s="93" t="n">
        <v>43967</v>
      </c>
      <c r="H896" s="94" t="n">
        <v>302.56</v>
      </c>
      <c r="I896" s="95" t="n">
        <f aca="false">H896/H895-1</f>
        <v>0.00498239553577351</v>
      </c>
    </row>
    <row r="897" customFormat="false" ht="18" hidden="false" customHeight="false" outlineLevel="0" collapsed="false">
      <c r="A897" s="89" t="n">
        <v>44019</v>
      </c>
      <c r="B897" s="90" t="n">
        <v>89.43</v>
      </c>
      <c r="C897" s="91" t="n">
        <f aca="false">B897/B896-1</f>
        <v>-0.000223588596981461</v>
      </c>
      <c r="E897" s="93"/>
      <c r="F897" s="94"/>
      <c r="G897" s="93" t="n">
        <v>43970</v>
      </c>
      <c r="H897" s="94" t="n">
        <v>302.94</v>
      </c>
      <c r="I897" s="95" t="n">
        <f aca="false">H897/H896-1</f>
        <v>0.00125594923320982</v>
      </c>
    </row>
    <row r="898" customFormat="false" ht="18" hidden="false" customHeight="false" outlineLevel="0" collapsed="false">
      <c r="A898" s="89" t="n">
        <v>44020</v>
      </c>
      <c r="B898" s="90" t="n">
        <v>89.15</v>
      </c>
      <c r="C898" s="91" t="n">
        <f aca="false">B898/B897-1</f>
        <v>-0.00313094040031314</v>
      </c>
      <c r="E898" s="93"/>
      <c r="F898" s="94"/>
      <c r="G898" s="93" t="n">
        <v>43971</v>
      </c>
      <c r="H898" s="94" t="n">
        <v>301.33</v>
      </c>
      <c r="I898" s="95" t="n">
        <f aca="false">H898/H897-1</f>
        <v>-0.00531458374595639</v>
      </c>
    </row>
    <row r="899" customFormat="false" ht="18" hidden="false" customHeight="false" outlineLevel="0" collapsed="false">
      <c r="A899" s="89" t="n">
        <v>44021</v>
      </c>
      <c r="B899" s="90" t="n">
        <v>89.57</v>
      </c>
      <c r="C899" s="91" t="n">
        <f aca="false">B899/B898-1</f>
        <v>0.00471116096466617</v>
      </c>
      <c r="E899" s="93"/>
      <c r="F899" s="94"/>
      <c r="G899" s="93" t="n">
        <v>43972</v>
      </c>
      <c r="H899" s="94" t="n">
        <v>301.77</v>
      </c>
      <c r="I899" s="95" t="n">
        <f aca="false">H899/H898-1</f>
        <v>0.00146019314372947</v>
      </c>
    </row>
    <row r="900" customFormat="false" ht="18" hidden="false" customHeight="false" outlineLevel="0" collapsed="false">
      <c r="A900" s="89" t="n">
        <v>44022</v>
      </c>
      <c r="B900" s="90" t="n">
        <v>90.09</v>
      </c>
      <c r="C900" s="91" t="n">
        <f aca="false">B900/B899-1</f>
        <v>0.00580551523947759</v>
      </c>
      <c r="E900" s="93"/>
      <c r="F900" s="94"/>
      <c r="G900" s="93" t="n">
        <v>43973</v>
      </c>
      <c r="H900" s="94" t="n">
        <v>300.47</v>
      </c>
      <c r="I900" s="95" t="n">
        <f aca="false">H900/H899-1</f>
        <v>-0.00430791662524421</v>
      </c>
    </row>
    <row r="901" customFormat="false" ht="18" hidden="false" customHeight="false" outlineLevel="0" collapsed="false">
      <c r="A901" s="89" t="n">
        <v>44023</v>
      </c>
      <c r="B901" s="90" t="n">
        <v>90.26</v>
      </c>
      <c r="C901" s="91" t="n">
        <f aca="false">B901/B900-1</f>
        <v>0.00188700188700186</v>
      </c>
      <c r="E901" s="93"/>
      <c r="F901" s="94"/>
      <c r="G901" s="93" t="n">
        <v>43974</v>
      </c>
      <c r="H901" s="94" t="n">
        <v>299.11</v>
      </c>
      <c r="I901" s="95" t="n">
        <f aca="false">H901/H900-1</f>
        <v>-0.00452624222052123</v>
      </c>
    </row>
    <row r="902" customFormat="false" ht="18" hidden="false" customHeight="false" outlineLevel="0" collapsed="false">
      <c r="A902" s="89" t="n">
        <v>44026</v>
      </c>
      <c r="B902" s="90" t="n">
        <v>89.89</v>
      </c>
      <c r="C902" s="91" t="n">
        <f aca="false">B902/B901-1</f>
        <v>-0.00409926877908273</v>
      </c>
      <c r="E902" s="93"/>
      <c r="F902" s="94"/>
      <c r="G902" s="93" t="n">
        <v>43977</v>
      </c>
      <c r="H902" s="94" t="n">
        <v>300.54</v>
      </c>
      <c r="I902" s="95" t="n">
        <f aca="false">H902/H901-1</f>
        <v>0.0047808498545685</v>
      </c>
    </row>
    <row r="903" customFormat="false" ht="18" hidden="false" customHeight="false" outlineLevel="0" collapsed="false">
      <c r="A903" s="89" t="n">
        <v>44027</v>
      </c>
      <c r="B903" s="90" t="n">
        <v>90.29</v>
      </c>
      <c r="C903" s="91" t="n">
        <f aca="false">B903/B902-1</f>
        <v>0.00444988319056638</v>
      </c>
      <c r="E903" s="93"/>
      <c r="F903" s="94"/>
      <c r="G903" s="93" t="n">
        <v>43978</v>
      </c>
      <c r="H903" s="94" t="n">
        <v>299.63</v>
      </c>
      <c r="I903" s="95" t="n">
        <f aca="false">H903/H902-1</f>
        <v>-0.00302788314367475</v>
      </c>
    </row>
    <row r="904" customFormat="false" ht="18" hidden="false" customHeight="false" outlineLevel="0" collapsed="false">
      <c r="A904" s="89" t="n">
        <v>44028</v>
      </c>
      <c r="B904" s="90" t="n">
        <v>89.97</v>
      </c>
      <c r="C904" s="91" t="n">
        <f aca="false">B904/B903-1</f>
        <v>-0.00354413556318534</v>
      </c>
      <c r="E904" s="93"/>
      <c r="F904" s="94"/>
      <c r="G904" s="93" t="n">
        <v>43979</v>
      </c>
      <c r="H904" s="94" t="n">
        <v>296.22</v>
      </c>
      <c r="I904" s="95" t="n">
        <f aca="false">H904/H903-1</f>
        <v>-0.011380702866869</v>
      </c>
    </row>
    <row r="905" customFormat="false" ht="18" hidden="false" customHeight="false" outlineLevel="0" collapsed="false">
      <c r="A905" s="89" t="n">
        <v>44029</v>
      </c>
      <c r="B905" s="90" t="n">
        <v>89.5</v>
      </c>
      <c r="C905" s="91" t="n">
        <f aca="false">B905/B904-1</f>
        <v>-0.00522396354340338</v>
      </c>
      <c r="E905" s="93"/>
      <c r="F905" s="94"/>
      <c r="G905" s="93" t="n">
        <v>43980</v>
      </c>
      <c r="H905" s="94" t="n">
        <v>293.13</v>
      </c>
      <c r="I905" s="95" t="n">
        <f aca="false">H905/H904-1</f>
        <v>-0.0104314360947945</v>
      </c>
    </row>
    <row r="906" customFormat="false" ht="18" hidden="false" customHeight="false" outlineLevel="0" collapsed="false">
      <c r="A906" s="89" t="n">
        <v>44030</v>
      </c>
      <c r="B906" s="90" t="n">
        <v>89.26</v>
      </c>
      <c r="C906" s="91" t="n">
        <f aca="false">B906/B905-1</f>
        <v>-0.00268156424581001</v>
      </c>
      <c r="E906" s="93"/>
      <c r="F906" s="94"/>
      <c r="G906" s="93" t="n">
        <v>43981</v>
      </c>
      <c r="H906" s="94" t="n">
        <v>291.24</v>
      </c>
      <c r="I906" s="95" t="n">
        <f aca="false">H906/H905-1</f>
        <v>-0.00644765121277247</v>
      </c>
    </row>
    <row r="907" customFormat="false" ht="18" hidden="false" customHeight="false" outlineLevel="0" collapsed="false">
      <c r="A907" s="89" t="n">
        <v>44033</v>
      </c>
      <c r="B907" s="90" t="n">
        <v>89.66</v>
      </c>
      <c r="C907" s="91" t="n">
        <f aca="false">B907/B906-1</f>
        <v>0.004481290611696</v>
      </c>
      <c r="E907" s="93"/>
      <c r="F907" s="94"/>
      <c r="G907" s="93" t="n">
        <v>43984</v>
      </c>
      <c r="H907" s="94" t="n">
        <v>295.94</v>
      </c>
      <c r="I907" s="95" t="n">
        <f aca="false">H907/H906-1</f>
        <v>0.0161378931465457</v>
      </c>
    </row>
    <row r="908" customFormat="false" ht="18" hidden="false" customHeight="false" outlineLevel="0" collapsed="false">
      <c r="A908" s="89" t="n">
        <v>44034</v>
      </c>
      <c r="B908" s="90" t="n">
        <v>89.69</v>
      </c>
      <c r="C908" s="91" t="n">
        <f aca="false">B908/B907-1</f>
        <v>0.000334597367834144</v>
      </c>
      <c r="E908" s="93"/>
      <c r="F908" s="94"/>
      <c r="G908" s="93" t="n">
        <v>43985</v>
      </c>
      <c r="H908" s="94" t="n">
        <v>290.33</v>
      </c>
      <c r="I908" s="95" t="n">
        <f aca="false">H908/H907-1</f>
        <v>-0.0189565452456579</v>
      </c>
    </row>
    <row r="909" customFormat="false" ht="18" hidden="false" customHeight="false" outlineLevel="0" collapsed="false">
      <c r="A909" s="89" t="n">
        <v>44035</v>
      </c>
      <c r="B909" s="90" t="n">
        <v>89.11</v>
      </c>
      <c r="C909" s="91" t="n">
        <f aca="false">B909/B908-1</f>
        <v>-0.00646671869773663</v>
      </c>
      <c r="E909" s="93"/>
      <c r="F909" s="94"/>
      <c r="G909" s="93" t="n">
        <v>43986</v>
      </c>
      <c r="H909" s="94" t="n">
        <v>292.82</v>
      </c>
      <c r="I909" s="95" t="n">
        <f aca="false">H909/H908-1</f>
        <v>0.00857644749078634</v>
      </c>
    </row>
    <row r="910" customFormat="false" ht="18" hidden="false" customHeight="false" outlineLevel="0" collapsed="false">
      <c r="A910" s="89" t="n">
        <v>44036</v>
      </c>
      <c r="B910" s="90" t="n">
        <v>89.26</v>
      </c>
      <c r="C910" s="91" t="n">
        <f aca="false">B910/B909-1</f>
        <v>0.00168331275951084</v>
      </c>
      <c r="E910" s="93"/>
      <c r="F910" s="94"/>
      <c r="G910" s="93" t="n">
        <v>43987</v>
      </c>
      <c r="H910" s="94" t="n">
        <v>295.66</v>
      </c>
      <c r="I910" s="95" t="n">
        <f aca="false">H910/H909-1</f>
        <v>0.0096987910661841</v>
      </c>
    </row>
    <row r="911" customFormat="false" ht="18" hidden="false" customHeight="false" outlineLevel="0" collapsed="false">
      <c r="A911" s="89" t="n">
        <v>44037</v>
      </c>
      <c r="B911" s="90" t="n">
        <v>89.76</v>
      </c>
      <c r="C911" s="91" t="n">
        <f aca="false">B911/B910-1</f>
        <v>0.00560161326462016</v>
      </c>
      <c r="E911" s="93"/>
      <c r="F911" s="94"/>
      <c r="G911" s="93" t="n">
        <v>43988</v>
      </c>
      <c r="H911" s="94" t="n">
        <v>295.47</v>
      </c>
      <c r="I911" s="95" t="n">
        <f aca="false">H911/H910-1</f>
        <v>-0.000642630048028114</v>
      </c>
    </row>
    <row r="912" customFormat="false" ht="18" hidden="false" customHeight="false" outlineLevel="0" collapsed="false">
      <c r="A912" s="89" t="n">
        <v>44040</v>
      </c>
      <c r="B912" s="90" t="n">
        <v>89.91</v>
      </c>
      <c r="C912" s="91" t="n">
        <f aca="false">B912/B911-1</f>
        <v>0.00167112299465222</v>
      </c>
      <c r="E912" s="93"/>
      <c r="F912" s="94"/>
      <c r="G912" s="93" t="n">
        <v>43991</v>
      </c>
      <c r="H912" s="94" t="n">
        <v>295.45</v>
      </c>
      <c r="I912" s="95" t="n">
        <f aca="false">H912/H911-1</f>
        <v>-6.76887670492121E-005</v>
      </c>
    </row>
    <row r="913" customFormat="false" ht="18" hidden="false" customHeight="false" outlineLevel="0" collapsed="false">
      <c r="A913" s="89" t="n">
        <v>44041</v>
      </c>
      <c r="B913" s="90" t="n">
        <v>90.03</v>
      </c>
      <c r="C913" s="91" t="n">
        <f aca="false">B913/B912-1</f>
        <v>0.00133466800133464</v>
      </c>
      <c r="E913" s="93"/>
      <c r="F913" s="94"/>
      <c r="G913" s="93" t="n">
        <v>43992</v>
      </c>
      <c r="H913" s="94" t="n">
        <v>294.31</v>
      </c>
      <c r="I913" s="95" t="n">
        <f aca="false">H913/H912-1</f>
        <v>-0.00385852090032146</v>
      </c>
    </row>
    <row r="914" customFormat="false" ht="18" hidden="false" customHeight="false" outlineLevel="0" collapsed="false">
      <c r="A914" s="89" t="n">
        <v>44042</v>
      </c>
      <c r="B914" s="90" t="n">
        <v>90.45</v>
      </c>
      <c r="C914" s="91" t="n">
        <f aca="false">B914/B913-1</f>
        <v>0.00466511162945693</v>
      </c>
      <c r="E914" s="93"/>
      <c r="F914" s="94"/>
      <c r="G914" s="93" t="n">
        <v>43993</v>
      </c>
      <c r="H914" s="94" t="n">
        <v>294.97</v>
      </c>
      <c r="I914" s="95" t="n">
        <f aca="false">H914/H913-1</f>
        <v>0.00224253338316749</v>
      </c>
    </row>
    <row r="915" customFormat="false" ht="18" hidden="false" customHeight="false" outlineLevel="0" collapsed="false">
      <c r="A915" s="89" t="n">
        <v>44043</v>
      </c>
      <c r="B915" s="90" t="n">
        <v>90.01</v>
      </c>
      <c r="C915" s="91" t="n">
        <f aca="false">B915/B914-1</f>
        <v>-0.00486456605859587</v>
      </c>
      <c r="E915" s="93"/>
      <c r="F915" s="94"/>
      <c r="G915" s="93" t="n">
        <v>43994</v>
      </c>
      <c r="H915" s="94" t="n">
        <v>296.44</v>
      </c>
      <c r="I915" s="95" t="n">
        <f aca="false">H915/H914-1</f>
        <v>0.00498355764993041</v>
      </c>
    </row>
    <row r="916" customFormat="false" ht="18" hidden="false" customHeight="false" outlineLevel="0" collapsed="false">
      <c r="A916" s="89" t="n">
        <v>44044</v>
      </c>
      <c r="B916" s="90" t="n">
        <v>90.61</v>
      </c>
      <c r="C916" s="91" t="n">
        <f aca="false">B916/B915-1</f>
        <v>0.00666592600822114</v>
      </c>
      <c r="E916" s="93"/>
      <c r="F916" s="94"/>
      <c r="G916" s="93" t="n">
        <v>43995</v>
      </c>
      <c r="H916" s="94" t="n">
        <v>297.02</v>
      </c>
      <c r="I916" s="95" t="n">
        <f aca="false">H916/H915-1</f>
        <v>0.00195655107272974</v>
      </c>
    </row>
    <row r="917" customFormat="false" ht="18" hidden="false" customHeight="false" outlineLevel="0" collapsed="false">
      <c r="A917" s="89" t="n">
        <v>44047</v>
      </c>
      <c r="B917" s="90" t="n">
        <v>89.69</v>
      </c>
      <c r="C917" s="91" t="n">
        <f aca="false">B917/B916-1</f>
        <v>-0.0101534047014679</v>
      </c>
      <c r="E917" s="93"/>
      <c r="F917" s="94"/>
      <c r="G917" s="93" t="n">
        <v>43998</v>
      </c>
      <c r="H917" s="94" t="n">
        <v>296.55</v>
      </c>
      <c r="I917" s="95" t="n">
        <f aca="false">H917/H916-1</f>
        <v>-0.00158238502457742</v>
      </c>
    </row>
    <row r="918" customFormat="false" ht="18" hidden="false" customHeight="false" outlineLevel="0" collapsed="false">
      <c r="A918" s="89" t="n">
        <v>44048</v>
      </c>
      <c r="B918" s="90" t="n">
        <v>89.39</v>
      </c>
      <c r="C918" s="91" t="n">
        <f aca="false">B918/B917-1</f>
        <v>-0.00334485449882926</v>
      </c>
      <c r="E918" s="93"/>
      <c r="F918" s="94"/>
      <c r="G918" s="93" t="n">
        <v>43999</v>
      </c>
      <c r="H918" s="94" t="n">
        <v>298.47</v>
      </c>
      <c r="I918" s="95" t="n">
        <f aca="false">H918/H917-1</f>
        <v>0.00647445624683862</v>
      </c>
    </row>
    <row r="919" customFormat="false" ht="18" hidden="false" customHeight="false" outlineLevel="0" collapsed="false">
      <c r="A919" s="89" t="n">
        <v>44049</v>
      </c>
      <c r="B919" s="90" t="n">
        <v>89.58</v>
      </c>
      <c r="C919" s="91" t="n">
        <f aca="false">B919/B918-1</f>
        <v>0.00212551739568179</v>
      </c>
      <c r="E919" s="93"/>
      <c r="F919" s="94"/>
      <c r="G919" s="93" t="n">
        <v>44000</v>
      </c>
      <c r="H919" s="94" t="n">
        <v>301.07</v>
      </c>
      <c r="I919" s="95" t="n">
        <f aca="false">H919/H918-1</f>
        <v>0.00871109324220187</v>
      </c>
    </row>
    <row r="920" customFormat="false" ht="18" hidden="false" customHeight="false" outlineLevel="0" collapsed="false">
      <c r="A920" s="89" t="n">
        <v>44050</v>
      </c>
      <c r="B920" s="90" t="n">
        <v>90</v>
      </c>
      <c r="C920" s="91" t="n">
        <f aca="false">B920/B919-1</f>
        <v>0.00468854655056927</v>
      </c>
      <c r="E920" s="93"/>
      <c r="F920" s="94"/>
      <c r="G920" s="93" t="n">
        <v>44001</v>
      </c>
      <c r="H920" s="94" t="n">
        <v>301.24</v>
      </c>
      <c r="I920" s="95" t="n">
        <f aca="false">H920/H919-1</f>
        <v>0.000564652738565874</v>
      </c>
    </row>
    <row r="921" customFormat="false" ht="18" hidden="false" customHeight="false" outlineLevel="0" collapsed="false">
      <c r="A921" s="89" t="n">
        <v>44051</v>
      </c>
      <c r="B921" s="90" t="n">
        <v>90.4</v>
      </c>
      <c r="C921" s="91" t="n">
        <f aca="false">B921/B920-1</f>
        <v>0.00444444444444447</v>
      </c>
      <c r="E921" s="93"/>
      <c r="F921" s="94"/>
      <c r="G921" s="93" t="n">
        <v>44002</v>
      </c>
      <c r="H921" s="94" t="n">
        <v>299.6</v>
      </c>
      <c r="I921" s="95" t="n">
        <f aca="false">H921/H920-1</f>
        <v>-0.00544416412163051</v>
      </c>
    </row>
    <row r="922" customFormat="false" ht="18" hidden="false" customHeight="false" outlineLevel="0" collapsed="false">
      <c r="A922" s="89" t="n">
        <v>44054</v>
      </c>
      <c r="B922" s="90" t="n">
        <v>90.5</v>
      </c>
      <c r="C922" s="91" t="n">
        <f aca="false">B922/B921-1</f>
        <v>0.00110619469026552</v>
      </c>
      <c r="E922" s="93"/>
      <c r="F922" s="94"/>
      <c r="G922" s="93" t="n">
        <v>44005</v>
      </c>
      <c r="H922" s="94" t="n">
        <v>298.68</v>
      </c>
      <c r="I922" s="95" t="n">
        <f aca="false">H922/H921-1</f>
        <v>-0.00307076101468629</v>
      </c>
    </row>
    <row r="923" customFormat="false" ht="18" hidden="false" customHeight="false" outlineLevel="0" collapsed="false">
      <c r="A923" s="89" t="n">
        <v>44055</v>
      </c>
      <c r="B923" s="90" t="n">
        <v>90.99</v>
      </c>
      <c r="C923" s="91" t="n">
        <f aca="false">B923/B922-1</f>
        <v>0.00541436464088396</v>
      </c>
      <c r="E923" s="93"/>
      <c r="F923" s="94"/>
      <c r="G923" s="93" t="n">
        <v>44006</v>
      </c>
      <c r="H923" s="94" t="n">
        <v>298.75</v>
      </c>
      <c r="I923" s="95" t="n">
        <f aca="false">H923/H922-1</f>
        <v>0.000234364537297527</v>
      </c>
    </row>
    <row r="924" customFormat="false" ht="18" hidden="false" customHeight="false" outlineLevel="0" collapsed="false">
      <c r="A924" s="89" t="n">
        <v>44056</v>
      </c>
      <c r="B924" s="90" t="n">
        <v>91.19</v>
      </c>
      <c r="C924" s="91" t="n">
        <f aca="false">B924/B923-1</f>
        <v>0.00219804374107047</v>
      </c>
      <c r="E924" s="93"/>
      <c r="F924" s="94"/>
      <c r="G924" s="93" t="n">
        <v>44007</v>
      </c>
      <c r="H924" s="94" t="n">
        <v>298.88</v>
      </c>
      <c r="I924" s="95" t="n">
        <f aca="false">H924/H923-1</f>
        <v>0.000435146443514611</v>
      </c>
    </row>
    <row r="925" customFormat="false" ht="18" hidden="false" customHeight="false" outlineLevel="0" collapsed="false">
      <c r="A925" s="89" t="n">
        <v>44057</v>
      </c>
      <c r="B925" s="90" t="n">
        <v>91.16</v>
      </c>
      <c r="C925" s="91" t="n">
        <f aca="false">B925/B924-1</f>
        <v>-0.00032898344116683</v>
      </c>
      <c r="E925" s="93"/>
      <c r="F925" s="94"/>
      <c r="G925" s="93" t="n">
        <v>44008</v>
      </c>
      <c r="H925" s="94" t="n">
        <v>297.45</v>
      </c>
      <c r="I925" s="95" t="n">
        <f aca="false">H925/H924-1</f>
        <v>-0.00478452890792291</v>
      </c>
    </row>
    <row r="926" customFormat="false" ht="18" hidden="false" customHeight="false" outlineLevel="0" collapsed="false">
      <c r="A926" s="89" t="n">
        <v>44058</v>
      </c>
      <c r="B926" s="90" t="n">
        <v>91.53</v>
      </c>
      <c r="C926" s="91" t="n">
        <f aca="false">B926/B925-1</f>
        <v>0.00405879771829754</v>
      </c>
      <c r="E926" s="93"/>
      <c r="F926" s="94"/>
      <c r="G926" s="93" t="n">
        <v>44009</v>
      </c>
      <c r="H926" s="94" t="n">
        <v>298.63</v>
      </c>
      <c r="I926" s="95" t="n">
        <f aca="false">H926/H925-1</f>
        <v>0.00396705328626656</v>
      </c>
    </row>
    <row r="927" customFormat="false" ht="18" hidden="false" customHeight="false" outlineLevel="0" collapsed="false">
      <c r="A927" s="89" t="n">
        <v>44061</v>
      </c>
      <c r="B927" s="90" t="n">
        <v>91.81</v>
      </c>
      <c r="C927" s="91" t="n">
        <f aca="false">B927/B926-1</f>
        <v>0.00305910630394401</v>
      </c>
      <c r="E927" s="93"/>
      <c r="F927" s="94"/>
      <c r="G927" s="93" t="n">
        <v>44012</v>
      </c>
      <c r="H927" s="94" t="n">
        <v>298.98</v>
      </c>
      <c r="I927" s="95" t="n">
        <f aca="false">H927/H926-1</f>
        <v>0.00117201888624718</v>
      </c>
    </row>
    <row r="928" customFormat="false" ht="18" hidden="false" customHeight="false" outlineLevel="0" collapsed="false">
      <c r="A928" s="89" t="n">
        <v>44062</v>
      </c>
      <c r="B928" s="90" t="n">
        <v>92.03</v>
      </c>
      <c r="C928" s="91" t="n">
        <f aca="false">B928/B927-1</f>
        <v>0.00239625313146719</v>
      </c>
      <c r="E928" s="93"/>
      <c r="F928" s="94"/>
      <c r="G928" s="93" t="n">
        <v>44013</v>
      </c>
      <c r="H928" s="94" t="n">
        <v>297.6</v>
      </c>
      <c r="I928" s="95" t="n">
        <f aca="false">H928/H927-1</f>
        <v>-0.00461569335741519</v>
      </c>
    </row>
    <row r="929" customFormat="false" ht="18" hidden="false" customHeight="false" outlineLevel="0" collapsed="false">
      <c r="A929" s="89" t="n">
        <v>44063</v>
      </c>
      <c r="B929" s="90" t="n">
        <v>92.3</v>
      </c>
      <c r="C929" s="91" t="n">
        <f aca="false">B929/B928-1</f>
        <v>0.00293382592632829</v>
      </c>
      <c r="E929" s="93"/>
      <c r="F929" s="94"/>
      <c r="G929" s="93" t="n">
        <v>44014</v>
      </c>
      <c r="H929" s="94" t="n">
        <v>300.83</v>
      </c>
      <c r="I929" s="95" t="n">
        <f aca="false">H929/H928-1</f>
        <v>0.0108534946236558</v>
      </c>
    </row>
    <row r="930" customFormat="false" ht="18" hidden="false" customHeight="false" outlineLevel="0" collapsed="false">
      <c r="A930" s="89" t="n">
        <v>44064</v>
      </c>
      <c r="B930" s="90" t="n">
        <v>91.53</v>
      </c>
      <c r="C930" s="91" t="n">
        <f aca="false">B930/B929-1</f>
        <v>-0.00834236186348858</v>
      </c>
      <c r="E930" s="93"/>
      <c r="F930" s="94"/>
      <c r="G930" s="93" t="n">
        <v>44015</v>
      </c>
      <c r="H930" s="94" t="n">
        <v>303.18</v>
      </c>
      <c r="I930" s="95" t="n">
        <f aca="false">H930/H929-1</f>
        <v>0.00781172090549487</v>
      </c>
    </row>
    <row r="931" customFormat="false" ht="18" hidden="false" customHeight="false" outlineLevel="0" collapsed="false">
      <c r="A931" s="89" t="n">
        <v>44065</v>
      </c>
      <c r="B931" s="90" t="n">
        <v>92.52</v>
      </c>
      <c r="C931" s="91" t="n">
        <f aca="false">B931/B930-1</f>
        <v>0.0108161258603736</v>
      </c>
      <c r="E931" s="93"/>
      <c r="F931" s="94"/>
      <c r="G931" s="93" t="n">
        <v>44016</v>
      </c>
      <c r="H931" s="94" t="n">
        <v>302.88</v>
      </c>
      <c r="I931" s="95" t="n">
        <f aca="false">H931/H930-1</f>
        <v>-0.000989511181476388</v>
      </c>
    </row>
    <row r="932" customFormat="false" ht="18" hidden="false" customHeight="false" outlineLevel="0" collapsed="false">
      <c r="A932" s="89" t="n">
        <v>44068</v>
      </c>
      <c r="B932" s="90" t="n">
        <v>92.33</v>
      </c>
      <c r="C932" s="91" t="n">
        <f aca="false">B932/B931-1</f>
        <v>-0.00205361003026372</v>
      </c>
      <c r="E932" s="93"/>
      <c r="F932" s="94"/>
      <c r="G932" s="93" t="n">
        <v>44019</v>
      </c>
      <c r="H932" s="94" t="n">
        <v>303.25</v>
      </c>
      <c r="I932" s="95" t="n">
        <f aca="false">H932/H931-1</f>
        <v>0.00122160591653464</v>
      </c>
    </row>
    <row r="933" customFormat="false" ht="18" hidden="false" customHeight="false" outlineLevel="0" collapsed="false">
      <c r="A933" s="89" t="n">
        <v>44069</v>
      </c>
      <c r="B933" s="90" t="n">
        <v>92.21</v>
      </c>
      <c r="C933" s="91" t="n">
        <f aca="false">B933/B932-1</f>
        <v>-0.00129968590923868</v>
      </c>
      <c r="E933" s="93"/>
      <c r="F933" s="94"/>
      <c r="G933" s="93" t="n">
        <v>44020</v>
      </c>
      <c r="H933" s="94" t="n">
        <v>304.38</v>
      </c>
      <c r="I933" s="95" t="n">
        <f aca="false">H933/H932-1</f>
        <v>0.0037262984336357</v>
      </c>
    </row>
    <row r="934" customFormat="false" ht="18" hidden="false" customHeight="false" outlineLevel="0" collapsed="false">
      <c r="A934" s="89" t="n">
        <v>44070</v>
      </c>
      <c r="B934" s="90" t="n">
        <v>92.06</v>
      </c>
      <c r="C934" s="91" t="n">
        <f aca="false">B934/B933-1</f>
        <v>-0.00162672161370769</v>
      </c>
      <c r="E934" s="93"/>
      <c r="F934" s="94"/>
      <c r="G934" s="93" t="n">
        <v>44021</v>
      </c>
      <c r="H934" s="94" t="n">
        <v>304.31</v>
      </c>
      <c r="I934" s="95" t="n">
        <f aca="false">H934/H933-1</f>
        <v>-0.000229975688284312</v>
      </c>
    </row>
    <row r="935" customFormat="false" ht="18" hidden="false" customHeight="false" outlineLevel="0" collapsed="false">
      <c r="A935" s="89" t="n">
        <v>44071</v>
      </c>
      <c r="B935" s="90" t="n">
        <v>92.02</v>
      </c>
      <c r="C935" s="91" t="n">
        <f aca="false">B935/B934-1</f>
        <v>-0.000434499239626351</v>
      </c>
      <c r="E935" s="93"/>
      <c r="F935" s="94"/>
      <c r="G935" s="93" t="n">
        <v>44022</v>
      </c>
      <c r="H935" s="94" t="n">
        <v>307.86</v>
      </c>
      <c r="I935" s="95" t="n">
        <f aca="false">H935/H934-1</f>
        <v>0.0116657355985672</v>
      </c>
    </row>
    <row r="936" customFormat="false" ht="18" hidden="false" customHeight="false" outlineLevel="0" collapsed="false">
      <c r="A936" s="89" t="n">
        <v>44072</v>
      </c>
      <c r="B936" s="90" t="n">
        <v>92.1</v>
      </c>
      <c r="C936" s="91" t="n">
        <f aca="false">B936/B935-1</f>
        <v>0.000869376222560225</v>
      </c>
      <c r="E936" s="93"/>
      <c r="F936" s="94"/>
      <c r="G936" s="93" t="n">
        <v>44023</v>
      </c>
      <c r="H936" s="94" t="n">
        <v>308.16</v>
      </c>
      <c r="I936" s="95" t="n">
        <f aca="false">H936/H935-1</f>
        <v>0.000974468914441751</v>
      </c>
    </row>
    <row r="937" customFormat="false" ht="18" hidden="false" customHeight="false" outlineLevel="0" collapsed="false">
      <c r="A937" s="89" t="n">
        <v>44076</v>
      </c>
      <c r="B937" s="90" t="n">
        <v>91.37</v>
      </c>
      <c r="C937" s="91" t="n">
        <f aca="false">B937/B936-1</f>
        <v>-0.00792616720955475</v>
      </c>
      <c r="E937" s="93"/>
      <c r="F937" s="94"/>
      <c r="G937" s="93" t="n">
        <v>44026</v>
      </c>
      <c r="H937" s="94" t="n">
        <v>307.23</v>
      </c>
      <c r="I937" s="95" t="n">
        <f aca="false">H937/H936-1</f>
        <v>-0.00301791277258567</v>
      </c>
    </row>
    <row r="938" customFormat="false" ht="18" hidden="false" customHeight="false" outlineLevel="0" collapsed="false">
      <c r="A938" s="89" t="n">
        <v>44077</v>
      </c>
      <c r="B938" s="90" t="n">
        <v>91.78</v>
      </c>
      <c r="C938" s="91" t="n">
        <f aca="false">B938/B937-1</f>
        <v>0.00448724964430336</v>
      </c>
      <c r="E938" s="93"/>
      <c r="F938" s="94"/>
      <c r="G938" s="93" t="n">
        <v>44027</v>
      </c>
      <c r="H938" s="94" t="n">
        <v>306.58</v>
      </c>
      <c r="I938" s="95" t="n">
        <f aca="false">H938/H937-1</f>
        <v>-0.00211567880740826</v>
      </c>
    </row>
    <row r="939" customFormat="false" ht="18" hidden="false" customHeight="false" outlineLevel="0" collapsed="false">
      <c r="A939" s="89" t="n">
        <v>44078</v>
      </c>
      <c r="B939" s="90" t="n">
        <v>92.13</v>
      </c>
      <c r="C939" s="91" t="n">
        <f aca="false">B939/B938-1</f>
        <v>0.0038134669862715</v>
      </c>
      <c r="E939" s="93"/>
      <c r="F939" s="94"/>
      <c r="G939" s="93" t="n">
        <v>44028</v>
      </c>
      <c r="H939" s="94" t="n">
        <v>305.28</v>
      </c>
      <c r="I939" s="95" t="n">
        <f aca="false">H939/H938-1</f>
        <v>-0.00424032878857072</v>
      </c>
    </row>
    <row r="940" customFormat="false" ht="18" hidden="false" customHeight="false" outlineLevel="0" collapsed="false">
      <c r="A940" s="89" t="n">
        <v>44079</v>
      </c>
      <c r="B940" s="90" t="n">
        <v>91.92</v>
      </c>
      <c r="C940" s="91" t="n">
        <f aca="false">B940/B939-1</f>
        <v>-0.00227938782155646</v>
      </c>
      <c r="E940" s="93"/>
      <c r="F940" s="94"/>
      <c r="G940" s="93" t="n">
        <v>44029</v>
      </c>
      <c r="H940" s="94" t="n">
        <v>303.8</v>
      </c>
      <c r="I940" s="95" t="n">
        <f aca="false">H940/H939-1</f>
        <v>-0.00484800838574406</v>
      </c>
    </row>
    <row r="941" customFormat="false" ht="18" hidden="false" customHeight="false" outlineLevel="0" collapsed="false">
      <c r="A941" s="89" t="n">
        <v>44082</v>
      </c>
      <c r="B941" s="90" t="n">
        <v>92.17</v>
      </c>
      <c r="C941" s="91" t="n">
        <f aca="false">B941/B940-1</f>
        <v>0.00271975630983468</v>
      </c>
      <c r="E941" s="93"/>
      <c r="F941" s="94"/>
      <c r="G941" s="93" t="n">
        <v>44030</v>
      </c>
      <c r="H941" s="94" t="n">
        <v>299.57</v>
      </c>
      <c r="I941" s="95" t="n">
        <f aca="false">H941/H940-1</f>
        <v>-0.013923633969717</v>
      </c>
    </row>
    <row r="942" customFormat="false" ht="18" hidden="false" customHeight="false" outlineLevel="0" collapsed="false">
      <c r="A942" s="89" t="n">
        <v>44083</v>
      </c>
      <c r="B942" s="90" t="n">
        <v>92.24</v>
      </c>
      <c r="C942" s="91" t="n">
        <f aca="false">B942/B941-1</f>
        <v>0.000759466203753778</v>
      </c>
      <c r="E942" s="93"/>
      <c r="F942" s="94"/>
      <c r="G942" s="93" t="n">
        <v>44033</v>
      </c>
      <c r="H942" s="94" t="n">
        <v>298.73</v>
      </c>
      <c r="I942" s="95" t="n">
        <f aca="false">H942/H941-1</f>
        <v>-0.00280401909403472</v>
      </c>
    </row>
    <row r="943" customFormat="false" ht="18" hidden="false" customHeight="false" outlineLevel="0" collapsed="false">
      <c r="A943" s="89" t="n">
        <v>44084</v>
      </c>
      <c r="B943" s="90" t="n">
        <v>92.48</v>
      </c>
      <c r="C943" s="91" t="n">
        <f aca="false">B943/B942-1</f>
        <v>0.0026019080659152</v>
      </c>
      <c r="E943" s="93"/>
      <c r="F943" s="94"/>
      <c r="G943" s="93" t="n">
        <v>44034</v>
      </c>
      <c r="H943" s="94" t="n">
        <v>298.71</v>
      </c>
      <c r="I943" s="95" t="n">
        <f aca="false">H943/H942-1</f>
        <v>-6.69500887090502E-005</v>
      </c>
    </row>
    <row r="944" customFormat="false" ht="18" hidden="false" customHeight="false" outlineLevel="0" collapsed="false">
      <c r="A944" s="89" t="n">
        <v>44085</v>
      </c>
      <c r="B944" s="90" t="n">
        <v>92.63</v>
      </c>
      <c r="C944" s="91" t="n">
        <f aca="false">B944/B943-1</f>
        <v>0.00162197231833905</v>
      </c>
      <c r="E944" s="93"/>
      <c r="F944" s="94"/>
      <c r="G944" s="93" t="n">
        <v>44035</v>
      </c>
      <c r="H944" s="94" t="n">
        <v>297.89</v>
      </c>
      <c r="I944" s="95" t="n">
        <f aca="false">H944/H943-1</f>
        <v>-0.00274513742425764</v>
      </c>
    </row>
    <row r="945" customFormat="false" ht="18" hidden="false" customHeight="false" outlineLevel="0" collapsed="false">
      <c r="A945" s="89" t="n">
        <v>44086</v>
      </c>
      <c r="B945" s="90" t="n">
        <v>93.05</v>
      </c>
      <c r="C945" s="91" t="n">
        <f aca="false">B945/B944-1</f>
        <v>0.0045341681960489</v>
      </c>
      <c r="E945" s="93"/>
      <c r="F945" s="94"/>
      <c r="G945" s="93" t="n">
        <v>44036</v>
      </c>
      <c r="H945" s="94" t="n">
        <v>296.36</v>
      </c>
      <c r="I945" s="95" t="n">
        <f aca="false">H945/H944-1</f>
        <v>-0.00513612407264419</v>
      </c>
    </row>
    <row r="946" customFormat="false" ht="18" hidden="false" customHeight="false" outlineLevel="0" collapsed="false">
      <c r="A946" s="89" t="n">
        <v>44089</v>
      </c>
      <c r="B946" s="90" t="n">
        <v>93.62</v>
      </c>
      <c r="C946" s="91" t="n">
        <f aca="false">B946/B945-1</f>
        <v>0.00612573885008061</v>
      </c>
      <c r="E946" s="93"/>
      <c r="F946" s="94"/>
      <c r="G946" s="93" t="n">
        <v>44037</v>
      </c>
      <c r="H946" s="94" t="n">
        <v>295.99</v>
      </c>
      <c r="I946" s="95" t="n">
        <f aca="false">H946/H945-1</f>
        <v>-0.00124848157646107</v>
      </c>
    </row>
    <row r="947" customFormat="false" ht="18" hidden="false" customHeight="false" outlineLevel="0" collapsed="false">
      <c r="A947" s="89" t="n">
        <v>44090</v>
      </c>
      <c r="B947" s="90" t="n">
        <v>93.6</v>
      </c>
      <c r="C947" s="91" t="n">
        <f aca="false">B947/B946-1</f>
        <v>-0.000213629566332085</v>
      </c>
      <c r="E947" s="93"/>
      <c r="F947" s="94"/>
      <c r="G947" s="93" t="n">
        <v>44040</v>
      </c>
      <c r="H947" s="94" t="n">
        <v>296.47</v>
      </c>
      <c r="I947" s="95" t="n">
        <f aca="false">H947/H946-1</f>
        <v>0.00162167640798683</v>
      </c>
    </row>
    <row r="948" customFormat="false" ht="18" hidden="false" customHeight="false" outlineLevel="0" collapsed="false">
      <c r="A948" s="89" t="n">
        <v>44091</v>
      </c>
      <c r="B948" s="90" t="n">
        <v>93.33</v>
      </c>
      <c r="C948" s="91" t="n">
        <f aca="false">B948/B947-1</f>
        <v>-0.00288461538461537</v>
      </c>
      <c r="E948" s="93"/>
      <c r="F948" s="94"/>
      <c r="G948" s="93" t="n">
        <v>44041</v>
      </c>
      <c r="H948" s="94" t="n">
        <v>295.65</v>
      </c>
      <c r="I948" s="95" t="n">
        <f aca="false">H948/H947-1</f>
        <v>-0.00276587850372734</v>
      </c>
    </row>
    <row r="949" customFormat="false" ht="18" hidden="false" customHeight="false" outlineLevel="0" collapsed="false">
      <c r="A949" s="89" t="n">
        <v>44092</v>
      </c>
      <c r="B949" s="90" t="n">
        <v>93.74</v>
      </c>
      <c r="C949" s="91" t="n">
        <f aca="false">B949/B948-1</f>
        <v>0.00439301403621561</v>
      </c>
      <c r="E949" s="93"/>
      <c r="F949" s="94"/>
      <c r="G949" s="93" t="n">
        <v>44042</v>
      </c>
      <c r="H949" s="94" t="n">
        <v>298.63</v>
      </c>
      <c r="I949" s="95" t="n">
        <f aca="false">H949/H948-1</f>
        <v>0.0100794858785727</v>
      </c>
    </row>
    <row r="950" customFormat="false" ht="18" hidden="false" customHeight="false" outlineLevel="0" collapsed="false">
      <c r="A950" s="89" t="n">
        <v>44093</v>
      </c>
      <c r="B950" s="90" t="n">
        <v>93.56</v>
      </c>
      <c r="C950" s="91" t="n">
        <f aca="false">B950/B949-1</f>
        <v>-0.00192020482184763</v>
      </c>
      <c r="E950" s="93"/>
      <c r="F950" s="94"/>
      <c r="G950" s="93" t="n">
        <v>44043</v>
      </c>
      <c r="H950" s="94" t="n">
        <v>299.15</v>
      </c>
      <c r="I950" s="95" t="n">
        <f aca="false">H950/H949-1</f>
        <v>0.00174128520242434</v>
      </c>
    </row>
    <row r="951" customFormat="false" ht="18" hidden="false" customHeight="false" outlineLevel="0" collapsed="false">
      <c r="A951" s="89" t="n">
        <v>44096</v>
      </c>
      <c r="B951" s="90" t="n">
        <v>93.29</v>
      </c>
      <c r="C951" s="91" t="n">
        <f aca="false">B951/B950-1</f>
        <v>-0.00288584865327057</v>
      </c>
      <c r="E951" s="93"/>
      <c r="F951" s="94"/>
      <c r="G951" s="93" t="n">
        <v>44044</v>
      </c>
      <c r="H951" s="94" t="n">
        <v>293.28</v>
      </c>
      <c r="I951" s="95" t="n">
        <f aca="false">H951/H950-1</f>
        <v>-0.0196222630787231</v>
      </c>
    </row>
    <row r="952" customFormat="false" ht="18" hidden="false" customHeight="false" outlineLevel="0" collapsed="false">
      <c r="A952" s="89" t="n">
        <v>44097</v>
      </c>
      <c r="B952" s="90" t="n">
        <v>93.41</v>
      </c>
      <c r="C952" s="91" t="n">
        <f aca="false">B952/B951-1</f>
        <v>0.0012863115017685</v>
      </c>
      <c r="E952" s="93"/>
      <c r="F952" s="94"/>
      <c r="G952" s="93" t="n">
        <v>44047</v>
      </c>
      <c r="H952" s="94" t="n">
        <v>282.46</v>
      </c>
      <c r="I952" s="95" t="n">
        <f aca="false">H952/H951-1</f>
        <v>-0.0368930714675395</v>
      </c>
    </row>
    <row r="953" customFormat="false" ht="18" hidden="false" customHeight="false" outlineLevel="0" collapsed="false">
      <c r="A953" s="89" t="n">
        <v>44098</v>
      </c>
      <c r="B953" s="90" t="n">
        <v>93.13</v>
      </c>
      <c r="C953" s="91" t="n">
        <f aca="false">B953/B952-1</f>
        <v>-0.00299753773685907</v>
      </c>
      <c r="E953" s="93"/>
      <c r="F953" s="94"/>
      <c r="G953" s="93" t="n">
        <v>44048</v>
      </c>
      <c r="H953" s="94" t="n">
        <v>285.2</v>
      </c>
      <c r="I953" s="95" t="n">
        <f aca="false">H953/H952-1</f>
        <v>0.00970048856475247</v>
      </c>
    </row>
    <row r="954" customFormat="false" ht="18" hidden="false" customHeight="false" outlineLevel="0" collapsed="false">
      <c r="A954" s="89" t="n">
        <v>44099</v>
      </c>
      <c r="B954" s="90" t="n">
        <v>93.26</v>
      </c>
      <c r="C954" s="91" t="n">
        <f aca="false">B954/B953-1</f>
        <v>0.00139589820680786</v>
      </c>
      <c r="E954" s="93"/>
      <c r="F954" s="94"/>
      <c r="G954" s="93" t="n">
        <v>44049</v>
      </c>
      <c r="H954" s="94" t="n">
        <v>290.67</v>
      </c>
      <c r="I954" s="95" t="n">
        <f aca="false">H954/H953-1</f>
        <v>0.0191795231416552</v>
      </c>
    </row>
    <row r="955" customFormat="false" ht="18" hidden="false" customHeight="false" outlineLevel="0" collapsed="false">
      <c r="A955" s="89" t="n">
        <v>44100</v>
      </c>
      <c r="B955" s="90" t="n">
        <v>93.42</v>
      </c>
      <c r="C955" s="91" t="n">
        <f aca="false">B955/B954-1</f>
        <v>0.0017156337122024</v>
      </c>
      <c r="E955" s="93"/>
      <c r="F955" s="94"/>
      <c r="G955" s="93" t="n">
        <v>44050</v>
      </c>
      <c r="H955" s="94" t="n">
        <v>289.94</v>
      </c>
      <c r="I955" s="95" t="n">
        <f aca="false">H955/H954-1</f>
        <v>-0.00251143908900131</v>
      </c>
    </row>
    <row r="956" customFormat="false" ht="18" hidden="false" customHeight="false" outlineLevel="0" collapsed="false">
      <c r="A956" s="89" t="n">
        <v>44103</v>
      </c>
      <c r="B956" s="90" t="n">
        <v>93.58</v>
      </c>
      <c r="C956" s="91" t="n">
        <f aca="false">B956/B955-1</f>
        <v>0.00171269535431384</v>
      </c>
      <c r="E956" s="93"/>
      <c r="F956" s="94"/>
      <c r="G956" s="93" t="n">
        <v>44051</v>
      </c>
      <c r="H956" s="94" t="n">
        <v>293.97</v>
      </c>
      <c r="I956" s="95" t="n">
        <f aca="false">H956/H955-1</f>
        <v>0.013899427467752</v>
      </c>
    </row>
    <row r="957" customFormat="false" ht="18" hidden="false" customHeight="false" outlineLevel="0" collapsed="false">
      <c r="A957" s="89" t="n">
        <v>44104</v>
      </c>
      <c r="B957" s="90" t="n">
        <v>93.46</v>
      </c>
      <c r="C957" s="91" t="n">
        <f aca="false">B957/B956-1</f>
        <v>-0.00128232528318017</v>
      </c>
      <c r="E957" s="93"/>
      <c r="F957" s="94"/>
      <c r="G957" s="93" t="n">
        <v>44054</v>
      </c>
      <c r="H957" s="94" t="n">
        <v>295.38</v>
      </c>
      <c r="I957" s="95" t="n">
        <f aca="false">H957/H956-1</f>
        <v>0.00479640779671375</v>
      </c>
    </row>
    <row r="958" customFormat="false" ht="18" hidden="false" customHeight="false" outlineLevel="0" collapsed="false">
      <c r="A958" s="89" t="n">
        <v>44105</v>
      </c>
      <c r="B958" s="90" t="n">
        <v>93.25</v>
      </c>
      <c r="C958" s="91" t="n">
        <f aca="false">B958/B957-1</f>
        <v>-0.00224695056708746</v>
      </c>
      <c r="E958" s="93"/>
      <c r="F958" s="94"/>
      <c r="G958" s="93" t="n">
        <v>44055</v>
      </c>
      <c r="H958" s="94" t="n">
        <v>295.65</v>
      </c>
      <c r="I958" s="95" t="n">
        <f aca="false">H958/H957-1</f>
        <v>0.000914076782449591</v>
      </c>
    </row>
    <row r="959" customFormat="false" ht="18" hidden="false" customHeight="false" outlineLevel="0" collapsed="false">
      <c r="A959" s="89" t="n">
        <v>44106</v>
      </c>
      <c r="B959" s="90" t="n">
        <v>92.86</v>
      </c>
      <c r="C959" s="91" t="n">
        <f aca="false">B959/B958-1</f>
        <v>-0.00418230563002686</v>
      </c>
      <c r="E959" s="93"/>
      <c r="F959" s="94"/>
      <c r="G959" s="93" t="n">
        <v>44056</v>
      </c>
      <c r="H959" s="94" t="n">
        <v>296.8</v>
      </c>
      <c r="I959" s="95" t="n">
        <f aca="false">H959/H958-1</f>
        <v>0.00388973448334196</v>
      </c>
    </row>
    <row r="960" customFormat="false" ht="18" hidden="false" customHeight="false" outlineLevel="0" collapsed="false">
      <c r="A960" s="89" t="n">
        <v>44107</v>
      </c>
      <c r="B960" s="90" t="n">
        <v>92.51</v>
      </c>
      <c r="C960" s="91" t="n">
        <f aca="false">B960/B959-1</f>
        <v>-0.00376911479646769</v>
      </c>
      <c r="E960" s="93"/>
      <c r="F960" s="94"/>
      <c r="G960" s="93" t="n">
        <v>44057</v>
      </c>
      <c r="H960" s="94" t="n">
        <v>296.84</v>
      </c>
      <c r="I960" s="95" t="n">
        <f aca="false">H960/H959-1</f>
        <v>0.000134770889487656</v>
      </c>
    </row>
    <row r="961" customFormat="false" ht="18" hidden="false" customHeight="false" outlineLevel="0" collapsed="false">
      <c r="A961" s="89" t="n">
        <v>44110</v>
      </c>
      <c r="B961" s="90" t="n">
        <v>92.09</v>
      </c>
      <c r="C961" s="91" t="n">
        <f aca="false">B961/B960-1</f>
        <v>-0.00454004972435418</v>
      </c>
      <c r="E961" s="93"/>
      <c r="F961" s="94"/>
      <c r="G961" s="93" t="n">
        <v>44058</v>
      </c>
      <c r="H961" s="94" t="n">
        <v>300.81</v>
      </c>
      <c r="I961" s="95" t="n">
        <f aca="false">H961/H960-1</f>
        <v>0.0133742083277186</v>
      </c>
    </row>
    <row r="962" customFormat="false" ht="18" hidden="false" customHeight="false" outlineLevel="0" collapsed="false">
      <c r="A962" s="89" t="n">
        <v>44111</v>
      </c>
      <c r="B962" s="90" t="n">
        <v>92.24</v>
      </c>
      <c r="C962" s="91" t="n">
        <f aca="false">B962/B961-1</f>
        <v>0.00162884135085228</v>
      </c>
      <c r="E962" s="93"/>
      <c r="F962" s="94"/>
      <c r="G962" s="93" t="n">
        <v>44061</v>
      </c>
      <c r="H962" s="94" t="n">
        <v>303.88</v>
      </c>
      <c r="I962" s="95" t="n">
        <f aca="false">H962/H961-1</f>
        <v>0.010205777733453</v>
      </c>
    </row>
    <row r="963" customFormat="false" ht="18" hidden="false" customHeight="false" outlineLevel="0" collapsed="false">
      <c r="A963" s="89" t="n">
        <v>44112</v>
      </c>
      <c r="B963" s="90" t="n">
        <v>92.09</v>
      </c>
      <c r="C963" s="91" t="n">
        <f aca="false">B963/B962-1</f>
        <v>-0.00162619254119678</v>
      </c>
      <c r="E963" s="93"/>
      <c r="F963" s="94"/>
      <c r="G963" s="93" t="n">
        <v>44062</v>
      </c>
      <c r="H963" s="94" t="n">
        <v>303.81</v>
      </c>
      <c r="I963" s="95" t="n">
        <f aca="false">H963/H962-1</f>
        <v>-0.000230354087139673</v>
      </c>
    </row>
    <row r="964" customFormat="false" ht="18" hidden="false" customHeight="false" outlineLevel="0" collapsed="false">
      <c r="A964" s="89" t="n">
        <v>44113</v>
      </c>
      <c r="B964" s="90" t="n">
        <v>91.94</v>
      </c>
      <c r="C964" s="91" t="n">
        <f aca="false">B964/B963-1</f>
        <v>-0.00162884135085251</v>
      </c>
      <c r="E964" s="93"/>
      <c r="F964" s="94"/>
      <c r="G964" s="93" t="n">
        <v>44063</v>
      </c>
      <c r="H964" s="94" t="n">
        <v>303.13</v>
      </c>
      <c r="I964" s="95" t="n">
        <f aca="false">H964/H963-1</f>
        <v>-0.00223824100589187</v>
      </c>
    </row>
    <row r="965" customFormat="false" ht="18" hidden="false" customHeight="false" outlineLevel="0" collapsed="false">
      <c r="A965" s="89" t="n">
        <v>44114</v>
      </c>
      <c r="B965" s="90" t="n">
        <v>92.06</v>
      </c>
      <c r="C965" s="91" t="n">
        <f aca="false">B965/B964-1</f>
        <v>0.00130519904285409</v>
      </c>
      <c r="E965" s="93"/>
      <c r="F965" s="94"/>
      <c r="G965" s="93" t="n">
        <v>44064</v>
      </c>
      <c r="H965" s="94" t="n">
        <v>302.77</v>
      </c>
      <c r="I965" s="95" t="n">
        <f aca="false">H965/H964-1</f>
        <v>-0.00118760927654804</v>
      </c>
    </row>
    <row r="966" customFormat="false" ht="18" hidden="false" customHeight="false" outlineLevel="0" collapsed="false">
      <c r="A966" s="89" t="n">
        <v>44117</v>
      </c>
      <c r="B966" s="90" t="n">
        <v>92.25</v>
      </c>
      <c r="C966" s="91" t="n">
        <f aca="false">B966/B965-1</f>
        <v>0.00206387138822506</v>
      </c>
      <c r="E966" s="93"/>
      <c r="F966" s="94"/>
      <c r="G966" s="93" t="n">
        <v>44065</v>
      </c>
      <c r="H966" s="94" t="n">
        <v>303.12</v>
      </c>
      <c r="I966" s="95" t="n">
        <f aca="false">H966/H965-1</f>
        <v>0.00115599299798541</v>
      </c>
    </row>
    <row r="967" customFormat="false" ht="18" hidden="false" customHeight="false" outlineLevel="0" collapsed="false">
      <c r="A967" s="89" t="n">
        <v>44118</v>
      </c>
      <c r="B967" s="90" t="n">
        <v>92.5</v>
      </c>
      <c r="C967" s="91" t="n">
        <f aca="false">B967/B966-1</f>
        <v>0.00271002710027091</v>
      </c>
      <c r="E967" s="93"/>
      <c r="F967" s="94"/>
      <c r="G967" s="93" t="n">
        <v>44068</v>
      </c>
      <c r="H967" s="94" t="n">
        <v>303.95</v>
      </c>
      <c r="I967" s="95" t="n">
        <f aca="false">H967/H966-1</f>
        <v>0.00273818949590909</v>
      </c>
    </row>
    <row r="968" customFormat="false" ht="18" hidden="false" customHeight="false" outlineLevel="0" collapsed="false">
      <c r="A968" s="89" t="n">
        <v>44119</v>
      </c>
      <c r="B968" s="90" t="n">
        <v>92.73</v>
      </c>
      <c r="C968" s="91" t="n">
        <f aca="false">B968/B967-1</f>
        <v>0.00248648648648664</v>
      </c>
      <c r="E968" s="93"/>
      <c r="F968" s="94"/>
      <c r="G968" s="93" t="n">
        <v>44069</v>
      </c>
      <c r="H968" s="94" t="n">
        <v>303.19</v>
      </c>
      <c r="I968" s="95" t="n">
        <f aca="false">H968/H967-1</f>
        <v>-0.00250041125185063</v>
      </c>
    </row>
    <row r="969" customFormat="false" ht="18" hidden="false" customHeight="false" outlineLevel="0" collapsed="false">
      <c r="A969" s="89" t="n">
        <v>44120</v>
      </c>
      <c r="B969" s="90" t="n">
        <v>92.14</v>
      </c>
      <c r="C969" s="91" t="n">
        <f aca="false">B969/B968-1</f>
        <v>-0.00636255796398144</v>
      </c>
      <c r="E969" s="93"/>
      <c r="F969" s="94"/>
      <c r="G969" s="93" t="n">
        <v>44070</v>
      </c>
      <c r="H969" s="94" t="n">
        <v>302.46</v>
      </c>
      <c r="I969" s="95" t="n">
        <f aca="false">H969/H968-1</f>
        <v>-0.00240773112569681</v>
      </c>
    </row>
    <row r="970" customFormat="false" ht="18" hidden="false" customHeight="false" outlineLevel="0" collapsed="false">
      <c r="A970" s="89" t="n">
        <v>44121</v>
      </c>
      <c r="B970" s="90" t="n">
        <v>92.35</v>
      </c>
      <c r="C970" s="91" t="n">
        <f aca="false">B970/B969-1</f>
        <v>0.00227914043846322</v>
      </c>
      <c r="E970" s="93"/>
      <c r="F970" s="94"/>
      <c r="G970" s="93" t="n">
        <v>44071</v>
      </c>
      <c r="H970" s="94" t="n">
        <v>302.17</v>
      </c>
      <c r="I970" s="95" t="n">
        <f aca="false">H970/H969-1</f>
        <v>-0.000958804470012398</v>
      </c>
    </row>
    <row r="971" customFormat="false" ht="18" hidden="false" customHeight="false" outlineLevel="0" collapsed="false">
      <c r="A971" s="89" t="n">
        <v>44124</v>
      </c>
      <c r="B971" s="90" t="n">
        <v>91.44</v>
      </c>
      <c r="C971" s="91" t="n">
        <f aca="false">B971/B970-1</f>
        <v>-0.00985381700054133</v>
      </c>
      <c r="E971" s="93"/>
      <c r="F971" s="94"/>
      <c r="G971" s="93" t="n">
        <v>44072</v>
      </c>
      <c r="H971" s="94" t="n">
        <v>303.82</v>
      </c>
      <c r="I971" s="95" t="n">
        <f aca="false">H971/H970-1</f>
        <v>0.00546050236621753</v>
      </c>
    </row>
    <row r="972" customFormat="false" ht="18" hidden="false" customHeight="false" outlineLevel="0" collapsed="false">
      <c r="A972" s="89" t="n">
        <v>44125</v>
      </c>
      <c r="B972" s="90" t="n">
        <v>91.23</v>
      </c>
      <c r="C972" s="91" t="n">
        <f aca="false">B972/B971-1</f>
        <v>-0.00229658792650911</v>
      </c>
      <c r="E972" s="93"/>
      <c r="F972" s="94"/>
      <c r="G972" s="93" t="n">
        <v>44075</v>
      </c>
      <c r="H972" s="94" t="n">
        <v>302.55</v>
      </c>
      <c r="I972" s="95" t="n">
        <f aca="false">H972/H971-1</f>
        <v>-0.00418010664209068</v>
      </c>
    </row>
    <row r="973" customFormat="false" ht="18" hidden="false" customHeight="false" outlineLevel="0" collapsed="false">
      <c r="A973" s="89" t="n">
        <v>44126</v>
      </c>
      <c r="B973" s="90" t="n">
        <v>90.89</v>
      </c>
      <c r="C973" s="91" t="n">
        <f aca="false">B973/B972-1</f>
        <v>-0.00372684423983338</v>
      </c>
      <c r="E973" s="93"/>
      <c r="F973" s="94"/>
      <c r="G973" s="93" t="n">
        <v>44076</v>
      </c>
      <c r="H973" s="94" t="n">
        <v>301.38</v>
      </c>
      <c r="I973" s="95" t="n">
        <f aca="false">H973/H972-1</f>
        <v>-0.00386712940009926</v>
      </c>
    </row>
    <row r="974" customFormat="false" ht="18" hidden="false" customHeight="false" outlineLevel="0" collapsed="false">
      <c r="A974" s="89" t="n">
        <v>44127</v>
      </c>
      <c r="B974" s="90" t="n">
        <v>91.26</v>
      </c>
      <c r="C974" s="91" t="n">
        <f aca="false">B974/B973-1</f>
        <v>0.00407085487952474</v>
      </c>
      <c r="E974" s="93"/>
      <c r="F974" s="94"/>
      <c r="G974" s="93" t="n">
        <v>44077</v>
      </c>
      <c r="H974" s="94" t="n">
        <v>297.86</v>
      </c>
      <c r="I974" s="95" t="n">
        <f aca="false">H974/H973-1</f>
        <v>-0.011679607140487</v>
      </c>
    </row>
    <row r="975" customFormat="false" ht="18" hidden="false" customHeight="false" outlineLevel="0" collapsed="false">
      <c r="A975" s="89" t="n">
        <v>44128</v>
      </c>
      <c r="B975" s="90" t="n">
        <v>91.26</v>
      </c>
      <c r="C975" s="91" t="n">
        <f aca="false">B975/B974-1</f>
        <v>0</v>
      </c>
      <c r="E975" s="93"/>
      <c r="F975" s="94"/>
      <c r="G975" s="93" t="n">
        <v>44078</v>
      </c>
      <c r="H975" s="94" t="n">
        <v>298.76</v>
      </c>
      <c r="I975" s="95" t="n">
        <f aca="false">H975/H974-1</f>
        <v>0.00302155375008395</v>
      </c>
    </row>
    <row r="976" customFormat="false" ht="18" hidden="false" customHeight="false" outlineLevel="0" collapsed="false">
      <c r="A976" s="89" t="n">
        <v>44131</v>
      </c>
      <c r="B976" s="90" t="n">
        <v>91.35</v>
      </c>
      <c r="C976" s="91" t="n">
        <f aca="false">B976/B975-1</f>
        <v>0.000986193293885496</v>
      </c>
      <c r="E976" s="93"/>
      <c r="F976" s="94"/>
      <c r="G976" s="93" t="n">
        <v>44079</v>
      </c>
      <c r="H976" s="94" t="n">
        <v>298.63</v>
      </c>
      <c r="I976" s="95" t="n">
        <f aca="false">H976/H975-1</f>
        <v>-0.000435131878430806</v>
      </c>
    </row>
    <row r="977" customFormat="false" ht="18" hidden="false" customHeight="false" outlineLevel="0" collapsed="false">
      <c r="A977" s="89" t="n">
        <v>44132</v>
      </c>
      <c r="B977" s="90" t="n">
        <v>91.56</v>
      </c>
      <c r="C977" s="91" t="n">
        <f aca="false">B977/B976-1</f>
        <v>0.0022988505747128</v>
      </c>
      <c r="E977" s="93"/>
      <c r="F977" s="94"/>
      <c r="G977" s="93" t="n">
        <v>44082</v>
      </c>
      <c r="H977" s="94" t="n">
        <v>295.65</v>
      </c>
      <c r="I977" s="95" t="n">
        <f aca="false">H977/H976-1</f>
        <v>-0.00997890366004761</v>
      </c>
    </row>
    <row r="978" customFormat="false" ht="18" hidden="false" customHeight="false" outlineLevel="0" collapsed="false">
      <c r="A978" s="89" t="n">
        <v>44133</v>
      </c>
      <c r="B978" s="90" t="n">
        <v>91.46</v>
      </c>
      <c r="C978" s="91" t="n">
        <f aca="false">B978/B977-1</f>
        <v>-0.00109217999126265</v>
      </c>
      <c r="E978" s="93"/>
      <c r="F978" s="94"/>
      <c r="G978" s="93" t="n">
        <v>44083</v>
      </c>
      <c r="H978" s="94" t="n">
        <v>295.77</v>
      </c>
      <c r="I978" s="95" t="n">
        <f aca="false">H978/H977-1</f>
        <v>0.000405885337392276</v>
      </c>
    </row>
    <row r="979" customFormat="false" ht="18" hidden="false" customHeight="false" outlineLevel="0" collapsed="false">
      <c r="A979" s="89" t="n">
        <v>44134</v>
      </c>
      <c r="B979" s="90" t="n">
        <v>90.92</v>
      </c>
      <c r="C979" s="91" t="n">
        <f aca="false">B979/B978-1</f>
        <v>-0.00590422042422911</v>
      </c>
      <c r="E979" s="93"/>
      <c r="F979" s="94"/>
      <c r="G979" s="93" t="n">
        <v>44084</v>
      </c>
      <c r="H979" s="94" t="n">
        <v>294.67</v>
      </c>
      <c r="I979" s="95" t="n">
        <f aca="false">H979/H978-1</f>
        <v>-0.00371910606214276</v>
      </c>
    </row>
    <row r="980" customFormat="false" ht="18" hidden="false" customHeight="false" outlineLevel="0" collapsed="false">
      <c r="A980" s="89" t="n">
        <v>44135</v>
      </c>
      <c r="B980" s="90" t="n">
        <v>90.14</v>
      </c>
      <c r="C980" s="91" t="n">
        <f aca="false">B980/B979-1</f>
        <v>-0.00857897052353718</v>
      </c>
      <c r="E980" s="93"/>
      <c r="F980" s="94"/>
      <c r="G980" s="93" t="n">
        <v>44085</v>
      </c>
      <c r="H980" s="94" t="n">
        <v>298.54</v>
      </c>
      <c r="I980" s="95" t="n">
        <f aca="false">H980/H979-1</f>
        <v>0.0131333355957513</v>
      </c>
    </row>
    <row r="981" customFormat="false" ht="18" hidden="false" customHeight="false" outlineLevel="0" collapsed="false">
      <c r="A981" s="89" t="n">
        <v>44138</v>
      </c>
      <c r="B981" s="90" t="n">
        <v>90.53</v>
      </c>
      <c r="C981" s="91" t="n">
        <f aca="false">B981/B980-1</f>
        <v>0.0043266030619038</v>
      </c>
      <c r="E981" s="93"/>
      <c r="F981" s="94"/>
      <c r="G981" s="93" t="n">
        <v>44086</v>
      </c>
      <c r="H981" s="94" t="n">
        <v>300.61</v>
      </c>
      <c r="I981" s="95" t="n">
        <f aca="false">H981/H980-1</f>
        <v>0.00693374422187976</v>
      </c>
    </row>
    <row r="982" customFormat="false" ht="18" hidden="false" customHeight="false" outlineLevel="0" collapsed="false">
      <c r="A982" s="89" t="n">
        <v>44139</v>
      </c>
      <c r="B982" s="90" t="n">
        <v>90.81</v>
      </c>
      <c r="C982" s="91" t="n">
        <f aca="false">B982/B981-1</f>
        <v>0.0030928973820834</v>
      </c>
      <c r="E982" s="93"/>
      <c r="F982" s="94"/>
      <c r="G982" s="93" t="n">
        <v>44089</v>
      </c>
      <c r="H982" s="94" t="n">
        <v>301.71</v>
      </c>
      <c r="I982" s="95" t="n">
        <f aca="false">H982/H981-1</f>
        <v>0.00365922623997861</v>
      </c>
    </row>
    <row r="983" customFormat="false" ht="18" hidden="false" customHeight="false" outlineLevel="0" collapsed="false">
      <c r="A983" s="89" t="n">
        <v>44140</v>
      </c>
      <c r="B983" s="90" t="n">
        <v>90.52</v>
      </c>
      <c r="C983" s="91" t="n">
        <f aca="false">B983/B982-1</f>
        <v>-0.0031934808941747</v>
      </c>
      <c r="E983" s="93"/>
      <c r="F983" s="94"/>
      <c r="G983" s="93" t="n">
        <v>44090</v>
      </c>
      <c r="H983" s="94" t="n">
        <v>302.93</v>
      </c>
      <c r="I983" s="95" t="n">
        <f aca="false">H983/H982-1</f>
        <v>0.00404361804381703</v>
      </c>
    </row>
    <row r="984" customFormat="false" ht="18" hidden="false" customHeight="false" outlineLevel="0" collapsed="false">
      <c r="A984" s="89" t="n">
        <v>44141</v>
      </c>
      <c r="B984" s="90" t="n">
        <v>91.51</v>
      </c>
      <c r="C984" s="91" t="n">
        <f aca="false">B984/B983-1</f>
        <v>0.0109368095448521</v>
      </c>
      <c r="E984" s="93"/>
      <c r="F984" s="94"/>
      <c r="G984" s="93" t="n">
        <v>44091</v>
      </c>
      <c r="H984" s="94" t="n">
        <v>301.92</v>
      </c>
      <c r="I984" s="95" t="n">
        <f aca="false">H984/H983-1</f>
        <v>-0.00333410358828767</v>
      </c>
    </row>
    <row r="985" customFormat="false" ht="18" hidden="false" customHeight="false" outlineLevel="0" collapsed="false">
      <c r="A985" s="89" t="n">
        <v>44142</v>
      </c>
      <c r="B985" s="90" t="n">
        <v>91.76</v>
      </c>
      <c r="C985" s="91" t="n">
        <f aca="false">B985/B984-1</f>
        <v>0.00273194186427705</v>
      </c>
      <c r="E985" s="93"/>
      <c r="F985" s="94"/>
      <c r="G985" s="93" t="n">
        <v>44092</v>
      </c>
      <c r="H985" s="94" t="n">
        <v>305.64</v>
      </c>
      <c r="I985" s="95" t="n">
        <f aca="false">H985/H984-1</f>
        <v>0.0123211446740858</v>
      </c>
    </row>
    <row r="986" customFormat="false" ht="18" hidden="false" customHeight="false" outlineLevel="0" collapsed="false">
      <c r="A986" s="89" t="n">
        <v>44145</v>
      </c>
      <c r="B986" s="90" t="n">
        <v>91.57</v>
      </c>
      <c r="C986" s="91" t="n">
        <f aca="false">B986/B985-1</f>
        <v>-0.00207061900610306</v>
      </c>
      <c r="E986" s="93"/>
      <c r="F986" s="94"/>
      <c r="G986" s="93" t="n">
        <v>44093</v>
      </c>
      <c r="H986" s="94" t="n">
        <v>306.99</v>
      </c>
      <c r="I986" s="95" t="n">
        <f aca="false">H986/H985-1</f>
        <v>0.00441696113074208</v>
      </c>
    </row>
    <row r="987" customFormat="false" ht="18" hidden="false" customHeight="false" outlineLevel="0" collapsed="false">
      <c r="A987" s="89" t="n">
        <v>44146</v>
      </c>
      <c r="B987" s="90" t="n">
        <v>90.86</v>
      </c>
      <c r="C987" s="91" t="n">
        <f aca="false">B987/B986-1</f>
        <v>-0.0077536311018892</v>
      </c>
      <c r="E987" s="93"/>
      <c r="F987" s="94"/>
      <c r="G987" s="93" t="n">
        <v>44096</v>
      </c>
      <c r="H987" s="94" t="n">
        <v>308.14</v>
      </c>
      <c r="I987" s="95" t="n">
        <f aca="false">H987/H986-1</f>
        <v>0.00374605035994646</v>
      </c>
    </row>
    <row r="988" customFormat="false" ht="18" hidden="false" customHeight="false" outlineLevel="0" collapsed="false">
      <c r="A988" s="89" t="n">
        <v>44147</v>
      </c>
      <c r="B988" s="90" t="n">
        <v>90.73</v>
      </c>
      <c r="C988" s="91" t="n">
        <f aca="false">B988/B987-1</f>
        <v>-0.00143077261721325</v>
      </c>
      <c r="E988" s="93"/>
      <c r="F988" s="94"/>
      <c r="G988" s="93" t="n">
        <v>44097</v>
      </c>
      <c r="H988" s="94" t="n">
        <v>313.72</v>
      </c>
      <c r="I988" s="95" t="n">
        <f aca="false">H988/H987-1</f>
        <v>0.018108651911469</v>
      </c>
    </row>
    <row r="989" customFormat="false" ht="18" hidden="false" customHeight="false" outlineLevel="0" collapsed="false">
      <c r="A989" s="89" t="n">
        <v>44148</v>
      </c>
      <c r="B989" s="90" t="n">
        <v>90.5</v>
      </c>
      <c r="C989" s="91" t="n">
        <f aca="false">B989/B988-1</f>
        <v>-0.00253499393805801</v>
      </c>
      <c r="E989" s="93"/>
      <c r="F989" s="94"/>
      <c r="G989" s="93" t="n">
        <v>44098</v>
      </c>
      <c r="H989" s="94" t="n">
        <v>315.52</v>
      </c>
      <c r="I989" s="95" t="n">
        <f aca="false">H989/H988-1</f>
        <v>0.00573760040800697</v>
      </c>
    </row>
    <row r="990" customFormat="false" ht="18" hidden="false" customHeight="false" outlineLevel="0" collapsed="false">
      <c r="A990" s="89" t="n">
        <v>44149</v>
      </c>
      <c r="B990" s="90" t="n">
        <v>90.37</v>
      </c>
      <c r="C990" s="91" t="n">
        <f aca="false">B990/B989-1</f>
        <v>-0.0014364640883977</v>
      </c>
      <c r="E990" s="93"/>
      <c r="F990" s="94"/>
      <c r="G990" s="93" t="n">
        <v>44099</v>
      </c>
      <c r="H990" s="94" t="n">
        <v>321.59</v>
      </c>
      <c r="I990" s="95" t="n">
        <f aca="false">H990/H989-1</f>
        <v>0.0192380831643002</v>
      </c>
    </row>
    <row r="991" customFormat="false" ht="18" hidden="false" customHeight="false" outlineLevel="0" collapsed="false">
      <c r="A991" s="89" t="n">
        <v>44152</v>
      </c>
      <c r="B991" s="90" t="n">
        <v>90.48</v>
      </c>
      <c r="C991" s="91" t="n">
        <f aca="false">B991/B990-1</f>
        <v>0.00121721810335296</v>
      </c>
      <c r="E991" s="93"/>
      <c r="F991" s="94"/>
      <c r="G991" s="93" t="n">
        <v>44100</v>
      </c>
      <c r="H991" s="94" t="n">
        <v>325.35</v>
      </c>
      <c r="I991" s="95" t="n">
        <f aca="false">H991/H990-1</f>
        <v>0.0116919058428435</v>
      </c>
    </row>
    <row r="992" customFormat="false" ht="18" hidden="false" customHeight="false" outlineLevel="0" collapsed="false">
      <c r="A992" s="89" t="n">
        <v>44153</v>
      </c>
      <c r="B992" s="90" t="n">
        <v>90.91</v>
      </c>
      <c r="C992" s="91" t="n">
        <f aca="false">B992/B991-1</f>
        <v>0.00475243147656923</v>
      </c>
      <c r="E992" s="93"/>
      <c r="F992" s="94"/>
      <c r="G992" s="93" t="n">
        <v>44103</v>
      </c>
      <c r="H992" s="94" t="n">
        <v>326.56</v>
      </c>
      <c r="I992" s="95" t="n">
        <f aca="false">H992/H991-1</f>
        <v>0.00371907176886421</v>
      </c>
    </row>
    <row r="993" customFormat="false" ht="18" hidden="false" customHeight="false" outlineLevel="0" collapsed="false">
      <c r="A993" s="89" t="n">
        <v>44154</v>
      </c>
      <c r="B993" s="90" t="n">
        <v>90.92</v>
      </c>
      <c r="C993" s="91" t="n">
        <f aca="false">B993/B992-1</f>
        <v>0.000109998900011066</v>
      </c>
      <c r="E993" s="93"/>
      <c r="F993" s="94"/>
      <c r="G993" s="93" t="n">
        <v>44104</v>
      </c>
      <c r="H993" s="94" t="n">
        <v>326.78</v>
      </c>
      <c r="I993" s="95" t="n">
        <f aca="false">H993/H992-1</f>
        <v>0.000673689367956865</v>
      </c>
    </row>
    <row r="994" customFormat="false" ht="18" hidden="false" customHeight="false" outlineLevel="0" collapsed="false">
      <c r="A994" s="89" t="n">
        <v>44155</v>
      </c>
      <c r="B994" s="90" t="n">
        <v>90.96</v>
      </c>
      <c r="C994" s="91" t="n">
        <f aca="false">B994/B993-1</f>
        <v>0.000439947206335223</v>
      </c>
      <c r="E994" s="93"/>
      <c r="F994" s="94"/>
      <c r="G994" s="93" t="n">
        <v>44105</v>
      </c>
      <c r="H994" s="94" t="n">
        <v>331.34</v>
      </c>
      <c r="I994" s="95" t="n">
        <f aca="false">H994/H993-1</f>
        <v>0.0139543423710142</v>
      </c>
    </row>
    <row r="995" customFormat="false" ht="18" hidden="false" customHeight="false" outlineLevel="0" collapsed="false">
      <c r="A995" s="89" t="n">
        <v>44156</v>
      </c>
      <c r="B995" s="90" t="n">
        <v>90.85</v>
      </c>
      <c r="C995" s="91" t="n">
        <f aca="false">B995/B994-1</f>
        <v>-0.00120932277924357</v>
      </c>
      <c r="E995" s="93"/>
      <c r="F995" s="94"/>
      <c r="G995" s="93" t="n">
        <v>44106</v>
      </c>
      <c r="H995" s="94" t="n">
        <v>326.84</v>
      </c>
      <c r="I995" s="95" t="n">
        <f aca="false">H995/H994-1</f>
        <v>-0.0135812156697048</v>
      </c>
    </row>
    <row r="996" customFormat="false" ht="18" hidden="false" customHeight="false" outlineLevel="0" collapsed="false">
      <c r="A996" s="89" t="n">
        <v>44159</v>
      </c>
      <c r="B996" s="90" t="n">
        <v>91.7</v>
      </c>
      <c r="C996" s="91" t="n">
        <f aca="false">B996/B995-1</f>
        <v>0.00935608145294453</v>
      </c>
      <c r="E996" s="93"/>
      <c r="F996" s="94"/>
      <c r="G996" s="93" t="n">
        <v>44107</v>
      </c>
      <c r="H996" s="94" t="n">
        <v>328.42</v>
      </c>
      <c r="I996" s="95" t="n">
        <f aca="false">H996/H995-1</f>
        <v>0.00483416962428107</v>
      </c>
    </row>
    <row r="997" customFormat="false" ht="18" hidden="false" customHeight="false" outlineLevel="0" collapsed="false">
      <c r="A997" s="89" t="n">
        <v>44160</v>
      </c>
      <c r="B997" s="90" t="n">
        <v>91.57</v>
      </c>
      <c r="C997" s="91" t="n">
        <f aca="false">B997/B996-1</f>
        <v>-0.00141766630316265</v>
      </c>
      <c r="E997" s="93"/>
      <c r="F997" s="94"/>
      <c r="G997" s="93" t="n">
        <v>44110</v>
      </c>
      <c r="H997" s="94" t="n">
        <v>329.27</v>
      </c>
      <c r="I997" s="95" t="n">
        <f aca="false">H997/H996-1</f>
        <v>0.00258814932099138</v>
      </c>
    </row>
    <row r="998" customFormat="false" ht="18" hidden="false" customHeight="false" outlineLevel="0" collapsed="false">
      <c r="A998" s="89" t="n">
        <v>44161</v>
      </c>
      <c r="B998" s="90" t="n">
        <v>91.89</v>
      </c>
      <c r="C998" s="91" t="n">
        <f aca="false">B998/B997-1</f>
        <v>0.0034945942994431</v>
      </c>
      <c r="E998" s="93"/>
      <c r="F998" s="94"/>
      <c r="G998" s="93" t="n">
        <v>44111</v>
      </c>
      <c r="H998" s="94" t="n">
        <v>323.21</v>
      </c>
      <c r="I998" s="95" t="n">
        <f aca="false">H998/H997-1</f>
        <v>-0.0184043490144866</v>
      </c>
    </row>
    <row r="999" customFormat="false" ht="18" hidden="false" customHeight="false" outlineLevel="0" collapsed="false">
      <c r="A999" s="89" t="n">
        <v>44163</v>
      </c>
      <c r="B999" s="90" t="n">
        <v>92.15</v>
      </c>
      <c r="C999" s="91" t="n">
        <f aca="false">B999/B998-1</f>
        <v>0.00282947001850054</v>
      </c>
      <c r="E999" s="93"/>
      <c r="F999" s="94"/>
      <c r="G999" s="93" t="n">
        <v>44112</v>
      </c>
      <c r="H999" s="94" t="n">
        <v>319.9</v>
      </c>
      <c r="I999" s="95" t="n">
        <f aca="false">H999/H998-1</f>
        <v>-0.0102410197704279</v>
      </c>
    </row>
    <row r="1000" customFormat="false" ht="18" hidden="false" customHeight="false" outlineLevel="0" collapsed="false">
      <c r="A1000" s="89" t="n">
        <v>44166</v>
      </c>
      <c r="B1000" s="90" t="n">
        <v>91.66</v>
      </c>
      <c r="C1000" s="91" t="n">
        <f aca="false">B1000/B999-1</f>
        <v>-0.00531741725447654</v>
      </c>
      <c r="E1000" s="93"/>
      <c r="F1000" s="94"/>
      <c r="G1000" s="93" t="n">
        <v>44113</v>
      </c>
      <c r="H1000" s="94" t="n">
        <v>322.12</v>
      </c>
      <c r="I1000" s="95" t="n">
        <f aca="false">H1000/H999-1</f>
        <v>0.00693966864645201</v>
      </c>
    </row>
    <row r="1001" customFormat="false" ht="18" hidden="false" customHeight="false" outlineLevel="0" collapsed="false">
      <c r="A1001" s="89" t="n">
        <v>44167</v>
      </c>
      <c r="B1001" s="90" t="n">
        <v>91.68</v>
      </c>
      <c r="C1001" s="91" t="n">
        <f aca="false">B1001/B1000-1</f>
        <v>0.000218197687104738</v>
      </c>
      <c r="E1001" s="93"/>
      <c r="F1001" s="94"/>
      <c r="G1001" s="93" t="n">
        <v>44114</v>
      </c>
      <c r="H1001" s="94" t="n">
        <v>323.19</v>
      </c>
      <c r="I1001" s="95" t="n">
        <f aca="false">H1001/H1000-1</f>
        <v>0.00332174344964598</v>
      </c>
    </row>
    <row r="1002" customFormat="false" ht="18" hidden="false" customHeight="false" outlineLevel="0" collapsed="false">
      <c r="A1002" s="89" t="n">
        <v>44168</v>
      </c>
      <c r="B1002" s="90" t="n">
        <v>92.02</v>
      </c>
      <c r="C1002" s="91" t="n">
        <f aca="false">B1002/B1001-1</f>
        <v>0.00370855148342053</v>
      </c>
      <c r="E1002" s="93"/>
      <c r="F1002" s="94"/>
      <c r="G1002" s="93" t="n">
        <v>44117</v>
      </c>
      <c r="H1002" s="94" t="n">
        <v>322.75</v>
      </c>
      <c r="I1002" s="95" t="n">
        <f aca="false">H1002/H1001-1</f>
        <v>-0.00136142826201302</v>
      </c>
    </row>
    <row r="1003" customFormat="false" ht="18" hidden="false" customHeight="false" outlineLevel="0" collapsed="false">
      <c r="A1003" s="89" t="n">
        <v>44169</v>
      </c>
      <c r="B1003" s="90" t="n">
        <v>92.14</v>
      </c>
      <c r="C1003" s="91" t="n">
        <f aca="false">B1003/B1002-1</f>
        <v>0.00130406433384045</v>
      </c>
      <c r="E1003" s="93"/>
      <c r="F1003" s="94"/>
      <c r="G1003" s="93" t="n">
        <v>44118</v>
      </c>
      <c r="H1003" s="94" t="n">
        <v>319.76</v>
      </c>
      <c r="I1003" s="95" t="n">
        <f aca="false">H1003/H1002-1</f>
        <v>-0.0092641363284276</v>
      </c>
    </row>
    <row r="1004" customFormat="false" ht="18" hidden="false" customHeight="false" outlineLevel="0" collapsed="false">
      <c r="A1004" s="89" t="n">
        <v>44170</v>
      </c>
      <c r="B1004" s="90" t="n">
        <v>92.45</v>
      </c>
      <c r="C1004" s="91" t="n">
        <f aca="false">B1004/B1003-1</f>
        <v>0.00336444540915992</v>
      </c>
      <c r="E1004" s="93"/>
      <c r="F1004" s="94"/>
      <c r="G1004" s="93" t="n">
        <v>44119</v>
      </c>
      <c r="H1004" s="94" t="n">
        <v>319.03</v>
      </c>
      <c r="I1004" s="95" t="n">
        <f aca="false">H1004/H1003-1</f>
        <v>-0.00228296222166635</v>
      </c>
    </row>
    <row r="1005" customFormat="false" ht="18" hidden="false" customHeight="false" outlineLevel="0" collapsed="false">
      <c r="A1005" s="89" t="n">
        <v>44173</v>
      </c>
      <c r="B1005" s="90" t="n">
        <v>92.24</v>
      </c>
      <c r="C1005" s="91" t="n">
        <f aca="false">B1005/B1004-1</f>
        <v>-0.00227149810708505</v>
      </c>
      <c r="E1005" s="93"/>
      <c r="F1005" s="94"/>
      <c r="G1005" s="93" t="n">
        <v>44120</v>
      </c>
      <c r="H1005" s="94" t="n">
        <v>316.54</v>
      </c>
      <c r="I1005" s="95" t="n">
        <f aca="false">H1005/H1004-1</f>
        <v>-0.0078049086292824</v>
      </c>
    </row>
    <row r="1006" customFormat="false" ht="18" hidden="false" customHeight="false" outlineLevel="0" collapsed="false">
      <c r="A1006" s="89" t="n">
        <v>44174</v>
      </c>
      <c r="B1006" s="90" t="n">
        <v>92.09</v>
      </c>
      <c r="C1006" s="91" t="n">
        <f aca="false">B1006/B1005-1</f>
        <v>-0.00162619254119678</v>
      </c>
      <c r="E1006" s="93"/>
      <c r="F1006" s="94"/>
      <c r="G1006" s="93" t="n">
        <v>44121</v>
      </c>
      <c r="H1006" s="94" t="n">
        <v>322.13</v>
      </c>
      <c r="I1006" s="95" t="n">
        <f aca="false">H1006/H1005-1</f>
        <v>0.0176596954571302</v>
      </c>
    </row>
    <row r="1007" customFormat="false" ht="18" hidden="false" customHeight="false" outlineLevel="0" collapsed="false">
      <c r="A1007" s="89" t="n">
        <v>44175</v>
      </c>
      <c r="B1007" s="90" t="n">
        <v>92.04</v>
      </c>
      <c r="C1007" s="91" t="n">
        <f aca="false">B1007/B1006-1</f>
        <v>-0.000542947116950798</v>
      </c>
      <c r="E1007" s="93"/>
      <c r="F1007" s="94"/>
      <c r="G1007" s="93" t="n">
        <v>44124</v>
      </c>
      <c r="H1007" s="94" t="n">
        <v>320.47</v>
      </c>
      <c r="I1007" s="95" t="n">
        <f aca="false">H1007/H1006-1</f>
        <v>-0.00515319901902944</v>
      </c>
    </row>
    <row r="1008" customFormat="false" ht="18" hidden="false" customHeight="false" outlineLevel="0" collapsed="false">
      <c r="A1008" s="89" t="n">
        <v>44176</v>
      </c>
      <c r="B1008" s="90" t="n">
        <v>91.56</v>
      </c>
      <c r="C1008" s="91" t="n">
        <f aca="false">B1008/B1007-1</f>
        <v>-0.00521512385919165</v>
      </c>
      <c r="E1008" s="93"/>
      <c r="F1008" s="94"/>
      <c r="G1008" s="93" t="n">
        <v>44125</v>
      </c>
      <c r="H1008" s="94" t="n">
        <v>318.94</v>
      </c>
      <c r="I1008" s="95" t="n">
        <f aca="false">H1008/H1007-1</f>
        <v>-0.00477423783817532</v>
      </c>
    </row>
    <row r="1009" customFormat="false" ht="18" hidden="false" customHeight="false" outlineLevel="0" collapsed="false">
      <c r="A1009" s="89" t="n">
        <v>44177</v>
      </c>
      <c r="B1009" s="90" t="n">
        <v>91.09</v>
      </c>
      <c r="C1009" s="91" t="n">
        <f aca="false">B1009/B1008-1</f>
        <v>-0.00513324595893405</v>
      </c>
      <c r="E1009" s="93"/>
      <c r="F1009" s="94"/>
      <c r="G1009" s="93" t="n">
        <v>44126</v>
      </c>
      <c r="H1009" s="94" t="n">
        <v>318.5</v>
      </c>
      <c r="I1009" s="95" t="n">
        <f aca="false">H1009/H1008-1</f>
        <v>-0.0013795698250455</v>
      </c>
    </row>
    <row r="1010" customFormat="false" ht="18" hidden="false" customHeight="false" outlineLevel="0" collapsed="false">
      <c r="A1010" s="89" t="n">
        <v>44180</v>
      </c>
      <c r="B1010" s="90" t="n">
        <v>91.17</v>
      </c>
      <c r="C1010" s="91" t="n">
        <f aca="false">B1010/B1009-1</f>
        <v>0.000878252277966896</v>
      </c>
      <c r="E1010" s="93"/>
      <c r="F1010" s="94"/>
      <c r="G1010" s="93" t="n">
        <v>44127</v>
      </c>
      <c r="H1010" s="94" t="n">
        <v>316.71</v>
      </c>
      <c r="I1010" s="95" t="n">
        <f aca="false">H1010/H1009-1</f>
        <v>-0.00562009419152287</v>
      </c>
    </row>
    <row r="1011" customFormat="false" ht="18" hidden="false" customHeight="false" outlineLevel="0" collapsed="false">
      <c r="A1011" s="89" t="n">
        <v>44181</v>
      </c>
      <c r="B1011" s="90" t="n">
        <v>91.12</v>
      </c>
      <c r="C1011" s="91" t="n">
        <f aca="false">B1011/B1010-1</f>
        <v>-0.000548426017330184</v>
      </c>
      <c r="E1011" s="93"/>
      <c r="F1011" s="94"/>
      <c r="G1011" s="93" t="n">
        <v>44128</v>
      </c>
      <c r="H1011" s="94" t="n">
        <v>316.75</v>
      </c>
      <c r="I1011" s="95" t="n">
        <f aca="false">H1011/H1010-1</f>
        <v>0.000126298506520239</v>
      </c>
    </row>
    <row r="1012" customFormat="false" ht="18" hidden="false" customHeight="false" outlineLevel="0" collapsed="false">
      <c r="A1012" s="89" t="n">
        <v>44182</v>
      </c>
      <c r="B1012" s="90" t="n">
        <v>89.33</v>
      </c>
      <c r="C1012" s="91" t="n">
        <f aca="false">B1012/B1011-1</f>
        <v>-0.0196444249341529</v>
      </c>
      <c r="E1012" s="93"/>
      <c r="F1012" s="94"/>
      <c r="G1012" s="93" t="n">
        <v>44131</v>
      </c>
      <c r="H1012" s="94" t="n">
        <v>317.5</v>
      </c>
      <c r="I1012" s="95" t="n">
        <f aca="false">H1012/H1011-1</f>
        <v>0.00236779794790842</v>
      </c>
    </row>
    <row r="1013" customFormat="false" ht="18" hidden="false" customHeight="false" outlineLevel="0" collapsed="false">
      <c r="A1013" s="89" t="n">
        <v>44183</v>
      </c>
      <c r="B1013" s="90" t="n">
        <v>88.94</v>
      </c>
      <c r="C1013" s="91" t="n">
        <f aca="false">B1013/B1012-1</f>
        <v>-0.00436583454606521</v>
      </c>
      <c r="E1013" s="93"/>
      <c r="F1013" s="94"/>
      <c r="G1013" s="93" t="n">
        <v>44132</v>
      </c>
      <c r="H1013" s="94" t="n">
        <v>316.75</v>
      </c>
      <c r="I1013" s="95" t="n">
        <f aca="false">H1013/H1012-1</f>
        <v>-0.0023622047244094</v>
      </c>
    </row>
    <row r="1014" customFormat="false" ht="18" hidden="false" customHeight="false" outlineLevel="0" collapsed="false">
      <c r="A1014" s="89" t="n">
        <v>44184</v>
      </c>
      <c r="B1014" s="90" t="n">
        <v>89.56</v>
      </c>
      <c r="C1014" s="91" t="n">
        <f aca="false">B1014/B1013-1</f>
        <v>0.00697099167978421</v>
      </c>
      <c r="E1014" s="93"/>
      <c r="F1014" s="94"/>
      <c r="G1014" s="93" t="n">
        <v>44133</v>
      </c>
      <c r="H1014" s="94" t="n">
        <v>314.75</v>
      </c>
      <c r="I1014" s="95" t="n">
        <f aca="false">H1014/H1013-1</f>
        <v>-0.0063141278610892</v>
      </c>
    </row>
    <row r="1015" customFormat="false" ht="18" hidden="false" customHeight="false" outlineLevel="0" collapsed="false">
      <c r="A1015" s="89" t="n">
        <v>44187</v>
      </c>
      <c r="B1015" s="90" t="n">
        <v>89.33</v>
      </c>
      <c r="C1015" s="91" t="n">
        <f aca="false">B1015/B1014-1</f>
        <v>-0.00256811076373387</v>
      </c>
      <c r="E1015" s="93"/>
      <c r="F1015" s="94"/>
      <c r="G1015" s="93" t="n">
        <v>44134</v>
      </c>
      <c r="H1015" s="94" t="n">
        <v>313.97</v>
      </c>
      <c r="I1015" s="95" t="n">
        <f aca="false">H1015/H1014-1</f>
        <v>-0.00247815726767264</v>
      </c>
    </row>
    <row r="1016" customFormat="false" ht="18" hidden="false" customHeight="false" outlineLevel="0" collapsed="false">
      <c r="A1016" s="89" t="n">
        <v>44188</v>
      </c>
      <c r="B1016" s="90" t="n">
        <v>89.73</v>
      </c>
      <c r="C1016" s="91" t="n">
        <f aca="false">B1016/B1015-1</f>
        <v>0.00447777902160529</v>
      </c>
      <c r="E1016" s="93"/>
      <c r="F1016" s="94"/>
      <c r="G1016" s="93" t="n">
        <v>44135</v>
      </c>
      <c r="H1016" s="94" t="n">
        <v>314.74</v>
      </c>
      <c r="I1016" s="95" t="n">
        <f aca="false">H1016/H1015-1</f>
        <v>0.00245246361117291</v>
      </c>
    </row>
    <row r="1017" customFormat="false" ht="18" hidden="false" customHeight="false" outlineLevel="0" collapsed="false">
      <c r="A1017" s="89" t="n">
        <v>44190</v>
      </c>
      <c r="B1017" s="90" t="n">
        <v>89.64</v>
      </c>
      <c r="C1017" s="91" t="n">
        <f aca="false">B1017/B1016-1</f>
        <v>-0.00100300902708128</v>
      </c>
      <c r="E1017" s="93"/>
      <c r="F1017" s="94"/>
      <c r="G1017" s="93" t="n">
        <v>44138</v>
      </c>
      <c r="H1017" s="94" t="n">
        <v>315.72</v>
      </c>
      <c r="I1017" s="95" t="n">
        <f aca="false">H1017/H1016-1</f>
        <v>0.00311368113363408</v>
      </c>
    </row>
    <row r="1018" customFormat="false" ht="18" hidden="false" customHeight="false" outlineLevel="0" collapsed="false">
      <c r="A1018" s="89" t="n">
        <v>44191</v>
      </c>
      <c r="B1018" s="90" t="n">
        <v>89.3</v>
      </c>
      <c r="C1018" s="91" t="n">
        <f aca="false">B1018/B1017-1</f>
        <v>-0.00379294957608212</v>
      </c>
      <c r="E1018" s="93"/>
      <c r="F1018" s="94"/>
      <c r="G1018" s="93" t="n">
        <v>44139</v>
      </c>
      <c r="H1018" s="94" t="n">
        <v>319.02</v>
      </c>
      <c r="I1018" s="95" t="n">
        <f aca="false">H1018/H1017-1</f>
        <v>0.0104522995058911</v>
      </c>
    </row>
    <row r="1019" customFormat="false" ht="18" hidden="false" customHeight="false" outlineLevel="0" collapsed="false">
      <c r="A1019" s="89" t="n">
        <v>44194</v>
      </c>
      <c r="B1019" s="90" t="n">
        <v>89.21</v>
      </c>
      <c r="C1019" s="91" t="n">
        <f aca="false">B1019/B1018-1</f>
        <v>-0.00100783874580068</v>
      </c>
      <c r="E1019" s="93"/>
      <c r="F1019" s="94"/>
      <c r="G1019" s="93" t="n">
        <v>44140</v>
      </c>
      <c r="H1019" s="94" t="n">
        <v>317.91</v>
      </c>
      <c r="I1019" s="95" t="n">
        <f aca="false">H1019/H1018-1</f>
        <v>-0.00347940567989458</v>
      </c>
    </row>
    <row r="1020" customFormat="false" ht="18" hidden="false" customHeight="false" outlineLevel="0" collapsed="false">
      <c r="A1020" s="89" t="n">
        <v>44195</v>
      </c>
      <c r="B1020" s="90" t="n">
        <v>89.04</v>
      </c>
      <c r="C1020" s="91" t="n">
        <f aca="false">B1020/B1019-1</f>
        <v>-0.00190561596233596</v>
      </c>
      <c r="E1020" s="93"/>
      <c r="F1020" s="94"/>
      <c r="G1020" s="93" t="n">
        <v>44141</v>
      </c>
      <c r="H1020" s="94" t="n">
        <v>320.57</v>
      </c>
      <c r="I1020" s="95" t="n">
        <f aca="false">H1020/H1019-1</f>
        <v>0.00836714793495008</v>
      </c>
    </row>
    <row r="1021" customFormat="false" ht="18" hidden="false" customHeight="false" outlineLevel="0" collapsed="false">
      <c r="A1021" s="89" t="n">
        <v>44197</v>
      </c>
      <c r="B1021" s="90" t="n">
        <v>89.34</v>
      </c>
      <c r="C1021" s="91" t="n">
        <f aca="false">B1021/B1020-1</f>
        <v>0.00336927223719674</v>
      </c>
      <c r="E1021" s="93"/>
      <c r="F1021" s="94"/>
      <c r="G1021" s="93" t="n">
        <v>44142</v>
      </c>
      <c r="H1021" s="94" t="n">
        <v>318.7</v>
      </c>
      <c r="I1021" s="95" t="n">
        <f aca="false">H1021/H1020-1</f>
        <v>-0.00583335932869578</v>
      </c>
    </row>
    <row r="1022" customFormat="false" ht="18" hidden="false" customHeight="false" outlineLevel="0" collapsed="false">
      <c r="A1022" s="89" t="n">
        <v>44198</v>
      </c>
      <c r="B1022" s="90" t="n">
        <v>89.5</v>
      </c>
      <c r="C1022" s="91" t="n">
        <f aca="false">B1022/B1021-1</f>
        <v>0.00179091112603524</v>
      </c>
      <c r="E1022" s="93"/>
      <c r="F1022" s="94"/>
      <c r="G1022" s="93" t="n">
        <v>44145</v>
      </c>
      <c r="H1022" s="94" t="n">
        <v>316.68</v>
      </c>
      <c r="I1022" s="95" t="n">
        <f aca="false">H1022/H1021-1</f>
        <v>-0.00633824913711945</v>
      </c>
    </row>
    <row r="1023" customFormat="false" ht="18" hidden="false" customHeight="false" outlineLevel="0" collapsed="false">
      <c r="A1023" s="89" t="n">
        <v>44201</v>
      </c>
      <c r="B1023" s="90" t="n">
        <v>89.54</v>
      </c>
      <c r="C1023" s="91" t="n">
        <f aca="false">B1023/B1022-1</f>
        <v>0.000446927374301742</v>
      </c>
      <c r="E1023" s="93"/>
      <c r="F1023" s="94"/>
      <c r="G1023" s="93" t="n">
        <v>44146</v>
      </c>
      <c r="H1023" s="94" t="n">
        <v>310.99</v>
      </c>
      <c r="I1023" s="95" t="n">
        <f aca="false">H1023/H1022-1</f>
        <v>-0.0179676645193887</v>
      </c>
    </row>
    <row r="1024" customFormat="false" ht="18" hidden="false" customHeight="false" outlineLevel="0" collapsed="false">
      <c r="A1024" s="89" t="n">
        <v>44202</v>
      </c>
      <c r="B1024" s="90" t="n">
        <v>89.18</v>
      </c>
      <c r="C1024" s="91" t="n">
        <f aca="false">B1024/B1023-1</f>
        <v>-0.00402054947509489</v>
      </c>
      <c r="E1024" s="93"/>
      <c r="F1024" s="94"/>
      <c r="G1024" s="93" t="n">
        <v>44147</v>
      </c>
      <c r="H1024" s="94" t="n">
        <v>308.84</v>
      </c>
      <c r="I1024" s="95" t="n">
        <f aca="false">H1024/H1023-1</f>
        <v>-0.00691340557574205</v>
      </c>
    </row>
    <row r="1025" customFormat="false" ht="18" hidden="false" customHeight="false" outlineLevel="0" collapsed="false">
      <c r="A1025" s="89" t="n">
        <v>44203</v>
      </c>
      <c r="B1025" s="90" t="n">
        <v>89.25</v>
      </c>
      <c r="C1025" s="91" t="n">
        <f aca="false">B1025/B1024-1</f>
        <v>0.000784929356357766</v>
      </c>
      <c r="E1025" s="93"/>
      <c r="F1025" s="94"/>
      <c r="G1025" s="93" t="n">
        <v>44148</v>
      </c>
      <c r="H1025" s="94" t="n">
        <v>306</v>
      </c>
      <c r="I1025" s="95" t="n">
        <f aca="false">H1025/H1024-1</f>
        <v>-0.00919570003885495</v>
      </c>
    </row>
    <row r="1026" customFormat="false" ht="18" hidden="false" customHeight="false" outlineLevel="0" collapsed="false">
      <c r="A1026" s="89" t="n">
        <v>44205</v>
      </c>
      <c r="B1026" s="90" t="n">
        <v>88.77</v>
      </c>
      <c r="C1026" s="91" t="n">
        <f aca="false">B1026/B1025-1</f>
        <v>-0.00537815126050423</v>
      </c>
      <c r="E1026" s="93"/>
      <c r="F1026" s="94"/>
      <c r="G1026" s="93" t="n">
        <v>44149</v>
      </c>
      <c r="H1026" s="94" t="n">
        <v>305.55</v>
      </c>
      <c r="I1026" s="95" t="n">
        <f aca="false">H1026/H1025-1</f>
        <v>-0.00147058823529411</v>
      </c>
    </row>
    <row r="1027" customFormat="false" ht="18" hidden="false" customHeight="false" outlineLevel="0" collapsed="false">
      <c r="A1027" s="89" t="n">
        <v>44208</v>
      </c>
      <c r="B1027" s="90" t="n">
        <v>88.64</v>
      </c>
      <c r="C1027" s="91" t="n">
        <f aca="false">B1027/B1026-1</f>
        <v>-0.00146445871352929</v>
      </c>
      <c r="E1027" s="93"/>
      <c r="F1027" s="94"/>
      <c r="G1027" s="93" t="n">
        <v>44152</v>
      </c>
      <c r="H1027" s="94" t="n">
        <v>305.42</v>
      </c>
      <c r="I1027" s="95" t="n">
        <f aca="false">H1027/H1026-1</f>
        <v>-0.000425462281132383</v>
      </c>
    </row>
    <row r="1028" customFormat="false" ht="18" hidden="false" customHeight="false" outlineLevel="0" collapsed="false">
      <c r="A1028" s="89" t="n">
        <v>44209</v>
      </c>
      <c r="B1028" s="90" t="n">
        <v>88.77</v>
      </c>
      <c r="C1028" s="91" t="n">
        <f aca="false">B1028/B1027-1</f>
        <v>0.00146660649819497</v>
      </c>
      <c r="E1028" s="93"/>
      <c r="F1028" s="94"/>
      <c r="G1028" s="93" t="n">
        <v>44153</v>
      </c>
      <c r="H1028" s="94" t="n">
        <v>307.5</v>
      </c>
      <c r="I1028" s="95" t="n">
        <f aca="false">H1028/H1027-1</f>
        <v>0.0068102940213477</v>
      </c>
    </row>
    <row r="1029" customFormat="false" ht="18" hidden="false" customHeight="false" outlineLevel="0" collapsed="false">
      <c r="A1029" s="89" t="n">
        <v>44210</v>
      </c>
      <c r="B1029" s="90" t="n">
        <v>89.79</v>
      </c>
      <c r="C1029" s="91" t="n">
        <f aca="false">B1029/B1028-1</f>
        <v>0.0114903683676919</v>
      </c>
      <c r="E1029" s="93"/>
      <c r="F1029" s="94"/>
      <c r="G1029" s="93" t="n">
        <v>44154</v>
      </c>
      <c r="H1029" s="94" t="n">
        <v>307.39</v>
      </c>
      <c r="I1029" s="95" t="n">
        <f aca="false">H1029/H1028-1</f>
        <v>-0.000357723577235847</v>
      </c>
    </row>
    <row r="1030" customFormat="false" ht="18" hidden="false" customHeight="false" outlineLevel="0" collapsed="false">
      <c r="A1030" s="89" t="n">
        <v>44211</v>
      </c>
      <c r="B1030" s="90" t="n">
        <v>89.68</v>
      </c>
      <c r="C1030" s="91" t="n">
        <f aca="false">B1030/B1029-1</f>
        <v>-0.00122508074395811</v>
      </c>
      <c r="E1030" s="93"/>
      <c r="F1030" s="94"/>
      <c r="G1030" s="93" t="n">
        <v>44155</v>
      </c>
      <c r="H1030" s="94" t="n">
        <v>305.15</v>
      </c>
      <c r="I1030" s="95" t="n">
        <f aca="false">H1030/H1029-1</f>
        <v>-0.00728715963434079</v>
      </c>
    </row>
    <row r="1031" customFormat="false" ht="18" hidden="false" customHeight="false" outlineLevel="0" collapsed="false">
      <c r="A1031" s="89" t="n">
        <v>44212</v>
      </c>
      <c r="B1031" s="90" t="n">
        <v>89.85</v>
      </c>
      <c r="C1031" s="91" t="n">
        <f aca="false">B1031/B1030-1</f>
        <v>0.00189562890276518</v>
      </c>
      <c r="E1031" s="93"/>
      <c r="F1031" s="94"/>
      <c r="G1031" s="93" t="n">
        <v>44156</v>
      </c>
      <c r="H1031" s="94" t="n">
        <v>305.15</v>
      </c>
      <c r="I1031" s="95" t="n">
        <f aca="false">H1031/H1030-1</f>
        <v>0</v>
      </c>
    </row>
    <row r="1032" customFormat="false" ht="18" hidden="false" customHeight="false" outlineLevel="0" collapsed="false">
      <c r="A1032" s="89" t="n">
        <v>44216</v>
      </c>
      <c r="B1032" s="90" t="n">
        <v>90.46</v>
      </c>
      <c r="C1032" s="91" t="n">
        <f aca="false">B1032/B1031-1</f>
        <v>0.0067890929326655</v>
      </c>
      <c r="E1032" s="93"/>
      <c r="F1032" s="94"/>
      <c r="G1032" s="93" t="n">
        <v>44159</v>
      </c>
      <c r="H1032" s="94" t="n">
        <v>306.66</v>
      </c>
      <c r="I1032" s="95" t="n">
        <f aca="false">H1032/H1031-1</f>
        <v>0.00494838603965286</v>
      </c>
    </row>
    <row r="1033" customFormat="false" ht="18" hidden="false" customHeight="false" outlineLevel="0" collapsed="false">
      <c r="A1033" s="89" t="n">
        <v>44217</v>
      </c>
      <c r="B1033" s="90" t="n">
        <v>90.21</v>
      </c>
      <c r="C1033" s="91" t="n">
        <f aca="false">B1033/B1032-1</f>
        <v>-0.00276365244306875</v>
      </c>
      <c r="E1033" s="93"/>
      <c r="F1033" s="94"/>
      <c r="G1033" s="93" t="n">
        <v>44160</v>
      </c>
      <c r="H1033" s="94" t="n">
        <v>305.33</v>
      </c>
      <c r="I1033" s="95" t="n">
        <f aca="false">H1033/H1032-1</f>
        <v>-0.00433705080545244</v>
      </c>
    </row>
    <row r="1034" customFormat="false" ht="18" hidden="false" customHeight="false" outlineLevel="0" collapsed="false">
      <c r="A1034" s="89" t="n">
        <v>44218</v>
      </c>
      <c r="B1034" s="90" t="n">
        <v>90.19</v>
      </c>
      <c r="C1034" s="91" t="n">
        <f aca="false">B1034/B1033-1</f>
        <v>-0.000221704910763676</v>
      </c>
      <c r="E1034" s="93"/>
      <c r="F1034" s="94"/>
      <c r="G1034" s="93" t="n">
        <v>44161</v>
      </c>
      <c r="H1034" s="94" t="n">
        <v>306.08</v>
      </c>
      <c r="I1034" s="95" t="n">
        <f aca="false">H1034/H1033-1</f>
        <v>0.00245635869387217</v>
      </c>
    </row>
    <row r="1035" customFormat="false" ht="18" hidden="false" customHeight="false" outlineLevel="0" collapsed="false">
      <c r="A1035" s="89" t="n">
        <v>44219</v>
      </c>
      <c r="B1035" s="90" t="n">
        <v>90.34</v>
      </c>
      <c r="C1035" s="91" t="n">
        <f aca="false">B1035/B1034-1</f>
        <v>0.00166315556048358</v>
      </c>
      <c r="E1035" s="93"/>
      <c r="F1035" s="94"/>
      <c r="G1035" s="93" t="n">
        <v>44162</v>
      </c>
      <c r="H1035" s="94" t="n">
        <v>303.97</v>
      </c>
      <c r="I1035" s="95" t="n">
        <f aca="false">H1035/H1034-1</f>
        <v>-0.00689362258233128</v>
      </c>
    </row>
    <row r="1036" customFormat="false" ht="18" hidden="false" customHeight="false" outlineLevel="0" collapsed="false">
      <c r="A1036" s="89" t="n">
        <v>44222</v>
      </c>
      <c r="B1036" s="90" t="n">
        <v>90.6</v>
      </c>
      <c r="C1036" s="91" t="n">
        <f aca="false">B1036/B1035-1</f>
        <v>0.00287801638255458</v>
      </c>
      <c r="E1036" s="93"/>
      <c r="F1036" s="94"/>
      <c r="G1036" s="93" t="n">
        <v>44163</v>
      </c>
      <c r="H1036" s="94" t="n">
        <v>304.97</v>
      </c>
      <c r="I1036" s="95" t="n">
        <f aca="false">H1036/H1035-1</f>
        <v>0.00328979833536214</v>
      </c>
    </row>
    <row r="1037" customFormat="false" ht="18" hidden="false" customHeight="false" outlineLevel="0" collapsed="false">
      <c r="A1037" s="89" t="n">
        <v>44223</v>
      </c>
      <c r="B1037" s="90" t="n">
        <v>90.56</v>
      </c>
      <c r="C1037" s="91" t="n">
        <f aca="false">B1037/B1036-1</f>
        <v>-0.000441501103752628</v>
      </c>
      <c r="E1037" s="93"/>
      <c r="F1037" s="94"/>
      <c r="G1037" s="93" t="n">
        <v>44166</v>
      </c>
      <c r="H1037" s="94" t="n">
        <v>307.16</v>
      </c>
      <c r="I1037" s="95" t="n">
        <f aca="false">H1037/H1036-1</f>
        <v>0.00718103420008531</v>
      </c>
    </row>
    <row r="1038" customFormat="false" ht="18" hidden="false" customHeight="false" outlineLevel="0" collapsed="false">
      <c r="A1038" s="89" t="n">
        <v>44224</v>
      </c>
      <c r="B1038" s="90" t="n">
        <v>90.48</v>
      </c>
      <c r="C1038" s="91" t="n">
        <f aca="false">B1038/B1037-1</f>
        <v>-0.000883392226148416</v>
      </c>
      <c r="E1038" s="93"/>
      <c r="F1038" s="94"/>
      <c r="G1038" s="93" t="n">
        <v>44167</v>
      </c>
      <c r="H1038" s="94" t="n">
        <v>309.83</v>
      </c>
      <c r="I1038" s="95" t="n">
        <f aca="false">H1038/H1037-1</f>
        <v>0.0086925380908971</v>
      </c>
    </row>
    <row r="1039" customFormat="false" ht="18" hidden="false" customHeight="false" outlineLevel="0" collapsed="false">
      <c r="A1039" s="89" t="n">
        <v>44225</v>
      </c>
      <c r="B1039" s="90" t="n">
        <v>90.86</v>
      </c>
      <c r="C1039" s="91" t="n">
        <f aca="false">B1039/B1038-1</f>
        <v>0.0041998231653404</v>
      </c>
      <c r="E1039" s="93"/>
      <c r="F1039" s="94"/>
      <c r="G1039" s="93" t="n">
        <v>44168</v>
      </c>
      <c r="H1039" s="94" t="n">
        <v>311.33</v>
      </c>
      <c r="I1039" s="95" t="n">
        <f aca="false">H1039/H1038-1</f>
        <v>0.00484136461930729</v>
      </c>
    </row>
    <row r="1040" customFormat="false" ht="18" hidden="false" customHeight="false" outlineLevel="0" collapsed="false">
      <c r="A1040" s="89" t="n">
        <v>44226</v>
      </c>
      <c r="B1040" s="90" t="n">
        <v>90.55</v>
      </c>
      <c r="C1040" s="91" t="n">
        <f aca="false">B1040/B1039-1</f>
        <v>-0.00341184239489323</v>
      </c>
      <c r="E1040" s="93"/>
      <c r="F1040" s="94"/>
      <c r="G1040" s="93" t="n">
        <v>44169</v>
      </c>
      <c r="H1040" s="94" t="n">
        <v>312.24</v>
      </c>
      <c r="I1040" s="95" t="n">
        <f aca="false">H1040/H1039-1</f>
        <v>0.00292294350046585</v>
      </c>
    </row>
    <row r="1041" customFormat="false" ht="18" hidden="false" customHeight="false" outlineLevel="0" collapsed="false">
      <c r="A1041" s="89" t="n">
        <v>44229</v>
      </c>
      <c r="B1041" s="90" t="n">
        <v>90.25</v>
      </c>
      <c r="C1041" s="91" t="n">
        <f aca="false">B1041/B1040-1</f>
        <v>-0.00331308669243513</v>
      </c>
      <c r="E1041" s="93"/>
      <c r="F1041" s="94"/>
      <c r="G1041" s="93" t="n">
        <v>44170</v>
      </c>
      <c r="H1041" s="94" t="n">
        <v>313.48</v>
      </c>
      <c r="I1041" s="95" t="n">
        <f aca="false">H1041/H1040-1</f>
        <v>0.00397130412503199</v>
      </c>
    </row>
    <row r="1042" customFormat="false" ht="18" hidden="false" customHeight="false" outlineLevel="0" collapsed="false">
      <c r="A1042" s="89" t="n">
        <v>44230</v>
      </c>
      <c r="B1042" s="90" t="n">
        <v>90.57</v>
      </c>
      <c r="C1042" s="91" t="n">
        <f aca="false">B1042/B1041-1</f>
        <v>0.003545706371191</v>
      </c>
      <c r="E1042" s="93"/>
      <c r="F1042" s="94"/>
      <c r="G1042" s="93" t="n">
        <v>44173</v>
      </c>
      <c r="H1042" s="94" t="n">
        <v>316.63</v>
      </c>
      <c r="I1042" s="95" t="n">
        <f aca="false">H1042/H1041-1</f>
        <v>0.0100484879418143</v>
      </c>
    </row>
    <row r="1043" customFormat="false" ht="18" hidden="false" customHeight="false" outlineLevel="0" collapsed="false">
      <c r="A1043" s="89" t="n">
        <v>44231</v>
      </c>
      <c r="B1043" s="90" t="n">
        <v>91.08</v>
      </c>
      <c r="C1043" s="91" t="n">
        <f aca="false">B1043/B1042-1</f>
        <v>0.0056310036435907</v>
      </c>
      <c r="E1043" s="93"/>
      <c r="F1043" s="94"/>
      <c r="G1043" s="93" t="n">
        <v>44174</v>
      </c>
      <c r="H1043" s="94" t="n">
        <v>315.27</v>
      </c>
      <c r="I1043" s="95" t="n">
        <f aca="false">H1043/H1042-1</f>
        <v>-0.00429523418501099</v>
      </c>
    </row>
    <row r="1044" customFormat="false" ht="18" hidden="false" customHeight="false" outlineLevel="0" collapsed="false">
      <c r="A1044" s="89" t="n">
        <v>44232</v>
      </c>
      <c r="B1044" s="90" t="n">
        <v>91</v>
      </c>
      <c r="C1044" s="91" t="n">
        <f aca="false">B1044/B1043-1</f>
        <v>-0.000878348704435594</v>
      </c>
      <c r="E1044" s="93"/>
      <c r="F1044" s="94"/>
      <c r="G1044" s="93" t="n">
        <v>44175</v>
      </c>
      <c r="H1044" s="94" t="n">
        <v>314.52</v>
      </c>
      <c r="I1044" s="95" t="n">
        <f aca="false">H1044/H1043-1</f>
        <v>-0.00237891331239892</v>
      </c>
    </row>
    <row r="1045" customFormat="false" ht="18" hidden="false" customHeight="false" outlineLevel="0" collapsed="false">
      <c r="A1045" s="89" t="n">
        <v>44233</v>
      </c>
      <c r="B1045" s="90" t="n">
        <v>90.65</v>
      </c>
      <c r="C1045" s="91" t="n">
        <f aca="false">B1045/B1044-1</f>
        <v>-0.00384615384615383</v>
      </c>
      <c r="E1045" s="93"/>
      <c r="F1045" s="94"/>
      <c r="G1045" s="93" t="n">
        <v>44176</v>
      </c>
      <c r="H1045" s="94" t="n">
        <v>315.19</v>
      </c>
      <c r="I1045" s="95" t="n">
        <f aca="false">H1045/H1044-1</f>
        <v>0.00213023019203873</v>
      </c>
    </row>
    <row r="1046" customFormat="false" ht="18" hidden="false" customHeight="false" outlineLevel="0" collapsed="false">
      <c r="A1046" s="89" t="n">
        <v>44236</v>
      </c>
      <c r="B1046" s="90" t="n">
        <v>90.65</v>
      </c>
      <c r="C1046" s="91" t="n">
        <f aca="false">B1046/B1045-1</f>
        <v>0</v>
      </c>
      <c r="E1046" s="93"/>
      <c r="F1046" s="94"/>
      <c r="G1046" s="93" t="n">
        <v>44177</v>
      </c>
      <c r="H1046" s="94" t="n">
        <v>313.1</v>
      </c>
      <c r="I1046" s="95" t="n">
        <f aca="false">H1046/H1045-1</f>
        <v>-0.00663092103175855</v>
      </c>
    </row>
    <row r="1047" customFormat="false" ht="18" hidden="false" customHeight="false" outlineLevel="0" collapsed="false">
      <c r="A1047" s="89" t="n">
        <v>44237</v>
      </c>
      <c r="B1047" s="90" t="n">
        <v>90.26</v>
      </c>
      <c r="C1047" s="91" t="n">
        <f aca="false">B1047/B1046-1</f>
        <v>-0.00430226144511858</v>
      </c>
      <c r="E1047" s="93"/>
      <c r="F1047" s="94"/>
      <c r="G1047" s="93" t="n">
        <v>44180</v>
      </c>
      <c r="H1047" s="94" t="n">
        <v>311.84</v>
      </c>
      <c r="I1047" s="95" t="n">
        <f aca="false">H1047/H1046-1</f>
        <v>-0.0040242733950816</v>
      </c>
    </row>
    <row r="1048" customFormat="false" ht="18" hidden="false" customHeight="false" outlineLevel="0" collapsed="false">
      <c r="A1048" s="89" t="n">
        <v>44238</v>
      </c>
      <c r="B1048" s="90" t="n">
        <v>89.97</v>
      </c>
      <c r="C1048" s="91" t="n">
        <f aca="false">B1048/B1047-1</f>
        <v>-0.00321294039441622</v>
      </c>
      <c r="E1048" s="93"/>
      <c r="F1048" s="94"/>
      <c r="G1048" s="93" t="n">
        <v>44181</v>
      </c>
      <c r="H1048" s="94" t="n">
        <v>309.48</v>
      </c>
      <c r="I1048" s="95" t="n">
        <f aca="false">H1048/H1047-1</f>
        <v>-0.0075679835813236</v>
      </c>
    </row>
    <row r="1049" customFormat="false" ht="18" hidden="false" customHeight="false" outlineLevel="0" collapsed="false">
      <c r="A1049" s="89" t="n">
        <v>44239</v>
      </c>
      <c r="B1049" s="90" t="n">
        <v>90.71</v>
      </c>
      <c r="C1049" s="91" t="n">
        <f aca="false">B1049/B1048-1</f>
        <v>0.00822496387684768</v>
      </c>
      <c r="E1049" s="93"/>
      <c r="F1049" s="94"/>
      <c r="G1049" s="93" t="n">
        <v>44182</v>
      </c>
      <c r="H1049" s="94" t="n">
        <v>309.44</v>
      </c>
      <c r="I1049" s="95" t="n">
        <f aca="false">H1049/H1048-1</f>
        <v>-0.000129249062944314</v>
      </c>
    </row>
    <row r="1050" customFormat="false" ht="18" hidden="false" customHeight="false" outlineLevel="0" collapsed="false">
      <c r="A1050" s="89" t="n">
        <v>44240</v>
      </c>
      <c r="B1050" s="90" t="n">
        <v>90.99</v>
      </c>
      <c r="C1050" s="91" t="n">
        <f aca="false">B1050/B1049-1</f>
        <v>0.00308676000440977</v>
      </c>
      <c r="E1050" s="93"/>
      <c r="F1050" s="94"/>
      <c r="G1050" s="93" t="n">
        <v>44183</v>
      </c>
      <c r="H1050" s="94" t="n">
        <v>306.42</v>
      </c>
      <c r="I1050" s="95" t="n">
        <f aca="false">H1050/H1049-1</f>
        <v>-0.00975956566701131</v>
      </c>
    </row>
    <row r="1051" customFormat="false" ht="18" hidden="false" customHeight="false" outlineLevel="0" collapsed="false">
      <c r="A1051" s="89" t="n">
        <v>44244</v>
      </c>
      <c r="B1051" s="90" t="n">
        <v>90.6</v>
      </c>
      <c r="C1051" s="91" t="n">
        <f aca="false">B1051/B1050-1</f>
        <v>-0.0042861852950874</v>
      </c>
      <c r="E1051" s="93"/>
      <c r="F1051" s="94"/>
      <c r="G1051" s="93" t="n">
        <v>44184</v>
      </c>
      <c r="H1051" s="94" t="n">
        <v>304.12</v>
      </c>
      <c r="I1051" s="95" t="n">
        <f aca="false">H1051/H1050-1</f>
        <v>-0.00750603746491751</v>
      </c>
    </row>
    <row r="1052" customFormat="false" ht="18" hidden="false" customHeight="false" outlineLevel="0" collapsed="false">
      <c r="A1052" s="89" t="n">
        <v>44245</v>
      </c>
      <c r="B1052" s="90" t="n">
        <v>90.62</v>
      </c>
      <c r="C1052" s="91" t="n">
        <f aca="false">B1052/B1051-1</f>
        <v>0.000220750551876536</v>
      </c>
      <c r="E1052" s="93"/>
      <c r="F1052" s="94"/>
      <c r="G1052" s="93" t="n">
        <v>44187</v>
      </c>
      <c r="H1052" s="94" t="n">
        <v>305.92</v>
      </c>
      <c r="I1052" s="95" t="n">
        <f aca="false">H1052/H1051-1</f>
        <v>0.00591871629619889</v>
      </c>
    </row>
    <row r="1053" customFormat="false" ht="18" hidden="false" customHeight="false" outlineLevel="0" collapsed="false">
      <c r="A1053" s="89" t="n">
        <v>44246</v>
      </c>
      <c r="B1053" s="90" t="n">
        <v>90.79</v>
      </c>
      <c r="C1053" s="91" t="n">
        <f aca="false">B1053/B1052-1</f>
        <v>0.00187596557051428</v>
      </c>
      <c r="E1053" s="93"/>
      <c r="F1053" s="94"/>
      <c r="G1053" s="93" t="n">
        <v>44188</v>
      </c>
      <c r="H1053" s="94" t="n">
        <v>306.89</v>
      </c>
      <c r="I1053" s="95" t="n">
        <f aca="false">H1053/H1052-1</f>
        <v>0.00317076359832624</v>
      </c>
    </row>
    <row r="1054" customFormat="false" ht="18" hidden="false" customHeight="false" outlineLevel="0" collapsed="false">
      <c r="A1054" s="89" t="n">
        <v>44247</v>
      </c>
      <c r="B1054" s="90" t="n">
        <v>90.82</v>
      </c>
      <c r="C1054" s="91" t="n">
        <f aca="false">B1054/B1053-1</f>
        <v>0.000330432867055697</v>
      </c>
      <c r="E1054" s="93"/>
      <c r="F1054" s="94"/>
      <c r="G1054" s="93" t="n">
        <v>44189</v>
      </c>
      <c r="H1054" s="94" t="n">
        <v>307.25</v>
      </c>
      <c r="I1054" s="95" t="n">
        <f aca="false">H1054/H1053-1</f>
        <v>0.0011730587506924</v>
      </c>
    </row>
    <row r="1055" customFormat="false" ht="18" hidden="false" customHeight="false" outlineLevel="0" collapsed="false">
      <c r="A1055" s="89" t="n">
        <v>44250</v>
      </c>
      <c r="B1055" s="90" t="n">
        <v>90.91</v>
      </c>
      <c r="C1055" s="91" t="n">
        <f aca="false">B1055/B1054-1</f>
        <v>0.000990971151728637</v>
      </c>
      <c r="E1055" s="93"/>
      <c r="F1055" s="94"/>
      <c r="G1055" s="93" t="n">
        <v>44190</v>
      </c>
      <c r="H1055" s="94" t="n">
        <v>307.3</v>
      </c>
      <c r="I1055" s="95" t="n">
        <f aca="false">H1055/H1054-1</f>
        <v>0.000162733930024528</v>
      </c>
    </row>
    <row r="1056" customFormat="false" ht="18" hidden="false" customHeight="false" outlineLevel="0" collapsed="false">
      <c r="A1056" s="89" t="n">
        <v>44251</v>
      </c>
      <c r="B1056" s="90" t="n">
        <v>91.48</v>
      </c>
      <c r="C1056" s="91" t="n">
        <f aca="false">B1056/B1055-1</f>
        <v>0.00626993730062697</v>
      </c>
      <c r="E1056" s="93"/>
      <c r="F1056" s="94"/>
      <c r="G1056" s="93" t="n">
        <v>44191</v>
      </c>
      <c r="H1056" s="94" t="n">
        <v>307.06</v>
      </c>
      <c r="I1056" s="95" t="n">
        <f aca="false">H1056/H1055-1</f>
        <v>-0.00078099576960633</v>
      </c>
    </row>
    <row r="1057" customFormat="false" ht="18" hidden="false" customHeight="false" outlineLevel="0" collapsed="false">
      <c r="A1057" s="89" t="n">
        <v>44252</v>
      </c>
      <c r="B1057" s="90" t="n">
        <v>91.78</v>
      </c>
      <c r="C1057" s="91" t="n">
        <f aca="false">B1057/B1056-1</f>
        <v>0.00327940533449933</v>
      </c>
      <c r="E1057" s="93"/>
      <c r="F1057" s="94"/>
      <c r="G1057" s="93" t="n">
        <v>44194</v>
      </c>
      <c r="H1057" s="94" t="n">
        <v>306.06</v>
      </c>
      <c r="I1057" s="95" t="n">
        <f aca="false">H1057/H1056-1</f>
        <v>-0.00325669250309391</v>
      </c>
    </row>
    <row r="1058" customFormat="false" ht="18" hidden="false" customHeight="false" outlineLevel="0" collapsed="false">
      <c r="A1058" s="89" t="n">
        <v>44253</v>
      </c>
      <c r="B1058" s="90" t="n">
        <v>91.47</v>
      </c>
      <c r="C1058" s="91" t="n">
        <f aca="false">B1058/B1057-1</f>
        <v>-0.00337764218784053</v>
      </c>
      <c r="E1058" s="93"/>
      <c r="F1058" s="94"/>
      <c r="G1058" s="93" t="n">
        <v>44195</v>
      </c>
      <c r="H1058" s="94" t="n">
        <v>305.14</v>
      </c>
      <c r="I1058" s="95" t="n">
        <f aca="false">H1058/H1057-1</f>
        <v>-0.00300594654642883</v>
      </c>
    </row>
    <row r="1059" customFormat="false" ht="18" hidden="false" customHeight="false" outlineLevel="0" collapsed="false">
      <c r="A1059" s="89" t="n">
        <v>44254</v>
      </c>
      <c r="B1059" s="90" t="n">
        <v>92.03</v>
      </c>
      <c r="C1059" s="91" t="n">
        <f aca="false">B1059/B1058-1</f>
        <v>0.00612222586640421</v>
      </c>
      <c r="E1059" s="93"/>
      <c r="F1059" s="94"/>
      <c r="G1059" s="93" t="n">
        <v>44196</v>
      </c>
      <c r="H1059" s="94" t="n">
        <v>305.55</v>
      </c>
      <c r="I1059" s="95" t="n">
        <f aca="false">H1059/H1058-1</f>
        <v>0.00134364553975241</v>
      </c>
    </row>
    <row r="1060" customFormat="false" ht="18" hidden="false" customHeight="false" outlineLevel="0" collapsed="false">
      <c r="A1060" s="89" t="n">
        <v>44257</v>
      </c>
      <c r="B1060" s="90" t="n">
        <v>91.45</v>
      </c>
      <c r="C1060" s="91" t="n">
        <f aca="false">B1060/B1059-1</f>
        <v>-0.00630229273063132</v>
      </c>
      <c r="E1060" s="93"/>
      <c r="F1060" s="94"/>
      <c r="G1060" s="93" t="n">
        <v>44197</v>
      </c>
      <c r="H1060" s="94" t="n">
        <v>303.61</v>
      </c>
      <c r="I1060" s="95" t="n">
        <f aca="false">H1060/H1059-1</f>
        <v>-0.00634920634920633</v>
      </c>
    </row>
    <row r="1061" customFormat="false" ht="18" hidden="false" customHeight="false" outlineLevel="0" collapsed="false">
      <c r="A1061" s="89" t="n">
        <v>44258</v>
      </c>
      <c r="B1061" s="90" t="n">
        <v>91.31</v>
      </c>
      <c r="C1061" s="91" t="n">
        <f aca="false">B1061/B1060-1</f>
        <v>-0.00153089119737559</v>
      </c>
      <c r="E1061" s="93"/>
      <c r="F1061" s="94"/>
      <c r="G1061" s="93" t="n">
        <v>44198</v>
      </c>
      <c r="H1061" s="94" t="n">
        <v>303.2</v>
      </c>
      <c r="I1061" s="95" t="n">
        <f aca="false">H1061/H1060-1</f>
        <v>-0.001350416652943</v>
      </c>
    </row>
    <row r="1062" customFormat="false" ht="18" hidden="false" customHeight="false" outlineLevel="0" collapsed="false">
      <c r="A1062" s="89" t="n">
        <v>44259</v>
      </c>
      <c r="B1062" s="90" t="n">
        <v>91.28</v>
      </c>
      <c r="C1062" s="91" t="n">
        <f aca="false">B1062/B1061-1</f>
        <v>-0.000328551089694429</v>
      </c>
      <c r="E1062" s="93"/>
      <c r="F1062" s="94"/>
      <c r="G1062" s="93" t="n">
        <v>44201</v>
      </c>
      <c r="H1062" s="94" t="n">
        <v>303.61</v>
      </c>
      <c r="I1062" s="95" t="n">
        <f aca="false">H1062/H1061-1</f>
        <v>0.00135224274406331</v>
      </c>
    </row>
    <row r="1063" customFormat="false" ht="18" hidden="false" customHeight="false" outlineLevel="0" collapsed="false">
      <c r="A1063" s="89" t="n">
        <v>44260</v>
      </c>
      <c r="B1063" s="90" t="n">
        <v>90.74</v>
      </c>
      <c r="C1063" s="91" t="n">
        <f aca="false">B1063/B1062-1</f>
        <v>-0.00591586327782656</v>
      </c>
      <c r="E1063" s="93"/>
      <c r="F1063" s="94"/>
      <c r="G1063" s="93" t="n">
        <v>44202</v>
      </c>
      <c r="H1063" s="94" t="n">
        <v>304.38</v>
      </c>
      <c r="I1063" s="95" t="n">
        <f aca="false">H1063/H1062-1</f>
        <v>0.00253614834820981</v>
      </c>
    </row>
    <row r="1064" customFormat="false" ht="18" hidden="false" customHeight="false" outlineLevel="0" collapsed="false">
      <c r="A1064" s="89" t="n">
        <v>44261</v>
      </c>
      <c r="B1064" s="90" t="n">
        <v>90.99</v>
      </c>
      <c r="C1064" s="91" t="n">
        <f aca="false">B1064/B1063-1</f>
        <v>0.00275512453162885</v>
      </c>
      <c r="E1064" s="93"/>
      <c r="F1064" s="94"/>
      <c r="G1064" s="93" t="n">
        <v>44203</v>
      </c>
      <c r="H1064" s="94" t="n">
        <v>301.21</v>
      </c>
      <c r="I1064" s="95" t="n">
        <f aca="false">H1064/H1063-1</f>
        <v>-0.0104146133123071</v>
      </c>
    </row>
    <row r="1065" customFormat="false" ht="18" hidden="false" customHeight="false" outlineLevel="0" collapsed="false">
      <c r="A1065" s="89" t="n">
        <v>44264</v>
      </c>
      <c r="B1065" s="90" t="n">
        <v>90.87</v>
      </c>
      <c r="C1065" s="91" t="n">
        <f aca="false">B1065/B1064-1</f>
        <v>-0.00131882624464219</v>
      </c>
      <c r="E1065" s="93"/>
      <c r="F1065" s="94"/>
      <c r="G1065" s="93" t="n">
        <v>44204</v>
      </c>
      <c r="H1065" s="94" t="n">
        <v>299.64</v>
      </c>
      <c r="I1065" s="95" t="n">
        <f aca="false">H1065/H1064-1</f>
        <v>-0.00521231034826197</v>
      </c>
    </row>
    <row r="1066" customFormat="false" ht="18" hidden="false" customHeight="false" outlineLevel="0" collapsed="false">
      <c r="A1066" s="89" t="n">
        <v>44265</v>
      </c>
      <c r="B1066" s="90" t="n">
        <v>90.69</v>
      </c>
      <c r="C1066" s="91" t="n">
        <f aca="false">B1066/B1065-1</f>
        <v>-0.00198085176625962</v>
      </c>
      <c r="E1066" s="93"/>
      <c r="F1066" s="94"/>
      <c r="G1066" s="93" t="n">
        <v>44205</v>
      </c>
      <c r="H1066" s="94" t="n">
        <v>296.73</v>
      </c>
      <c r="I1066" s="95" t="n">
        <f aca="false">H1066/H1065-1</f>
        <v>-0.00971165398478169</v>
      </c>
    </row>
    <row r="1067" customFormat="false" ht="18" hidden="false" customHeight="false" outlineLevel="0" collapsed="false">
      <c r="A1067" s="89" t="n">
        <v>44266</v>
      </c>
      <c r="B1067" s="90" t="n">
        <v>90.67</v>
      </c>
      <c r="C1067" s="91" t="n">
        <f aca="false">B1067/B1066-1</f>
        <v>-0.000220531480868869</v>
      </c>
      <c r="E1067" s="93"/>
      <c r="F1067" s="94"/>
      <c r="G1067" s="93" t="n">
        <v>44208</v>
      </c>
      <c r="H1067" s="94" t="n">
        <v>291.35</v>
      </c>
      <c r="I1067" s="95" t="n">
        <f aca="false">H1067/H1066-1</f>
        <v>-0.01813096080612</v>
      </c>
    </row>
    <row r="1068" customFormat="false" ht="18" hidden="false" customHeight="false" outlineLevel="0" collapsed="false">
      <c r="A1068" s="89" t="n">
        <v>44267</v>
      </c>
      <c r="B1068" s="90" t="n">
        <v>90.63</v>
      </c>
      <c r="C1068" s="91" t="n">
        <f aca="false">B1068/B1067-1</f>
        <v>-0.000441160251461459</v>
      </c>
      <c r="E1068" s="93"/>
      <c r="F1068" s="94"/>
      <c r="G1068" s="93" t="n">
        <v>44209</v>
      </c>
      <c r="H1068" s="94" t="n">
        <v>295.64</v>
      </c>
      <c r="I1068" s="95" t="n">
        <f aca="false">H1068/H1067-1</f>
        <v>0.0147245580916422</v>
      </c>
    </row>
    <row r="1069" customFormat="false" ht="18" hidden="false" customHeight="false" outlineLevel="0" collapsed="false">
      <c r="A1069" s="89" t="n">
        <v>44268</v>
      </c>
      <c r="B1069" s="90" t="n">
        <v>90.72</v>
      </c>
      <c r="C1069" s="91" t="n">
        <f aca="false">B1069/B1068-1</f>
        <v>0.000993048659384321</v>
      </c>
      <c r="E1069" s="93"/>
      <c r="F1069" s="94"/>
      <c r="G1069" s="93" t="n">
        <v>44210</v>
      </c>
      <c r="H1069" s="94" t="n">
        <v>296.27</v>
      </c>
      <c r="I1069" s="95" t="n">
        <f aca="false">H1069/H1068-1</f>
        <v>0.00213097009876884</v>
      </c>
    </row>
    <row r="1070" customFormat="false" ht="18" hidden="false" customHeight="false" outlineLevel="0" collapsed="false">
      <c r="A1070" s="89" t="n">
        <v>44271</v>
      </c>
      <c r="B1070" s="90" t="n">
        <v>90.96</v>
      </c>
      <c r="C1070" s="91" t="n">
        <f aca="false">B1070/B1069-1</f>
        <v>0.00264550264550256</v>
      </c>
      <c r="E1070" s="93"/>
      <c r="F1070" s="94"/>
      <c r="G1070" s="93" t="n">
        <v>44211</v>
      </c>
      <c r="H1070" s="94" t="n">
        <v>298.95</v>
      </c>
      <c r="I1070" s="95" t="n">
        <f aca="false">H1070/H1069-1</f>
        <v>0.00904580281499978</v>
      </c>
    </row>
    <row r="1071" customFormat="false" ht="18" hidden="false" customHeight="false" outlineLevel="0" collapsed="false">
      <c r="A1071" s="89" t="n">
        <v>44272</v>
      </c>
      <c r="B1071" s="90" t="n">
        <v>90.93</v>
      </c>
      <c r="C1071" s="91" t="n">
        <f aca="false">B1071/B1070-1</f>
        <v>-0.000329815303429903</v>
      </c>
      <c r="E1071" s="93"/>
      <c r="F1071" s="94"/>
      <c r="G1071" s="93" t="n">
        <v>44212</v>
      </c>
      <c r="H1071" s="94" t="n">
        <v>299.97</v>
      </c>
      <c r="I1071" s="95" t="n">
        <f aca="false">H1071/H1070-1</f>
        <v>0.00341194179628723</v>
      </c>
    </row>
    <row r="1072" customFormat="false" ht="18" hidden="false" customHeight="false" outlineLevel="0" collapsed="false">
      <c r="A1072" s="89" t="n">
        <v>44273</v>
      </c>
      <c r="B1072" s="90" t="n">
        <v>91.43</v>
      </c>
      <c r="C1072" s="91" t="n">
        <f aca="false">B1072/B1071-1</f>
        <v>0.00549873529088307</v>
      </c>
      <c r="E1072" s="93"/>
      <c r="F1072" s="94"/>
      <c r="G1072" s="93" t="n">
        <v>44215</v>
      </c>
      <c r="H1072" s="94" t="n">
        <v>303.1</v>
      </c>
      <c r="I1072" s="95" t="n">
        <f aca="false">H1072/H1071-1</f>
        <v>0.0104343767710104</v>
      </c>
    </row>
    <row r="1073" customFormat="false" ht="18" hidden="false" customHeight="false" outlineLevel="0" collapsed="false">
      <c r="A1073" s="89" t="n">
        <v>44274</v>
      </c>
      <c r="B1073" s="90" t="n">
        <v>91.25</v>
      </c>
      <c r="C1073" s="91" t="n">
        <f aca="false">B1073/B1072-1</f>
        <v>-0.00196871923876196</v>
      </c>
      <c r="E1073" s="93"/>
      <c r="F1073" s="94"/>
      <c r="G1073" s="93" t="n">
        <v>44216</v>
      </c>
      <c r="H1073" s="94" t="n">
        <v>302.9</v>
      </c>
      <c r="I1073" s="95" t="n">
        <f aca="false">H1073/H1072-1</f>
        <v>-0.000659848234906169</v>
      </c>
    </row>
    <row r="1074" customFormat="false" ht="18" hidden="false" customHeight="false" outlineLevel="0" collapsed="false">
      <c r="A1074" s="89" t="n">
        <v>44275</v>
      </c>
      <c r="B1074" s="90" t="n">
        <v>90.98</v>
      </c>
      <c r="C1074" s="91" t="n">
        <f aca="false">B1074/B1073-1</f>
        <v>-0.00295890410958899</v>
      </c>
      <c r="E1074" s="93"/>
      <c r="F1074" s="94"/>
      <c r="G1074" s="93" t="n">
        <v>44217</v>
      </c>
      <c r="H1074" s="94" t="n">
        <v>302.75</v>
      </c>
      <c r="I1074" s="95" t="n">
        <f aca="false">H1074/H1073-1</f>
        <v>-0.000495212941564849</v>
      </c>
    </row>
    <row r="1075" customFormat="false" ht="18" hidden="false" customHeight="false" outlineLevel="0" collapsed="false">
      <c r="A1075" s="89" t="n">
        <v>44278</v>
      </c>
      <c r="B1075" s="90" t="n">
        <v>90.92</v>
      </c>
      <c r="C1075" s="91" t="n">
        <f aca="false">B1075/B1074-1</f>
        <v>-0.00065948560123108</v>
      </c>
      <c r="E1075" s="93"/>
      <c r="F1075" s="94"/>
      <c r="G1075" s="93" t="n">
        <v>44218</v>
      </c>
      <c r="H1075" s="94" t="n">
        <v>302.9</v>
      </c>
      <c r="I1075" s="95" t="n">
        <f aca="false">H1075/H1074-1</f>
        <v>0.000495458298926499</v>
      </c>
    </row>
    <row r="1076" customFormat="false" ht="18" hidden="false" customHeight="false" outlineLevel="0" collapsed="false">
      <c r="A1076" s="89" t="n">
        <v>44279</v>
      </c>
      <c r="B1076" s="90" t="n">
        <v>91.01</v>
      </c>
      <c r="C1076" s="91" t="n">
        <f aca="false">B1076/B1075-1</f>
        <v>0.000989881214254362</v>
      </c>
      <c r="E1076" s="93"/>
      <c r="F1076" s="94"/>
      <c r="G1076" s="93" t="n">
        <v>44219</v>
      </c>
      <c r="H1076" s="94" t="n">
        <v>304.86</v>
      </c>
      <c r="I1076" s="95" t="n">
        <f aca="false">H1076/H1075-1</f>
        <v>0.00647078243644783</v>
      </c>
    </row>
    <row r="1077" customFormat="false" ht="18" hidden="false" customHeight="false" outlineLevel="0" collapsed="false">
      <c r="A1077" s="89" t="n">
        <v>44280</v>
      </c>
      <c r="B1077" s="90" t="n">
        <v>90.49</v>
      </c>
      <c r="C1077" s="91" t="n">
        <f aca="false">B1077/B1076-1</f>
        <v>-0.00571365783979794</v>
      </c>
      <c r="E1077" s="93"/>
      <c r="F1077" s="94"/>
      <c r="G1077" s="93" t="n">
        <v>44222</v>
      </c>
      <c r="H1077" s="94" t="n">
        <v>303.46</v>
      </c>
      <c r="I1077" s="95" t="n">
        <f aca="false">H1077/H1076-1</f>
        <v>-0.00459227186249434</v>
      </c>
    </row>
    <row r="1078" customFormat="false" ht="18" hidden="false" customHeight="false" outlineLevel="0" collapsed="false">
      <c r="A1078" s="89" t="n">
        <v>44281</v>
      </c>
      <c r="B1078" s="90" t="n">
        <v>90.29</v>
      </c>
      <c r="C1078" s="91" t="n">
        <f aca="false">B1078/B1077-1</f>
        <v>-0.00221018897115688</v>
      </c>
      <c r="E1078" s="93"/>
      <c r="F1078" s="94"/>
      <c r="G1078" s="93" t="n">
        <v>44223</v>
      </c>
      <c r="H1078" s="94" t="n">
        <v>303.43</v>
      </c>
      <c r="I1078" s="95" t="n">
        <f aca="false">H1078/H1077-1</f>
        <v>-9.88598167797061E-005</v>
      </c>
    </row>
    <row r="1079" customFormat="false" ht="18" hidden="false" customHeight="false" outlineLevel="0" collapsed="false">
      <c r="A1079" s="89" t="n">
        <v>44282</v>
      </c>
      <c r="B1079" s="90" t="n">
        <v>90.39</v>
      </c>
      <c r="C1079" s="91" t="n">
        <f aca="false">B1079/B1078-1</f>
        <v>0.00110754236349542</v>
      </c>
      <c r="E1079" s="93"/>
      <c r="F1079" s="94"/>
      <c r="G1079" s="93" t="n">
        <v>44224</v>
      </c>
      <c r="H1079" s="94" t="n">
        <v>304.7</v>
      </c>
      <c r="I1079" s="95" t="n">
        <f aca="false">H1079/H1078-1</f>
        <v>0.00418547935273361</v>
      </c>
    </row>
    <row r="1080" customFormat="false" ht="18" hidden="false" customHeight="false" outlineLevel="0" collapsed="false">
      <c r="A1080" s="89" t="n">
        <v>44285</v>
      </c>
      <c r="B1080" s="90" t="n">
        <v>90.59</v>
      </c>
      <c r="C1080" s="91" t="n">
        <f aca="false">B1080/B1079-1</f>
        <v>0.00221263414094475</v>
      </c>
      <c r="E1080" s="93"/>
      <c r="F1080" s="94"/>
      <c r="G1080" s="93" t="n">
        <v>44225</v>
      </c>
      <c r="H1080" s="94" t="n">
        <v>305.57</v>
      </c>
      <c r="I1080" s="95" t="n">
        <f aca="false">H1080/H1079-1</f>
        <v>0.00285526747620612</v>
      </c>
    </row>
    <row r="1081" customFormat="false" ht="18" hidden="false" customHeight="false" outlineLevel="0" collapsed="false">
      <c r="A1081" s="89" t="n">
        <v>44286</v>
      </c>
      <c r="B1081" s="90" t="n">
        <v>90.48</v>
      </c>
      <c r="C1081" s="91" t="n">
        <f aca="false">B1081/B1080-1</f>
        <v>-0.00121426205983</v>
      </c>
      <c r="E1081" s="93"/>
      <c r="F1081" s="94"/>
      <c r="G1081" s="93" t="n">
        <v>44226</v>
      </c>
      <c r="H1081" s="94" t="n">
        <v>305.64</v>
      </c>
      <c r="I1081" s="95" t="n">
        <f aca="false">H1081/H1080-1</f>
        <v>0.000229080079850785</v>
      </c>
    </row>
    <row r="1082" customFormat="false" ht="18" hidden="false" customHeight="false" outlineLevel="0" collapsed="false">
      <c r="A1082" s="89" t="n">
        <v>44287</v>
      </c>
      <c r="B1082" s="90" t="n">
        <v>90.44</v>
      </c>
      <c r="C1082" s="91" t="n">
        <f aca="false">B1082/B1081-1</f>
        <v>-0.000442086648983264</v>
      </c>
      <c r="E1082" s="93"/>
      <c r="F1082" s="94"/>
      <c r="G1082" s="93" t="n">
        <v>44229</v>
      </c>
      <c r="H1082" s="94" t="n">
        <v>300.8</v>
      </c>
      <c r="I1082" s="95" t="n">
        <f aca="false">H1082/H1081-1</f>
        <v>-0.0158356236094751</v>
      </c>
    </row>
    <row r="1083" customFormat="false" ht="18" hidden="false" customHeight="false" outlineLevel="0" collapsed="false">
      <c r="A1083" s="89" t="n">
        <v>44288</v>
      </c>
      <c r="B1083" s="90" t="n">
        <v>89.9</v>
      </c>
      <c r="C1083" s="91" t="n">
        <f aca="false">B1083/B1082-1</f>
        <v>-0.00597080937638206</v>
      </c>
      <c r="E1083" s="93"/>
      <c r="F1083" s="94"/>
      <c r="G1083" s="93" t="n">
        <v>44230</v>
      </c>
      <c r="H1083" s="94" t="n">
        <v>305.59</v>
      </c>
      <c r="I1083" s="95" t="n">
        <f aca="false">H1083/H1082-1</f>
        <v>0.0159242021276595</v>
      </c>
    </row>
    <row r="1084" customFormat="false" ht="18" hidden="false" customHeight="false" outlineLevel="0" collapsed="false">
      <c r="A1084" s="89" t="n">
        <v>44289</v>
      </c>
      <c r="B1084" s="90" t="n">
        <v>88.59</v>
      </c>
      <c r="C1084" s="91" t="n">
        <f aca="false">B1084/B1083-1</f>
        <v>-0.0145717463848721</v>
      </c>
      <c r="E1084" s="93"/>
      <c r="F1084" s="94"/>
      <c r="G1084" s="93" t="n">
        <v>44231</v>
      </c>
      <c r="H1084" s="94" t="n">
        <v>306.05</v>
      </c>
      <c r="I1084" s="95" t="n">
        <f aca="false">H1084/H1083-1</f>
        <v>0.00150528485879775</v>
      </c>
    </row>
    <row r="1085" customFormat="false" ht="18" hidden="false" customHeight="false" outlineLevel="0" collapsed="false">
      <c r="A1085" s="89" t="n">
        <v>44292</v>
      </c>
      <c r="B1085" s="90" t="n">
        <v>87.16</v>
      </c>
      <c r="C1085" s="91" t="n">
        <f aca="false">B1085/B1084-1</f>
        <v>-0.0161417767242353</v>
      </c>
      <c r="E1085" s="93"/>
      <c r="F1085" s="94"/>
      <c r="G1085" s="93" t="n">
        <v>44232</v>
      </c>
      <c r="H1085" s="94" t="n">
        <v>307.83</v>
      </c>
      <c r="I1085" s="95" t="n">
        <f aca="false">H1085/H1084-1</f>
        <v>0.00581604313020745</v>
      </c>
    </row>
    <row r="1086" customFormat="false" ht="18" hidden="false" customHeight="false" outlineLevel="0" collapsed="false">
      <c r="A1086" s="89" t="n">
        <v>44293</v>
      </c>
      <c r="B1086" s="90" t="n">
        <v>86.54</v>
      </c>
      <c r="C1086" s="91" t="n">
        <f aca="false">B1086/B1085-1</f>
        <v>-0.00711335474988517</v>
      </c>
      <c r="E1086" s="93"/>
      <c r="F1086" s="94"/>
      <c r="G1086" s="93" t="n">
        <v>44233</v>
      </c>
      <c r="H1086" s="94" t="n">
        <v>309.75</v>
      </c>
      <c r="I1086" s="95" t="n">
        <f aca="false">H1086/H1085-1</f>
        <v>0.00623720884904011</v>
      </c>
    </row>
    <row r="1087" customFormat="false" ht="18" hidden="false" customHeight="false" outlineLevel="0" collapsed="false">
      <c r="A1087" s="89" t="n">
        <v>44294</v>
      </c>
      <c r="B1087" s="90" t="n">
        <v>88.77</v>
      </c>
      <c r="C1087" s="91" t="n">
        <f aca="false">B1087/B1086-1</f>
        <v>0.0257684307834527</v>
      </c>
      <c r="E1087" s="93"/>
      <c r="F1087" s="94"/>
      <c r="G1087" s="93" t="n">
        <v>44236</v>
      </c>
      <c r="H1087" s="94" t="n">
        <v>309.4</v>
      </c>
      <c r="I1087" s="95" t="n">
        <f aca="false">H1087/H1086-1</f>
        <v>-0.00112994350282492</v>
      </c>
    </row>
    <row r="1088" customFormat="false" ht="18" hidden="false" customHeight="false" outlineLevel="0" collapsed="false">
      <c r="A1088" s="89" t="n">
        <v>44295</v>
      </c>
      <c r="B1088" s="90" t="n">
        <v>87.05</v>
      </c>
      <c r="C1088" s="91" t="n">
        <f aca="false">B1088/B1087-1</f>
        <v>-0.0193759152866959</v>
      </c>
      <c r="E1088" s="93"/>
      <c r="F1088" s="94"/>
      <c r="G1088" s="93" t="n">
        <v>44237</v>
      </c>
      <c r="H1088" s="94" t="n">
        <v>307.91</v>
      </c>
      <c r="I1088" s="95" t="n">
        <f aca="false">H1088/H1087-1</f>
        <v>-0.00481577246283116</v>
      </c>
    </row>
    <row r="1089" customFormat="false" ht="18" hidden="false" customHeight="false" outlineLevel="0" collapsed="false">
      <c r="A1089" s="89" t="n">
        <v>44296</v>
      </c>
      <c r="B1089" s="90" t="n">
        <v>87.36</v>
      </c>
      <c r="C1089" s="91" t="n">
        <f aca="false">B1089/B1088-1</f>
        <v>0.00356117174037918</v>
      </c>
      <c r="E1089" s="93"/>
      <c r="F1089" s="94"/>
      <c r="G1089" s="93" t="n">
        <v>44238</v>
      </c>
      <c r="H1089" s="94" t="n">
        <v>309.55</v>
      </c>
      <c r="I1089" s="95" t="n">
        <f aca="false">H1089/H1088-1</f>
        <v>0.00532623169107849</v>
      </c>
    </row>
    <row r="1090" customFormat="false" ht="18" hidden="false" customHeight="false" outlineLevel="0" collapsed="false">
      <c r="A1090" s="89" t="n">
        <v>44299</v>
      </c>
      <c r="B1090" s="90" t="n">
        <v>88.27</v>
      </c>
      <c r="C1090" s="91" t="n">
        <f aca="false">B1090/B1089-1</f>
        <v>0.0104166666666665</v>
      </c>
      <c r="E1090" s="93"/>
      <c r="F1090" s="94"/>
      <c r="G1090" s="93" t="n">
        <v>44239</v>
      </c>
      <c r="H1090" s="94" t="n">
        <v>309.86</v>
      </c>
      <c r="I1090" s="95" t="n">
        <f aca="false">H1090/H1089-1</f>
        <v>0.00100145372314642</v>
      </c>
    </row>
    <row r="1091" customFormat="false" ht="18" hidden="false" customHeight="false" outlineLevel="0" collapsed="false">
      <c r="A1091" s="89" t="n">
        <v>44300</v>
      </c>
      <c r="B1091" s="90" t="n">
        <v>88.54</v>
      </c>
      <c r="C1091" s="91" t="n">
        <f aca="false">B1091/B1090-1</f>
        <v>0.00305879687323007</v>
      </c>
      <c r="E1091" s="93"/>
      <c r="F1091" s="94"/>
      <c r="G1091" s="93" t="n">
        <v>44240</v>
      </c>
      <c r="H1091" s="94" t="n">
        <v>312.55</v>
      </c>
      <c r="I1091" s="95" t="n">
        <f aca="false">H1091/H1090-1</f>
        <v>0.00868133995998188</v>
      </c>
    </row>
    <row r="1092" customFormat="false" ht="18" hidden="false" customHeight="false" outlineLevel="0" collapsed="false">
      <c r="A1092" s="89" t="n">
        <v>44301</v>
      </c>
      <c r="B1092" s="90" t="n">
        <v>88.57</v>
      </c>
      <c r="C1092" s="91" t="n">
        <f aca="false">B1092/B1091-1</f>
        <v>0.000338829907386318</v>
      </c>
      <c r="E1092" s="93"/>
      <c r="F1092" s="94"/>
      <c r="G1092" s="93" t="n">
        <v>44243</v>
      </c>
      <c r="H1092" s="94" t="n">
        <v>313.86</v>
      </c>
      <c r="I1092" s="95" t="n">
        <f aca="false">H1092/H1091-1</f>
        <v>0.00419132938729794</v>
      </c>
    </row>
    <row r="1093" customFormat="false" ht="18" hidden="false" customHeight="false" outlineLevel="0" collapsed="false">
      <c r="A1093" s="89" t="n">
        <v>44302</v>
      </c>
      <c r="B1093" s="90" t="n">
        <v>88.8</v>
      </c>
      <c r="C1093" s="91" t="n">
        <f aca="false">B1093/B1092-1</f>
        <v>0.00259681607767881</v>
      </c>
      <c r="E1093" s="93"/>
      <c r="F1093" s="94"/>
      <c r="G1093" s="93" t="n">
        <v>44244</v>
      </c>
      <c r="H1093" s="94" t="n">
        <v>315.27</v>
      </c>
      <c r="I1093" s="95" t="n">
        <f aca="false">H1093/H1092-1</f>
        <v>0.00449244886255018</v>
      </c>
    </row>
    <row r="1094" customFormat="false" ht="18" hidden="false" customHeight="false" outlineLevel="0" collapsed="false">
      <c r="A1094" s="89" t="n">
        <v>44306</v>
      </c>
      <c r="B1094" s="90" t="n">
        <v>87.77</v>
      </c>
      <c r="C1094" s="91" t="n">
        <f aca="false">B1094/B1093-1</f>
        <v>-0.0115990990990991</v>
      </c>
      <c r="E1094" s="93"/>
      <c r="F1094" s="94"/>
      <c r="G1094" s="93" t="n">
        <v>44245</v>
      </c>
      <c r="H1094" s="94" t="n">
        <v>314.64</v>
      </c>
      <c r="I1094" s="95" t="n">
        <f aca="false">H1094/H1093-1</f>
        <v>-0.00199828718241502</v>
      </c>
    </row>
    <row r="1095" customFormat="false" ht="18" hidden="false" customHeight="false" outlineLevel="0" collapsed="false">
      <c r="A1095" s="89" t="n">
        <v>44307</v>
      </c>
      <c r="B1095" s="90" t="n">
        <v>88.68</v>
      </c>
      <c r="C1095" s="91" t="n">
        <f aca="false">B1095/B1094-1</f>
        <v>0.0103680072917856</v>
      </c>
      <c r="E1095" s="93"/>
      <c r="F1095" s="94"/>
      <c r="G1095" s="93" t="n">
        <v>44246</v>
      </c>
      <c r="H1095" s="94" t="n">
        <v>314.12</v>
      </c>
      <c r="I1095" s="95" t="n">
        <f aca="false">H1095/H1094-1</f>
        <v>-0.00165268243071437</v>
      </c>
    </row>
    <row r="1096" customFormat="false" ht="18" hidden="false" customHeight="false" outlineLevel="0" collapsed="false">
      <c r="A1096" s="89" t="n">
        <v>44308</v>
      </c>
      <c r="B1096" s="90" t="n">
        <v>89.07</v>
      </c>
      <c r="C1096" s="91" t="n">
        <f aca="false">B1096/B1095-1</f>
        <v>0.00439783491204304</v>
      </c>
      <c r="E1096" s="93"/>
      <c r="F1096" s="94"/>
      <c r="G1096" s="93" t="n">
        <v>44247</v>
      </c>
      <c r="H1096" s="94" t="n">
        <v>317.8</v>
      </c>
      <c r="I1096" s="95" t="n">
        <f aca="false">H1096/H1095-1</f>
        <v>0.0117152680504267</v>
      </c>
    </row>
    <row r="1097" customFormat="false" ht="18" hidden="false" customHeight="false" outlineLevel="0" collapsed="false">
      <c r="A1097" s="89" t="n">
        <v>44309</v>
      </c>
      <c r="B1097" s="90" t="n">
        <v>90.02</v>
      </c>
      <c r="C1097" s="91" t="n">
        <f aca="false">B1097/B1096-1</f>
        <v>0.010665768496688</v>
      </c>
      <c r="E1097" s="93"/>
      <c r="F1097" s="94"/>
      <c r="G1097" s="93" t="n">
        <v>44250</v>
      </c>
      <c r="H1097" s="94" t="n">
        <v>314.64</v>
      </c>
      <c r="I1097" s="95" t="n">
        <f aca="false">H1097/H1096-1</f>
        <v>-0.00994336060415368</v>
      </c>
    </row>
    <row r="1098" customFormat="false" ht="18" hidden="false" customHeight="false" outlineLevel="0" collapsed="false">
      <c r="A1098" s="89" t="n">
        <v>44310</v>
      </c>
      <c r="B1098" s="90" t="n">
        <v>90.38</v>
      </c>
      <c r="C1098" s="91" t="n">
        <f aca="false">B1098/B1097-1</f>
        <v>0.00399911130859798</v>
      </c>
      <c r="E1098" s="93"/>
      <c r="F1098" s="94"/>
      <c r="G1098" s="93" t="n">
        <v>44251</v>
      </c>
      <c r="H1098" s="94" t="n">
        <v>311.02</v>
      </c>
      <c r="I1098" s="95" t="n">
        <f aca="false">H1098/H1097-1</f>
        <v>-0.0115052123061277</v>
      </c>
    </row>
    <row r="1099" customFormat="false" ht="18" hidden="false" customHeight="false" outlineLevel="0" collapsed="false">
      <c r="A1099" s="89" t="n">
        <v>44313</v>
      </c>
      <c r="B1099" s="90" t="n">
        <v>90.48</v>
      </c>
      <c r="C1099" s="91" t="n">
        <f aca="false">B1099/B1098-1</f>
        <v>0.00110643947776068</v>
      </c>
      <c r="E1099" s="93"/>
      <c r="F1099" s="94"/>
      <c r="G1099" s="93" t="n">
        <v>44252</v>
      </c>
      <c r="H1099" s="94" t="n">
        <v>314.5</v>
      </c>
      <c r="I1099" s="95" t="n">
        <f aca="false">H1099/H1098-1</f>
        <v>0.011188991061668</v>
      </c>
    </row>
    <row r="1100" customFormat="false" ht="18" hidden="false" customHeight="false" outlineLevel="0" collapsed="false">
      <c r="A1100" s="89" t="n">
        <v>44314</v>
      </c>
      <c r="B1100" s="90" t="n">
        <v>90.6</v>
      </c>
      <c r="C1100" s="91" t="n">
        <f aca="false">B1100/B1099-1</f>
        <v>0.00132625994694946</v>
      </c>
      <c r="E1100" s="93"/>
      <c r="F1100" s="94"/>
      <c r="G1100" s="93" t="n">
        <v>44253</v>
      </c>
      <c r="H1100" s="94" t="n">
        <v>311.56</v>
      </c>
      <c r="I1100" s="95" t="n">
        <f aca="false">H1100/H1099-1</f>
        <v>-0.00934817170111291</v>
      </c>
    </row>
    <row r="1101" customFormat="false" ht="18" hidden="false" customHeight="false" outlineLevel="0" collapsed="false">
      <c r="A1101" s="89" t="n">
        <v>44315</v>
      </c>
      <c r="B1101" s="90" t="n">
        <v>89.96</v>
      </c>
      <c r="C1101" s="91" t="n">
        <f aca="false">B1101/B1100-1</f>
        <v>-0.00706401766004416</v>
      </c>
      <c r="E1101" s="93"/>
      <c r="F1101" s="94"/>
      <c r="G1101" s="93" t="n">
        <v>44254</v>
      </c>
      <c r="H1101" s="94" t="n">
        <v>305.21</v>
      </c>
      <c r="I1101" s="95" t="n">
        <f aca="false">H1101/H1100-1</f>
        <v>-0.02038130697137</v>
      </c>
    </row>
    <row r="1102" customFormat="false" ht="18" hidden="false" customHeight="false" outlineLevel="0" collapsed="false">
      <c r="A1102" s="89" t="n">
        <v>44316</v>
      </c>
      <c r="B1102" s="90" t="n">
        <v>89.6</v>
      </c>
      <c r="C1102" s="91" t="n">
        <f aca="false">B1102/B1101-1</f>
        <v>-0.00400177856825257</v>
      </c>
      <c r="E1102" s="93"/>
      <c r="F1102" s="94"/>
      <c r="G1102" s="93" t="n">
        <v>44257</v>
      </c>
      <c r="H1102" s="94" t="n">
        <v>304.94</v>
      </c>
      <c r="I1102" s="95" t="n">
        <f aca="false">H1102/H1101-1</f>
        <v>-0.000884636807443995</v>
      </c>
    </row>
    <row r="1103" customFormat="false" ht="18" hidden="false" customHeight="false" outlineLevel="0" collapsed="false">
      <c r="A1103" s="89" t="n">
        <v>44317</v>
      </c>
      <c r="B1103" s="90" t="n">
        <v>89.36</v>
      </c>
      <c r="C1103" s="91" t="n">
        <f aca="false">B1103/B1102-1</f>
        <v>-0.00267857142857142</v>
      </c>
      <c r="E1103" s="93"/>
      <c r="F1103" s="94"/>
      <c r="G1103" s="93" t="n">
        <v>44258</v>
      </c>
      <c r="H1103" s="94" t="n">
        <v>304.04</v>
      </c>
      <c r="I1103" s="95" t="n">
        <f aca="false">H1103/H1102-1</f>
        <v>-0.00295140027546392</v>
      </c>
    </row>
    <row r="1104" customFormat="false" ht="18" hidden="false" customHeight="false" outlineLevel="0" collapsed="false">
      <c r="A1104" s="89" t="n">
        <v>44320</v>
      </c>
      <c r="B1104" s="90" t="n">
        <v>89.18</v>
      </c>
      <c r="C1104" s="91" t="n">
        <f aca="false">B1104/B1103-1</f>
        <v>-0.00201432408236335</v>
      </c>
      <c r="E1104" s="93"/>
      <c r="F1104" s="94"/>
      <c r="G1104" s="93" t="n">
        <v>44259</v>
      </c>
      <c r="H1104" s="94" t="n">
        <v>310.35</v>
      </c>
      <c r="I1104" s="95" t="n">
        <f aca="false">H1104/H1103-1</f>
        <v>0.0207538481778713</v>
      </c>
    </row>
    <row r="1105" customFormat="false" ht="18" hidden="false" customHeight="false" outlineLevel="0" collapsed="false">
      <c r="A1105" s="89" t="n">
        <v>44321</v>
      </c>
      <c r="B1105" s="90" t="n">
        <v>89.55</v>
      </c>
      <c r="C1105" s="91" t="n">
        <f aca="false">B1105/B1104-1</f>
        <v>0.0041489123121774</v>
      </c>
      <c r="E1105" s="93"/>
      <c r="F1105" s="94"/>
      <c r="G1105" s="93" t="n">
        <v>44260</v>
      </c>
      <c r="H1105" s="94" t="n">
        <v>314.26</v>
      </c>
      <c r="I1105" s="95" t="n">
        <f aca="false">H1105/H1104-1</f>
        <v>0.0125986789109069</v>
      </c>
    </row>
    <row r="1106" customFormat="false" ht="18" hidden="false" customHeight="false" outlineLevel="0" collapsed="false">
      <c r="A1106" s="89" t="n">
        <v>44322</v>
      </c>
      <c r="B1106" s="90" t="n">
        <v>89.9</v>
      </c>
      <c r="C1106" s="91" t="n">
        <f aca="false">B1106/B1105-1</f>
        <v>0.00390843104410954</v>
      </c>
      <c r="E1106" s="93"/>
      <c r="F1106" s="94"/>
      <c r="G1106" s="93" t="n">
        <v>44261</v>
      </c>
      <c r="H1106" s="94" t="n">
        <v>313.8</v>
      </c>
      <c r="I1106" s="95" t="n">
        <f aca="false">H1106/H1105-1</f>
        <v>-0.00146375612550109</v>
      </c>
    </row>
    <row r="1107" customFormat="false" ht="18" hidden="false" customHeight="false" outlineLevel="0" collapsed="false">
      <c r="A1107" s="89" t="n">
        <v>44323</v>
      </c>
      <c r="B1107" s="90" t="n">
        <v>89.54</v>
      </c>
      <c r="C1107" s="91" t="n">
        <f aca="false">B1107/B1106-1</f>
        <v>-0.0040044493882091</v>
      </c>
      <c r="E1107" s="93"/>
      <c r="F1107" s="94"/>
      <c r="G1107" s="93" t="n">
        <v>44264</v>
      </c>
      <c r="H1107" s="94" t="n">
        <v>309.35</v>
      </c>
      <c r="I1107" s="95" t="n">
        <f aca="false">H1107/H1106-1</f>
        <v>-0.0141810070108349</v>
      </c>
    </row>
    <row r="1108" customFormat="false" ht="18" hidden="false" customHeight="false" outlineLevel="0" collapsed="false">
      <c r="A1108" s="89" t="n">
        <v>44324</v>
      </c>
      <c r="B1108" s="90" t="n">
        <v>89.68</v>
      </c>
      <c r="C1108" s="91" t="n">
        <f aca="false">B1108/B1107-1</f>
        <v>0.00156354701809258</v>
      </c>
      <c r="E1108" s="93"/>
      <c r="F1108" s="94"/>
      <c r="G1108" s="93" t="n">
        <v>44265</v>
      </c>
      <c r="H1108" s="94" t="n">
        <v>308.67</v>
      </c>
      <c r="I1108" s="95" t="n">
        <f aca="false">H1108/H1107-1</f>
        <v>-0.0021981574268628</v>
      </c>
    </row>
    <row r="1109" customFormat="false" ht="18" hidden="false" customHeight="false" outlineLevel="0" collapsed="false">
      <c r="A1109" s="89" t="n">
        <v>44327</v>
      </c>
      <c r="B1109" s="90" t="n">
        <v>90.2</v>
      </c>
      <c r="C1109" s="91" t="n">
        <f aca="false">B1109/B1108-1</f>
        <v>0.00579839429081175</v>
      </c>
      <c r="E1109" s="93"/>
      <c r="F1109" s="94"/>
      <c r="G1109" s="93" t="n">
        <v>44266</v>
      </c>
      <c r="H1109" s="94" t="n">
        <v>308.53</v>
      </c>
      <c r="I1109" s="95" t="n">
        <f aca="false">H1109/H1108-1</f>
        <v>-0.000453558816859601</v>
      </c>
    </row>
    <row r="1110" customFormat="false" ht="18" hidden="false" customHeight="false" outlineLevel="0" collapsed="false">
      <c r="A1110" s="89" t="n">
        <v>44328</v>
      </c>
      <c r="B1110" s="90" t="n">
        <v>90.28</v>
      </c>
      <c r="C1110" s="91" t="n">
        <f aca="false">B1110/B1109-1</f>
        <v>0.000886917960088773</v>
      </c>
      <c r="E1110" s="93"/>
      <c r="F1110" s="94"/>
      <c r="G1110" s="93" t="n">
        <v>44267</v>
      </c>
      <c r="H1110" s="94" t="n">
        <v>307.02</v>
      </c>
      <c r="I1110" s="95" t="n">
        <f aca="false">H1110/H1109-1</f>
        <v>-0.00489417560691019</v>
      </c>
    </row>
    <row r="1111" customFormat="false" ht="18" hidden="false" customHeight="false" outlineLevel="0" collapsed="false">
      <c r="A1111" s="89" t="n">
        <v>44329</v>
      </c>
      <c r="B1111" s="90" t="n">
        <v>89.98</v>
      </c>
      <c r="C1111" s="91" t="n">
        <f aca="false">B1111/B1110-1</f>
        <v>-0.00332299512627376</v>
      </c>
      <c r="E1111" s="93"/>
      <c r="F1111" s="94"/>
      <c r="G1111" s="93" t="n">
        <v>44268</v>
      </c>
      <c r="H1111" s="94" t="n">
        <v>310.98</v>
      </c>
      <c r="I1111" s="95" t="n">
        <f aca="false">H1111/H1110-1</f>
        <v>0.0128981825288257</v>
      </c>
    </row>
    <row r="1112" customFormat="false" ht="18" hidden="false" customHeight="false" outlineLevel="0" collapsed="false">
      <c r="A1112" s="89" t="n">
        <v>44330</v>
      </c>
      <c r="B1112" s="90" t="n">
        <v>90.28</v>
      </c>
      <c r="C1112" s="91" t="n">
        <f aca="false">B1112/B1111-1</f>
        <v>0.00333407423871979</v>
      </c>
      <c r="E1112" s="93"/>
      <c r="F1112" s="94"/>
      <c r="G1112" s="93" t="n">
        <v>44271</v>
      </c>
      <c r="H1112" s="94" t="n">
        <v>313.53</v>
      </c>
      <c r="I1112" s="95" t="n">
        <f aca="false">H1112/H1111-1</f>
        <v>0.00819988423692819</v>
      </c>
    </row>
    <row r="1113" customFormat="false" ht="18" hidden="false" customHeight="false" outlineLevel="0" collapsed="false">
      <c r="A1113" s="89" t="n">
        <v>44331</v>
      </c>
      <c r="B1113" s="90" t="n">
        <v>90.45</v>
      </c>
      <c r="C1113" s="91" t="n">
        <f aca="false">B1113/B1112-1</f>
        <v>0.00188303057155514</v>
      </c>
      <c r="E1113" s="93"/>
      <c r="F1113" s="94"/>
      <c r="G1113" s="93" t="n">
        <v>44272</v>
      </c>
      <c r="H1113" s="94" t="n">
        <v>317.4</v>
      </c>
      <c r="I1113" s="95" t="n">
        <f aca="false">H1113/H1112-1</f>
        <v>0.0123433164290498</v>
      </c>
    </row>
    <row r="1114" customFormat="false" ht="18" hidden="false" customHeight="false" outlineLevel="0" collapsed="false">
      <c r="A1114" s="89" t="n">
        <v>44334</v>
      </c>
      <c r="B1114" s="90" t="n">
        <v>90.51</v>
      </c>
      <c r="C1114" s="91" t="n">
        <f aca="false">B1114/B1113-1</f>
        <v>0.000663349917081391</v>
      </c>
      <c r="E1114" s="93"/>
      <c r="F1114" s="94"/>
      <c r="G1114" s="93" t="n">
        <v>44273</v>
      </c>
      <c r="H1114" s="94" t="n">
        <v>316.7</v>
      </c>
      <c r="I1114" s="95" t="n">
        <f aca="false">H1114/H1113-1</f>
        <v>-0.00220541902961557</v>
      </c>
    </row>
    <row r="1115" customFormat="false" ht="18" hidden="false" customHeight="false" outlineLevel="0" collapsed="false">
      <c r="A1115" s="89" t="n">
        <v>44335</v>
      </c>
      <c r="B1115" s="90" t="n">
        <v>90.37</v>
      </c>
      <c r="C1115" s="91" t="n">
        <f aca="false">B1115/B1114-1</f>
        <v>-0.00154679040989947</v>
      </c>
      <c r="E1115" s="93"/>
      <c r="F1115" s="94"/>
      <c r="G1115" s="93" t="n">
        <v>44274</v>
      </c>
      <c r="H1115" s="94" t="n">
        <v>315.98</v>
      </c>
      <c r="I1115" s="95" t="n">
        <f aca="false">H1115/H1114-1</f>
        <v>-0.00227344490053671</v>
      </c>
    </row>
    <row r="1116" customFormat="false" ht="18" hidden="false" customHeight="false" outlineLevel="0" collapsed="false">
      <c r="A1116" s="89" t="n">
        <v>44336</v>
      </c>
      <c r="B1116" s="90" t="n">
        <v>89.54</v>
      </c>
      <c r="C1116" s="91" t="n">
        <f aca="false">B1116/B1115-1</f>
        <v>-0.00918446387075356</v>
      </c>
      <c r="E1116" s="93"/>
      <c r="F1116" s="94"/>
      <c r="G1116" s="93" t="n">
        <v>44275</v>
      </c>
      <c r="H1116" s="94" t="n">
        <v>313.55</v>
      </c>
      <c r="I1116" s="95" t="n">
        <f aca="false">H1116/H1115-1</f>
        <v>-0.00769036014937652</v>
      </c>
    </row>
    <row r="1117" customFormat="false" ht="18" hidden="false" customHeight="false" outlineLevel="0" collapsed="false">
      <c r="A1117" s="89" t="n">
        <v>44337</v>
      </c>
      <c r="B1117" s="90" t="n">
        <v>89.84</v>
      </c>
      <c r="C1117" s="91" t="n">
        <f aca="false">B1117/B1116-1</f>
        <v>0.00335045789591248</v>
      </c>
      <c r="E1117" s="93"/>
      <c r="F1117" s="94"/>
      <c r="G1117" s="93" t="n">
        <v>44278</v>
      </c>
      <c r="H1117" s="94" t="n">
        <v>314.91</v>
      </c>
      <c r="I1117" s="95" t="n">
        <f aca="false">H1117/H1116-1</f>
        <v>0.00433742624780731</v>
      </c>
    </row>
    <row r="1118" customFormat="false" ht="18" hidden="false" customHeight="false" outlineLevel="0" collapsed="false">
      <c r="A1118" s="89" t="n">
        <v>44338</v>
      </c>
      <c r="B1118" s="90" t="n">
        <v>89.93</v>
      </c>
      <c r="C1118" s="91" t="n">
        <f aca="false">B1118/B1117-1</f>
        <v>0.00100178094390024</v>
      </c>
      <c r="E1118" s="93"/>
      <c r="F1118" s="94"/>
      <c r="G1118" s="93" t="n">
        <v>44279</v>
      </c>
      <c r="H1118" s="94" t="n">
        <v>313.23</v>
      </c>
      <c r="I1118" s="95" t="n">
        <f aca="false">H1118/H1117-1</f>
        <v>-0.00533485757835572</v>
      </c>
    </row>
    <row r="1119" customFormat="false" ht="18" hidden="false" customHeight="false" outlineLevel="0" collapsed="false">
      <c r="A1119" s="89" t="n">
        <v>44342</v>
      </c>
      <c r="B1119" s="90" t="n">
        <v>90.48</v>
      </c>
      <c r="C1119" s="91" t="n">
        <f aca="false">B1119/B1118-1</f>
        <v>0.00611586789725349</v>
      </c>
      <c r="E1119" s="93"/>
      <c r="F1119" s="94"/>
      <c r="G1119" s="93" t="n">
        <v>44280</v>
      </c>
      <c r="H1119" s="94" t="n">
        <v>313.31</v>
      </c>
      <c r="I1119" s="95" t="n">
        <f aca="false">H1119/H1118-1</f>
        <v>0.000255403377709573</v>
      </c>
    </row>
    <row r="1120" customFormat="false" ht="18" hidden="false" customHeight="false" outlineLevel="0" collapsed="false">
      <c r="A1120" s="89" t="n">
        <v>44343</v>
      </c>
      <c r="B1120" s="90" t="n">
        <v>90.29</v>
      </c>
      <c r="C1120" s="91" t="n">
        <f aca="false">B1120/B1119-1</f>
        <v>-0.0020999115826702</v>
      </c>
      <c r="E1120" s="93"/>
      <c r="F1120" s="94"/>
      <c r="G1120" s="93" t="n">
        <v>44281</v>
      </c>
      <c r="H1120" s="94" t="n">
        <v>313.56</v>
      </c>
      <c r="I1120" s="95" t="n">
        <f aca="false">H1120/H1119-1</f>
        <v>0.000797931760875725</v>
      </c>
    </row>
    <row r="1121" customFormat="false" ht="18" hidden="false" customHeight="false" outlineLevel="0" collapsed="false">
      <c r="A1121" s="89" t="n">
        <v>44344</v>
      </c>
      <c r="B1121" s="90" t="n">
        <v>90.6</v>
      </c>
      <c r="C1121" s="91" t="n">
        <f aca="false">B1121/B1120-1</f>
        <v>0.00343338132683568</v>
      </c>
      <c r="E1121" s="93"/>
      <c r="F1121" s="94"/>
      <c r="G1121" s="93" t="n">
        <v>44282</v>
      </c>
      <c r="H1121" s="94" t="n">
        <v>311.11</v>
      </c>
      <c r="I1121" s="95" t="n">
        <f aca="false">H1121/H1120-1</f>
        <v>-0.00781349661946673</v>
      </c>
    </row>
    <row r="1122" customFormat="false" ht="18" hidden="false" customHeight="false" outlineLevel="0" collapsed="false">
      <c r="A1122" s="89" t="n">
        <v>44345</v>
      </c>
      <c r="B1122" s="90" t="n">
        <v>90.6</v>
      </c>
      <c r="C1122" s="91" t="n">
        <f aca="false">B1122/B1121-1</f>
        <v>0</v>
      </c>
      <c r="E1122" s="93"/>
      <c r="F1122" s="94"/>
      <c r="G1122" s="93" t="n">
        <v>44285</v>
      </c>
      <c r="H1122" s="94" t="n">
        <v>306.47</v>
      </c>
      <c r="I1122" s="95" t="n">
        <f aca="false">H1122/H1121-1</f>
        <v>-0.014914338979782</v>
      </c>
    </row>
    <row r="1123" customFormat="false" ht="18" hidden="false" customHeight="false" outlineLevel="0" collapsed="false">
      <c r="A1123" s="89" t="n">
        <v>44348</v>
      </c>
      <c r="B1123" s="90" t="n">
        <v>90.16</v>
      </c>
      <c r="C1123" s="91" t="n">
        <f aca="false">B1123/B1122-1</f>
        <v>-0.00485651214128036</v>
      </c>
      <c r="E1123" s="93"/>
      <c r="F1123" s="94"/>
      <c r="G1123" s="93" t="n">
        <v>44286</v>
      </c>
      <c r="H1123" s="94" t="n">
        <v>308.62</v>
      </c>
      <c r="I1123" s="95" t="n">
        <f aca="false">H1123/H1122-1</f>
        <v>0.00701536855157103</v>
      </c>
    </row>
    <row r="1124" customFormat="false" ht="18" hidden="false" customHeight="false" outlineLevel="0" collapsed="false">
      <c r="A1124" s="89" t="n">
        <v>44349</v>
      </c>
      <c r="B1124" s="90" t="n">
        <v>90.45</v>
      </c>
      <c r="C1124" s="91" t="n">
        <f aca="false">B1124/B1123-1</f>
        <v>0.00321650399290152</v>
      </c>
      <c r="E1124" s="93"/>
      <c r="F1124" s="94"/>
      <c r="G1124" s="93" t="n">
        <v>44287</v>
      </c>
      <c r="H1124" s="94" t="n">
        <v>309.19</v>
      </c>
      <c r="I1124" s="95" t="n">
        <f aca="false">H1124/H1123-1</f>
        <v>0.00184693150152282</v>
      </c>
    </row>
    <row r="1125" customFormat="false" ht="18" hidden="false" customHeight="false" outlineLevel="0" collapsed="false">
      <c r="A1125" s="89" t="n">
        <v>44350</v>
      </c>
      <c r="B1125" s="90" t="n">
        <v>90.79</v>
      </c>
      <c r="C1125" s="91" t="n">
        <f aca="false">B1125/B1124-1</f>
        <v>0.00375898286346055</v>
      </c>
      <c r="E1125" s="93"/>
      <c r="F1125" s="94"/>
      <c r="G1125" s="93" t="n">
        <v>44288</v>
      </c>
      <c r="H1125" s="94" t="n">
        <v>307.12</v>
      </c>
      <c r="I1125" s="95" t="n">
        <f aca="false">H1125/H1124-1</f>
        <v>-0.00669491251334131</v>
      </c>
    </row>
    <row r="1126" customFormat="false" ht="18" hidden="false" customHeight="false" outlineLevel="0" collapsed="false">
      <c r="A1126" s="89" t="n">
        <v>44351</v>
      </c>
      <c r="B1126" s="90" t="n">
        <v>90.57</v>
      </c>
      <c r="C1126" s="91" t="n">
        <f aca="false">B1126/B1125-1</f>
        <v>-0.00242317435840966</v>
      </c>
      <c r="E1126" s="93"/>
      <c r="F1126" s="94"/>
      <c r="G1126" s="93" t="n">
        <v>44289</v>
      </c>
      <c r="H1126" s="94" t="n">
        <v>302.13</v>
      </c>
      <c r="I1126" s="95" t="n">
        <f aca="false">H1126/H1125-1</f>
        <v>-0.0162477207606148</v>
      </c>
    </row>
    <row r="1127" customFormat="false" ht="18" hidden="false" customHeight="false" outlineLevel="0" collapsed="false">
      <c r="A1127" s="89" t="n">
        <v>44352</v>
      </c>
      <c r="B1127" s="90" t="n">
        <v>90.43</v>
      </c>
      <c r="C1127" s="91" t="n">
        <f aca="false">B1127/B1126-1</f>
        <v>-0.00154576570608356</v>
      </c>
      <c r="E1127" s="93"/>
      <c r="F1127" s="94"/>
      <c r="G1127" s="93" t="n">
        <v>44292</v>
      </c>
      <c r="H1127" s="94" t="n">
        <v>278.73</v>
      </c>
      <c r="I1127" s="95" t="n">
        <f aca="false">H1127/H1126-1</f>
        <v>-0.0774501042597556</v>
      </c>
    </row>
    <row r="1128" customFormat="false" ht="18" hidden="false" customHeight="false" outlineLevel="0" collapsed="false">
      <c r="A1128" s="89" t="n">
        <v>44355</v>
      </c>
      <c r="B1128" s="90" t="n">
        <v>90.66</v>
      </c>
      <c r="C1128" s="91" t="n">
        <f aca="false">B1128/B1127-1</f>
        <v>0.00254340373769746</v>
      </c>
      <c r="E1128" s="93"/>
      <c r="F1128" s="94"/>
      <c r="G1128" s="93" t="n">
        <v>44293</v>
      </c>
      <c r="H1128" s="94" t="n">
        <v>278.6</v>
      </c>
      <c r="I1128" s="95" t="n">
        <f aca="false">H1128/H1127-1</f>
        <v>-0.000466401176765996</v>
      </c>
    </row>
    <row r="1129" customFormat="false" ht="18" hidden="false" customHeight="false" outlineLevel="0" collapsed="false">
      <c r="A1129" s="89" t="n">
        <v>44356</v>
      </c>
      <c r="B1129" s="90" t="n">
        <v>91.06</v>
      </c>
      <c r="C1129" s="91" t="n">
        <f aca="false">B1129/B1128-1</f>
        <v>0.00441208912420032</v>
      </c>
      <c r="E1129" s="93"/>
      <c r="F1129" s="94"/>
      <c r="G1129" s="93" t="n">
        <v>44294</v>
      </c>
      <c r="H1129" s="94" t="n">
        <v>276.02</v>
      </c>
      <c r="I1129" s="95" t="n">
        <f aca="false">H1129/H1128-1</f>
        <v>-0.00926058865757373</v>
      </c>
    </row>
    <row r="1130" customFormat="false" ht="18" hidden="false" customHeight="false" outlineLevel="0" collapsed="false">
      <c r="A1130" s="89" t="n">
        <v>44357</v>
      </c>
      <c r="B1130" s="90" t="n">
        <v>91.33</v>
      </c>
      <c r="C1130" s="91" t="n">
        <f aca="false">B1130/B1129-1</f>
        <v>0.00296507797056877</v>
      </c>
      <c r="E1130" s="93"/>
      <c r="F1130" s="94"/>
      <c r="G1130" s="93" t="n">
        <v>44295</v>
      </c>
      <c r="H1130" s="94" t="n">
        <v>284.54</v>
      </c>
      <c r="I1130" s="95" t="n">
        <f aca="false">H1130/H1129-1</f>
        <v>0.0308673284544601</v>
      </c>
    </row>
    <row r="1131" customFormat="false" ht="18" hidden="false" customHeight="false" outlineLevel="0" collapsed="false">
      <c r="A1131" s="89" t="n">
        <v>44358</v>
      </c>
      <c r="B1131" s="90" t="n">
        <v>91.49</v>
      </c>
      <c r="C1131" s="91" t="n">
        <f aca="false">B1131/B1130-1</f>
        <v>0.00175188875506405</v>
      </c>
      <c r="E1131" s="93"/>
      <c r="F1131" s="94"/>
      <c r="G1131" s="93" t="n">
        <v>44296</v>
      </c>
      <c r="H1131" s="94" t="n">
        <v>289.65</v>
      </c>
      <c r="I1131" s="95" t="n">
        <f aca="false">H1131/H1130-1</f>
        <v>0.0179588107120263</v>
      </c>
    </row>
    <row r="1132" customFormat="false" ht="18" hidden="false" customHeight="false" outlineLevel="0" collapsed="false">
      <c r="A1132" s="89" t="n">
        <v>44359</v>
      </c>
      <c r="B1132" s="90" t="n">
        <v>90.91</v>
      </c>
      <c r="C1132" s="91" t="n">
        <f aca="false">B1132/B1131-1</f>
        <v>-0.0063394906547164</v>
      </c>
      <c r="E1132" s="93"/>
      <c r="F1132" s="94"/>
      <c r="G1132" s="93" t="n">
        <v>44299</v>
      </c>
      <c r="H1132" s="94" t="n">
        <v>293.49</v>
      </c>
      <c r="I1132" s="95" t="n">
        <f aca="false">H1132/H1131-1</f>
        <v>0.0132573795960644</v>
      </c>
    </row>
    <row r="1133" customFormat="false" ht="18" hidden="false" customHeight="false" outlineLevel="0" collapsed="false">
      <c r="A1133" s="89" t="n">
        <v>44362</v>
      </c>
      <c r="B1133" s="90" t="n">
        <v>91.01</v>
      </c>
      <c r="C1133" s="91" t="n">
        <f aca="false">B1133/B1132-1</f>
        <v>0.00109998900010999</v>
      </c>
      <c r="E1133" s="93"/>
      <c r="F1133" s="94"/>
      <c r="G1133" s="93" t="n">
        <v>44300</v>
      </c>
      <c r="H1133" s="94" t="n">
        <v>296.61</v>
      </c>
      <c r="I1133" s="95" t="n">
        <f aca="false">H1133/H1132-1</f>
        <v>0.0106306858836758</v>
      </c>
    </row>
    <row r="1134" customFormat="false" ht="18" hidden="false" customHeight="false" outlineLevel="0" collapsed="false">
      <c r="A1134" s="89" t="n">
        <v>44363</v>
      </c>
      <c r="B1134" s="90" t="n">
        <v>91.08</v>
      </c>
      <c r="C1134" s="91" t="n">
        <f aca="false">B1134/B1133-1</f>
        <v>0.000769146247665109</v>
      </c>
      <c r="E1134" s="93"/>
      <c r="F1134" s="94"/>
      <c r="G1134" s="93" t="n">
        <v>44301</v>
      </c>
      <c r="H1134" s="94" t="n">
        <v>294.01</v>
      </c>
      <c r="I1134" s="95" t="n">
        <f aca="false">H1134/H1133-1</f>
        <v>-0.00876571929469683</v>
      </c>
    </row>
    <row r="1135" customFormat="false" ht="18" hidden="false" customHeight="false" outlineLevel="0" collapsed="false">
      <c r="A1135" s="89" t="n">
        <v>44364</v>
      </c>
      <c r="B1135" s="90" t="n">
        <v>91.02</v>
      </c>
      <c r="C1135" s="91" t="n">
        <f aca="false">B1135/B1134-1</f>
        <v>-0.000658761528326779</v>
      </c>
      <c r="E1135" s="93"/>
      <c r="F1135" s="94"/>
      <c r="G1135" s="93" t="n">
        <v>44302</v>
      </c>
      <c r="H1135" s="94" t="n">
        <v>295.97</v>
      </c>
      <c r="I1135" s="95" t="n">
        <f aca="false">H1135/H1134-1</f>
        <v>0.00666643991700977</v>
      </c>
    </row>
    <row r="1136" customFormat="false" ht="18" hidden="false" customHeight="false" outlineLevel="0" collapsed="false">
      <c r="A1136" s="89" t="n">
        <v>44366</v>
      </c>
      <c r="B1136" s="90" t="n">
        <v>91.14</v>
      </c>
      <c r="C1136" s="91" t="n">
        <f aca="false">B1136/B1135-1</f>
        <v>0.00131839156229407</v>
      </c>
      <c r="E1136" s="93"/>
      <c r="F1136" s="94"/>
      <c r="G1136" s="93" t="n">
        <v>44303</v>
      </c>
      <c r="H1136" s="94" t="n">
        <v>296.23</v>
      </c>
      <c r="I1136" s="95" t="n">
        <f aca="false">H1136/H1135-1</f>
        <v>0.000878467412237738</v>
      </c>
    </row>
    <row r="1137" customFormat="false" ht="18" hidden="false" customHeight="false" outlineLevel="0" collapsed="false">
      <c r="A1137" s="89" t="n">
        <v>44369</v>
      </c>
      <c r="B1137" s="90" t="n">
        <v>91.4</v>
      </c>
      <c r="C1137" s="91" t="n">
        <f aca="false">B1137/B1136-1</f>
        <v>0.00285275400482776</v>
      </c>
      <c r="E1137" s="93"/>
      <c r="F1137" s="94"/>
      <c r="G1137" s="93" t="n">
        <v>44306</v>
      </c>
      <c r="H1137" s="94" t="n">
        <v>297.09</v>
      </c>
      <c r="I1137" s="95" t="n">
        <f aca="false">H1137/H1136-1</f>
        <v>0.00290314957971827</v>
      </c>
    </row>
    <row r="1138" customFormat="false" ht="18" hidden="false" customHeight="false" outlineLevel="0" collapsed="false">
      <c r="A1138" s="89" t="n">
        <v>44370</v>
      </c>
      <c r="B1138" s="90" t="n">
        <v>91.95</v>
      </c>
      <c r="C1138" s="91" t="n">
        <f aca="false">B1138/B1137-1</f>
        <v>0.00601750547045943</v>
      </c>
      <c r="E1138" s="93"/>
      <c r="F1138" s="94"/>
      <c r="G1138" s="93" t="n">
        <v>44307</v>
      </c>
      <c r="H1138" s="94" t="n">
        <v>297.98</v>
      </c>
      <c r="I1138" s="95" t="n">
        <f aca="false">H1138/H1137-1</f>
        <v>0.00299572520111768</v>
      </c>
    </row>
    <row r="1139" customFormat="false" ht="18" hidden="false" customHeight="false" outlineLevel="0" collapsed="false">
      <c r="A1139" s="89" t="n">
        <v>44371</v>
      </c>
      <c r="B1139" s="90" t="n">
        <v>91.9</v>
      </c>
      <c r="C1139" s="91" t="n">
        <f aca="false">B1139/B1138-1</f>
        <v>-0.000543773790103286</v>
      </c>
      <c r="E1139" s="93"/>
      <c r="F1139" s="94"/>
      <c r="G1139" s="93" t="n">
        <v>44308</v>
      </c>
      <c r="H1139" s="94" t="n">
        <v>303.69</v>
      </c>
      <c r="I1139" s="95" t="n">
        <f aca="false">H1139/H1138-1</f>
        <v>0.0191623598899253</v>
      </c>
    </row>
    <row r="1140" customFormat="false" ht="18" hidden="false" customHeight="false" outlineLevel="0" collapsed="false">
      <c r="A1140" s="89" t="n">
        <v>44372</v>
      </c>
      <c r="B1140" s="90" t="n">
        <v>92.18</v>
      </c>
      <c r="C1140" s="91" t="n">
        <f aca="false">B1140/B1139-1</f>
        <v>0.00304678998911867</v>
      </c>
      <c r="E1140" s="93"/>
      <c r="F1140" s="94"/>
      <c r="G1140" s="93" t="n">
        <v>44309</v>
      </c>
      <c r="H1140" s="94" t="n">
        <v>303.45</v>
      </c>
      <c r="I1140" s="95" t="n">
        <f aca="false">H1140/H1139-1</f>
        <v>-0.00079027956139488</v>
      </c>
    </row>
    <row r="1141" customFormat="false" ht="18" hidden="false" customHeight="false" outlineLevel="0" collapsed="false">
      <c r="A1141" s="89" t="n">
        <v>44373</v>
      </c>
      <c r="B1141" s="90" t="n">
        <v>92.1</v>
      </c>
      <c r="C1141" s="91" t="n">
        <f aca="false">B1141/B1140-1</f>
        <v>-0.000867867216316043</v>
      </c>
      <c r="E1141" s="93"/>
      <c r="F1141" s="94"/>
      <c r="G1141" s="93" t="n">
        <v>44310</v>
      </c>
      <c r="H1141" s="94" t="n">
        <v>304.07</v>
      </c>
      <c r="I1141" s="95" t="n">
        <f aca="false">H1141/H1140-1</f>
        <v>0.00204317020926026</v>
      </c>
    </row>
    <row r="1142" customFormat="false" ht="18" hidden="false" customHeight="false" outlineLevel="0" collapsed="false">
      <c r="A1142" s="89" t="n">
        <v>44376</v>
      </c>
      <c r="B1142" s="90" t="n">
        <v>92.62</v>
      </c>
      <c r="C1142" s="91" t="n">
        <f aca="false">B1142/B1141-1</f>
        <v>0.00564603691639531</v>
      </c>
      <c r="E1142" s="93"/>
      <c r="F1142" s="94"/>
      <c r="G1142" s="93" t="n">
        <v>44313</v>
      </c>
      <c r="H1142" s="94" t="n">
        <v>305.74</v>
      </c>
      <c r="I1142" s="95" t="n">
        <f aca="false">H1142/H1141-1</f>
        <v>0.00549215641135281</v>
      </c>
    </row>
    <row r="1143" customFormat="false" ht="18" hidden="false" customHeight="false" outlineLevel="0" collapsed="false">
      <c r="A1143" s="89" t="n">
        <v>44377</v>
      </c>
      <c r="B1143" s="90" t="n">
        <v>92.42</v>
      </c>
      <c r="C1143" s="91" t="n">
        <f aca="false">B1143/B1142-1</f>
        <v>-0.00215936082919455</v>
      </c>
      <c r="E1143" s="93"/>
      <c r="F1143" s="94"/>
      <c r="G1143" s="93" t="n">
        <v>44314</v>
      </c>
      <c r="H1143" s="94" t="n">
        <v>306.79</v>
      </c>
      <c r="I1143" s="95" t="n">
        <f aca="false">H1143/H1142-1</f>
        <v>0.00343429057369016</v>
      </c>
    </row>
    <row r="1144" customFormat="false" ht="18" hidden="false" customHeight="false" outlineLevel="0" collapsed="false">
      <c r="A1144" s="89" t="n">
        <v>44378</v>
      </c>
      <c r="B1144" s="90" t="n">
        <v>92.33</v>
      </c>
      <c r="C1144" s="91" t="n">
        <f aca="false">B1144/B1143-1</f>
        <v>-0.000973815191517069</v>
      </c>
      <c r="E1144" s="93"/>
      <c r="F1144" s="94"/>
      <c r="G1144" s="93" t="n">
        <v>44315</v>
      </c>
      <c r="H1144" s="94" t="n">
        <v>308.17</v>
      </c>
      <c r="I1144" s="95" t="n">
        <f aca="false">H1144/H1143-1</f>
        <v>0.00449819094494597</v>
      </c>
    </row>
    <row r="1145" customFormat="false" ht="18" hidden="false" customHeight="false" outlineLevel="0" collapsed="false">
      <c r="A1145" s="89" t="n">
        <v>44379</v>
      </c>
      <c r="B1145" s="90" t="n">
        <v>92.49</v>
      </c>
      <c r="C1145" s="91" t="n">
        <f aca="false">B1145/B1144-1</f>
        <v>0.0017329145456515</v>
      </c>
      <c r="E1145" s="93"/>
      <c r="F1145" s="94"/>
      <c r="G1145" s="93" t="n">
        <v>44316</v>
      </c>
      <c r="H1145" s="94" t="n">
        <v>307.92</v>
      </c>
      <c r="I1145" s="95" t="n">
        <f aca="false">H1145/H1144-1</f>
        <v>-0.000811240549047576</v>
      </c>
    </row>
    <row r="1146" customFormat="false" ht="18" hidden="false" customHeight="false" outlineLevel="0" collapsed="false">
      <c r="A1146" s="89" t="n">
        <v>44383</v>
      </c>
      <c r="B1146" s="90" t="n">
        <v>92.02</v>
      </c>
      <c r="C1146" s="91" t="n">
        <f aca="false">B1146/B1145-1</f>
        <v>-0.00508163044653476</v>
      </c>
      <c r="E1146" s="93"/>
      <c r="F1146" s="94"/>
      <c r="G1146" s="93" t="n">
        <v>44317</v>
      </c>
      <c r="H1146" s="94" t="n">
        <v>313.79</v>
      </c>
      <c r="I1146" s="95" t="n">
        <f aca="false">H1146/H1145-1</f>
        <v>0.019063393089114</v>
      </c>
    </row>
    <row r="1147" customFormat="false" ht="18" hidden="false" customHeight="false" outlineLevel="0" collapsed="false">
      <c r="A1147" s="89" t="n">
        <v>44384</v>
      </c>
      <c r="B1147" s="90" t="n">
        <v>91.73</v>
      </c>
      <c r="C1147" s="91" t="n">
        <f aca="false">B1147/B1146-1</f>
        <v>-0.00315148880678107</v>
      </c>
      <c r="E1147" s="93"/>
      <c r="F1147" s="94"/>
      <c r="G1147" s="93" t="n">
        <v>44320</v>
      </c>
      <c r="H1147" s="94" t="n">
        <v>315.8</v>
      </c>
      <c r="I1147" s="95" t="n">
        <f aca="false">H1147/H1146-1</f>
        <v>0.00640555785716557</v>
      </c>
    </row>
    <row r="1148" customFormat="false" ht="18" hidden="false" customHeight="false" outlineLevel="0" collapsed="false">
      <c r="A1148" s="89" t="n">
        <v>44385</v>
      </c>
      <c r="B1148" s="90" t="n">
        <v>92.38</v>
      </c>
      <c r="C1148" s="91" t="n">
        <f aca="false">B1148/B1147-1</f>
        <v>0.00708601329990177</v>
      </c>
      <c r="E1148" s="93"/>
      <c r="F1148" s="94"/>
      <c r="G1148" s="93" t="n">
        <v>44321</v>
      </c>
      <c r="H1148" s="94" t="n">
        <v>315.11</v>
      </c>
      <c r="I1148" s="95" t="n">
        <f aca="false">H1148/H1147-1</f>
        <v>-0.00218492716909435</v>
      </c>
    </row>
    <row r="1149" customFormat="false" ht="18" hidden="false" customHeight="false" outlineLevel="0" collapsed="false">
      <c r="A1149" s="89" t="n">
        <v>44386</v>
      </c>
      <c r="B1149" s="90" t="n">
        <v>92.24</v>
      </c>
      <c r="C1149" s="91" t="n">
        <f aca="false">B1149/B1148-1</f>
        <v>-0.00151547954102615</v>
      </c>
      <c r="E1149" s="93"/>
      <c r="F1149" s="94"/>
      <c r="G1149" s="93" t="n">
        <v>44322</v>
      </c>
      <c r="H1149" s="94" t="n">
        <v>314.85</v>
      </c>
      <c r="I1149" s="95" t="n">
        <f aca="false">H1149/H1148-1</f>
        <v>-0.000825108692202647</v>
      </c>
    </row>
    <row r="1150" customFormat="false" ht="18" hidden="false" customHeight="false" outlineLevel="0" collapsed="false">
      <c r="A1150" s="89" t="n">
        <v>44387</v>
      </c>
      <c r="B1150" s="90" t="n">
        <v>91.76</v>
      </c>
      <c r="C1150" s="91" t="n">
        <f aca="false">B1150/B1149-1</f>
        <v>-0.00520381613182985</v>
      </c>
      <c r="E1150" s="93"/>
      <c r="F1150" s="94"/>
      <c r="G1150" s="93" t="n">
        <v>44323</v>
      </c>
      <c r="H1150" s="94" t="n">
        <v>313.66</v>
      </c>
      <c r="I1150" s="95" t="n">
        <f aca="false">H1150/H1149-1</f>
        <v>-0.00377957757662373</v>
      </c>
    </row>
    <row r="1151" customFormat="false" ht="18" hidden="false" customHeight="false" outlineLevel="0" collapsed="false">
      <c r="A1151" s="89" t="n">
        <v>44390</v>
      </c>
      <c r="B1151" s="90" t="n">
        <v>91.77</v>
      </c>
      <c r="C1151" s="91" t="n">
        <f aca="false">B1151/B1150-1</f>
        <v>0.000108979947689436</v>
      </c>
      <c r="E1151" s="93"/>
      <c r="F1151" s="94"/>
      <c r="G1151" s="93" t="n">
        <v>44324</v>
      </c>
      <c r="H1151" s="94" t="n">
        <v>315</v>
      </c>
      <c r="I1151" s="95" t="n">
        <f aca="false">H1151/H1150-1</f>
        <v>0.00427214180960278</v>
      </c>
    </row>
    <row r="1152" customFormat="false" ht="18" hidden="false" customHeight="false" outlineLevel="0" collapsed="false">
      <c r="A1152" s="89" t="n">
        <v>44391</v>
      </c>
      <c r="B1152" s="90" t="n">
        <v>91.52</v>
      </c>
      <c r="C1152" s="91" t="n">
        <f aca="false">B1152/B1151-1</f>
        <v>-0.00272420180887001</v>
      </c>
      <c r="E1152" s="93"/>
      <c r="F1152" s="94"/>
      <c r="G1152" s="93" t="n">
        <v>44327</v>
      </c>
      <c r="H1152" s="94" t="n">
        <v>321.47</v>
      </c>
      <c r="I1152" s="95" t="n">
        <f aca="false">H1152/H1151-1</f>
        <v>0.0205396825396826</v>
      </c>
    </row>
    <row r="1153" customFormat="false" ht="18" hidden="false" customHeight="false" outlineLevel="0" collapsed="false">
      <c r="A1153" s="89" t="n">
        <v>44392</v>
      </c>
      <c r="B1153" s="90" t="n">
        <v>91.59</v>
      </c>
      <c r="C1153" s="91" t="n">
        <f aca="false">B1153/B1152-1</f>
        <v>0.000764860139860213</v>
      </c>
      <c r="E1153" s="93"/>
      <c r="F1153" s="94"/>
      <c r="G1153" s="93" t="n">
        <v>44328</v>
      </c>
      <c r="H1153" s="94" t="n">
        <v>320.79</v>
      </c>
      <c r="I1153" s="95" t="n">
        <f aca="false">H1153/H1152-1</f>
        <v>-0.00211528291909047</v>
      </c>
    </row>
    <row r="1154" customFormat="false" ht="18" hidden="false" customHeight="false" outlineLevel="0" collapsed="false">
      <c r="A1154" s="89" t="n">
        <v>44393</v>
      </c>
      <c r="B1154" s="90" t="n">
        <v>91.69</v>
      </c>
      <c r="C1154" s="91" t="n">
        <f aca="false">B1154/B1153-1</f>
        <v>0.00109182225133742</v>
      </c>
      <c r="E1154" s="93"/>
      <c r="F1154" s="94"/>
      <c r="G1154" s="93" t="n">
        <v>44329</v>
      </c>
      <c r="H1154" s="94" t="n">
        <v>325.37</v>
      </c>
      <c r="I1154" s="95" t="n">
        <f aca="false">H1154/H1153-1</f>
        <v>0.0142772530315782</v>
      </c>
    </row>
    <row r="1155" customFormat="false" ht="18" hidden="false" customHeight="false" outlineLevel="0" collapsed="false">
      <c r="A1155" s="89" t="n">
        <v>44394</v>
      </c>
      <c r="B1155" s="90" t="n">
        <v>91.89</v>
      </c>
      <c r="C1155" s="91" t="n">
        <f aca="false">B1155/B1154-1</f>
        <v>0.00218126295124876</v>
      </c>
      <c r="E1155" s="93"/>
      <c r="F1155" s="94"/>
      <c r="G1155" s="93" t="n">
        <v>44330</v>
      </c>
      <c r="H1155" s="94" t="n">
        <v>324.98</v>
      </c>
      <c r="I1155" s="95" t="n">
        <f aca="false">H1155/H1154-1</f>
        <v>-0.00119863539969878</v>
      </c>
    </row>
    <row r="1156" customFormat="false" ht="18" hidden="false" customHeight="false" outlineLevel="0" collapsed="false">
      <c r="A1156" s="89" t="n">
        <v>44397</v>
      </c>
      <c r="B1156" s="90" t="n">
        <v>92.24</v>
      </c>
      <c r="C1156" s="91" t="n">
        <f aca="false">B1156/B1155-1</f>
        <v>0.00380890194798122</v>
      </c>
      <c r="E1156" s="93"/>
      <c r="F1156" s="94"/>
      <c r="G1156" s="93" t="n">
        <v>44331</v>
      </c>
      <c r="H1156" s="94" t="n">
        <v>324.91</v>
      </c>
      <c r="I1156" s="95" t="n">
        <f aca="false">H1156/H1155-1</f>
        <v>-0.000215397870638179</v>
      </c>
    </row>
    <row r="1157" customFormat="false" ht="18" hidden="false" customHeight="false" outlineLevel="0" collapsed="false">
      <c r="A1157" s="89" t="n">
        <v>44398</v>
      </c>
      <c r="B1157" s="90" t="n">
        <v>92.4</v>
      </c>
      <c r="C1157" s="91" t="n">
        <f aca="false">B1157/B1156-1</f>
        <v>0.00173460537727688</v>
      </c>
      <c r="E1157" s="93"/>
      <c r="F1157" s="94"/>
      <c r="G1157" s="93" t="n">
        <v>44334</v>
      </c>
      <c r="H1157" s="94" t="n">
        <v>323.91</v>
      </c>
      <c r="I1157" s="95" t="n">
        <f aca="false">H1157/H1156-1</f>
        <v>-0.00307777538395249</v>
      </c>
    </row>
    <row r="1158" customFormat="false" ht="18" hidden="false" customHeight="false" outlineLevel="0" collapsed="false">
      <c r="A1158" s="89" t="n">
        <v>44399</v>
      </c>
      <c r="B1158" s="90" t="n">
        <v>92.44</v>
      </c>
      <c r="C1158" s="91" t="n">
        <f aca="false">B1158/B1157-1</f>
        <v>0.000432900432900452</v>
      </c>
      <c r="E1158" s="93"/>
      <c r="F1158" s="94"/>
      <c r="G1158" s="93" t="n">
        <v>44335</v>
      </c>
      <c r="H1158" s="94" t="n">
        <v>323.92</v>
      </c>
      <c r="I1158" s="95" t="n">
        <f aca="false">H1158/H1157-1</f>
        <v>3.08727733011604E-005</v>
      </c>
    </row>
    <row r="1159" customFormat="false" ht="18" hidden="false" customHeight="false" outlineLevel="0" collapsed="false">
      <c r="A1159" s="89" t="n">
        <v>44400</v>
      </c>
      <c r="B1159" s="90" t="n">
        <v>92.42</v>
      </c>
      <c r="C1159" s="91" t="n">
        <f aca="false">B1159/B1158-1</f>
        <v>-0.000216356555603592</v>
      </c>
      <c r="E1159" s="93"/>
      <c r="F1159" s="94"/>
      <c r="G1159" s="93" t="n">
        <v>44336</v>
      </c>
      <c r="H1159" s="94" t="n">
        <v>325.76</v>
      </c>
      <c r="I1159" s="95" t="n">
        <f aca="false">H1159/H1158-1</f>
        <v>0.00568041491726334</v>
      </c>
    </row>
    <row r="1160" customFormat="false" ht="18" hidden="false" customHeight="false" outlineLevel="0" collapsed="false">
      <c r="A1160" s="89" t="n">
        <v>44401</v>
      </c>
      <c r="B1160" s="90" t="n">
        <v>92.72</v>
      </c>
      <c r="C1160" s="91" t="n">
        <f aca="false">B1160/B1159-1</f>
        <v>0.00324605063839001</v>
      </c>
      <c r="E1160" s="93"/>
      <c r="F1160" s="94"/>
      <c r="G1160" s="93" t="n">
        <v>44337</v>
      </c>
      <c r="H1160" s="94" t="n">
        <v>323.55</v>
      </c>
      <c r="I1160" s="95" t="n">
        <f aca="false">H1160/H1159-1</f>
        <v>-0.0067841355599213</v>
      </c>
    </row>
    <row r="1161" customFormat="false" ht="18" hidden="false" customHeight="false" outlineLevel="0" collapsed="false">
      <c r="A1161" s="89" t="n">
        <v>44404</v>
      </c>
      <c r="B1161" s="90" t="n">
        <v>92.66</v>
      </c>
      <c r="C1161" s="91" t="n">
        <f aca="false">B1161/B1160-1</f>
        <v>-0.000647109577221805</v>
      </c>
      <c r="E1161" s="93"/>
      <c r="F1161" s="94"/>
      <c r="G1161" s="93" t="n">
        <v>44338</v>
      </c>
      <c r="H1161" s="94" t="n">
        <v>325.01</v>
      </c>
      <c r="I1161" s="95" t="n">
        <f aca="false">H1161/H1160-1</f>
        <v>0.004512440117447</v>
      </c>
    </row>
    <row r="1162" customFormat="false" ht="18" hidden="false" customHeight="false" outlineLevel="0" collapsed="false">
      <c r="A1162" s="89" t="n">
        <v>44405</v>
      </c>
      <c r="B1162" s="90" t="n">
        <v>93.01</v>
      </c>
      <c r="C1162" s="91" t="n">
        <f aca="false">B1162/B1161-1</f>
        <v>0.00377725016188224</v>
      </c>
      <c r="E1162" s="93"/>
      <c r="F1162" s="94"/>
      <c r="G1162" s="93" t="n">
        <v>44341</v>
      </c>
      <c r="H1162" s="94" t="n">
        <v>324.26</v>
      </c>
      <c r="I1162" s="95" t="n">
        <f aca="false">H1162/H1161-1</f>
        <v>-0.00230762130395989</v>
      </c>
    </row>
    <row r="1163" customFormat="false" ht="18" hidden="false" customHeight="false" outlineLevel="0" collapsed="false">
      <c r="A1163" s="89" t="n">
        <v>44406</v>
      </c>
      <c r="B1163" s="90" t="n">
        <v>92.85</v>
      </c>
      <c r="C1163" s="91" t="n">
        <f aca="false">B1163/B1162-1</f>
        <v>-0.00172024513493185</v>
      </c>
      <c r="E1163" s="93"/>
      <c r="F1163" s="94"/>
      <c r="G1163" s="93" t="n">
        <v>44342</v>
      </c>
      <c r="H1163" s="94" t="n">
        <v>322.84</v>
      </c>
      <c r="I1163" s="95" t="n">
        <f aca="false">H1163/H1162-1</f>
        <v>-0.0043792018750386</v>
      </c>
    </row>
    <row r="1164" customFormat="false" ht="18" hidden="false" customHeight="false" outlineLevel="0" collapsed="false">
      <c r="A1164" s="89" t="n">
        <v>44407</v>
      </c>
      <c r="B1164" s="90" t="n">
        <v>92.87</v>
      </c>
      <c r="C1164" s="91" t="n">
        <f aca="false">B1164/B1163-1</f>
        <v>0.000215401184706643</v>
      </c>
      <c r="E1164" s="93"/>
      <c r="F1164" s="94"/>
      <c r="G1164" s="93" t="n">
        <v>44343</v>
      </c>
      <c r="H1164" s="94" t="n">
        <v>322.45</v>
      </c>
      <c r="I1164" s="95" t="n">
        <f aca="false">H1164/H1163-1</f>
        <v>-0.00120802874488912</v>
      </c>
    </row>
    <row r="1165" customFormat="false" ht="18" hidden="false" customHeight="false" outlineLevel="0" collapsed="false">
      <c r="A1165" s="89" t="n">
        <v>44408</v>
      </c>
      <c r="B1165" s="90" t="n">
        <v>92.72</v>
      </c>
      <c r="C1165" s="91" t="n">
        <f aca="false">B1165/B1164-1</f>
        <v>-0.00161516097771086</v>
      </c>
      <c r="E1165" s="93"/>
      <c r="F1165" s="94"/>
      <c r="G1165" s="93" t="n">
        <v>44344</v>
      </c>
      <c r="H1165" s="94" t="n">
        <v>323.95</v>
      </c>
      <c r="I1165" s="95" t="n">
        <f aca="false">H1165/H1164-1</f>
        <v>0.00465188401302519</v>
      </c>
    </row>
    <row r="1166" customFormat="false" ht="18" hidden="false" customHeight="false" outlineLevel="0" collapsed="false">
      <c r="A1166" s="89" t="n">
        <v>44411</v>
      </c>
      <c r="B1166" s="90" t="n">
        <v>93.18</v>
      </c>
      <c r="C1166" s="91" t="n">
        <f aca="false">B1166/B1165-1</f>
        <v>0.00496117342536673</v>
      </c>
      <c r="E1166" s="93"/>
      <c r="F1166" s="94"/>
      <c r="G1166" s="93" t="n">
        <v>44345</v>
      </c>
      <c r="H1166" s="94" t="n">
        <v>320.91</v>
      </c>
      <c r="I1166" s="95" t="n">
        <f aca="false">H1166/H1165-1</f>
        <v>-0.0093841642228738</v>
      </c>
    </row>
    <row r="1167" customFormat="false" ht="18" hidden="false" customHeight="false" outlineLevel="0" collapsed="false">
      <c r="A1167" s="89" t="n">
        <v>44412</v>
      </c>
      <c r="B1167" s="90" t="n">
        <v>93.18</v>
      </c>
      <c r="C1167" s="91" t="n">
        <f aca="false">B1167/B1166-1</f>
        <v>0</v>
      </c>
      <c r="E1167" s="93"/>
      <c r="F1167" s="94"/>
      <c r="G1167" s="93" t="n">
        <v>44348</v>
      </c>
      <c r="H1167" s="94" t="n">
        <v>319.66</v>
      </c>
      <c r="I1167" s="95" t="n">
        <f aca="false">H1167/H1166-1</f>
        <v>-0.00389517310149268</v>
      </c>
    </row>
    <row r="1168" customFormat="false" ht="18" hidden="false" customHeight="false" outlineLevel="0" collapsed="false">
      <c r="A1168" s="89" t="n">
        <v>44413</v>
      </c>
      <c r="B1168" s="90" t="n">
        <v>93.24</v>
      </c>
      <c r="C1168" s="91" t="n">
        <f aca="false">B1168/B1167-1</f>
        <v>0.000643915003219364</v>
      </c>
      <c r="E1168" s="93"/>
      <c r="F1168" s="94"/>
      <c r="G1168" s="93" t="n">
        <v>44349</v>
      </c>
      <c r="H1168" s="94" t="n">
        <v>320.96</v>
      </c>
      <c r="I1168" s="95" t="n">
        <f aca="false">H1168/H1167-1</f>
        <v>0.0040668209973096</v>
      </c>
    </row>
    <row r="1169" customFormat="false" ht="18" hidden="false" customHeight="false" outlineLevel="0" collapsed="false">
      <c r="A1169" s="89" t="n">
        <v>44414</v>
      </c>
      <c r="B1169" s="90" t="n">
        <v>93.38</v>
      </c>
      <c r="C1169" s="91" t="n">
        <f aca="false">B1169/B1168-1</f>
        <v>0.00150150150150141</v>
      </c>
      <c r="E1169" s="93"/>
      <c r="F1169" s="94"/>
      <c r="G1169" s="93" t="n">
        <v>44350</v>
      </c>
      <c r="H1169" s="94" t="n">
        <v>324.07</v>
      </c>
      <c r="I1169" s="95" t="n">
        <f aca="false">H1169/H1168-1</f>
        <v>0.00968968095712874</v>
      </c>
    </row>
    <row r="1170" customFormat="false" ht="18" hidden="false" customHeight="false" outlineLevel="0" collapsed="false">
      <c r="A1170" s="89" t="n">
        <v>44415</v>
      </c>
      <c r="B1170" s="90" t="n">
        <v>93.38</v>
      </c>
      <c r="C1170" s="91" t="n">
        <f aca="false">B1170/B1169-1</f>
        <v>0</v>
      </c>
      <c r="E1170" s="93"/>
      <c r="F1170" s="94"/>
      <c r="G1170" s="93" t="n">
        <v>44351</v>
      </c>
      <c r="H1170" s="94" t="n">
        <v>326.11</v>
      </c>
      <c r="I1170" s="95" t="n">
        <f aca="false">H1170/H1169-1</f>
        <v>0.00629493627919908</v>
      </c>
    </row>
    <row r="1171" customFormat="false" ht="18" hidden="false" customHeight="false" outlineLevel="0" collapsed="false">
      <c r="A1171" s="89" t="n">
        <v>44418</v>
      </c>
      <c r="B1171" s="90" t="n">
        <v>93.5</v>
      </c>
      <c r="C1171" s="91" t="n">
        <f aca="false">B1171/B1170-1</f>
        <v>0.00128507174983938</v>
      </c>
      <c r="E1171" s="93"/>
      <c r="F1171" s="94"/>
      <c r="G1171" s="93" t="n">
        <v>44352</v>
      </c>
      <c r="H1171" s="94" t="n">
        <v>326.25</v>
      </c>
      <c r="I1171" s="95" t="n">
        <f aca="false">H1171/H1170-1</f>
        <v>0.000429302995921477</v>
      </c>
    </row>
    <row r="1172" customFormat="false" ht="18" hidden="false" customHeight="false" outlineLevel="0" collapsed="false">
      <c r="A1172" s="89" t="n">
        <v>44419</v>
      </c>
      <c r="B1172" s="90" t="n">
        <v>93.68</v>
      </c>
      <c r="C1172" s="91" t="n">
        <f aca="false">B1172/B1171-1</f>
        <v>0.0019251336898396</v>
      </c>
      <c r="E1172" s="93"/>
      <c r="F1172" s="94"/>
      <c r="G1172" s="93" t="n">
        <v>44355</v>
      </c>
      <c r="H1172" s="94" t="n">
        <v>328.81</v>
      </c>
      <c r="I1172" s="95" t="n">
        <f aca="false">H1172/H1171-1</f>
        <v>0.00784674329501911</v>
      </c>
    </row>
    <row r="1173" customFormat="false" ht="18" hidden="false" customHeight="false" outlineLevel="0" collapsed="false">
      <c r="A1173" s="89" t="n">
        <v>44420</v>
      </c>
      <c r="B1173" s="90" t="n">
        <v>94.14</v>
      </c>
      <c r="C1173" s="91" t="n">
        <f aca="false">B1173/B1172-1</f>
        <v>0.00491033304867639</v>
      </c>
      <c r="E1173" s="93"/>
      <c r="F1173" s="94"/>
      <c r="G1173" s="93" t="n">
        <v>44356</v>
      </c>
      <c r="H1173" s="94" t="n">
        <v>330.94</v>
      </c>
      <c r="I1173" s="95" t="n">
        <f aca="false">H1173/H1172-1</f>
        <v>0.00647790517320024</v>
      </c>
    </row>
    <row r="1174" customFormat="false" ht="18" hidden="false" customHeight="false" outlineLevel="0" collapsed="false">
      <c r="A1174" s="89" t="n">
        <v>44421</v>
      </c>
      <c r="B1174" s="90" t="n">
        <v>93.93</v>
      </c>
      <c r="C1174" s="91" t="n">
        <f aca="false">B1174/B1173-1</f>
        <v>-0.00223072020395154</v>
      </c>
      <c r="E1174" s="93"/>
      <c r="F1174" s="94"/>
      <c r="G1174" s="93" t="n">
        <v>44357</v>
      </c>
      <c r="H1174" s="94" t="n">
        <v>333.08</v>
      </c>
      <c r="I1174" s="95" t="n">
        <f aca="false">H1174/H1173-1</f>
        <v>0.00646642895993232</v>
      </c>
    </row>
    <row r="1175" customFormat="false" ht="18" hidden="false" customHeight="false" outlineLevel="0" collapsed="false">
      <c r="A1175" s="89" t="n">
        <v>44422</v>
      </c>
      <c r="B1175" s="90" t="n">
        <v>93.85</v>
      </c>
      <c r="C1175" s="91" t="n">
        <f aca="false">B1175/B1174-1</f>
        <v>-0.000851698073033202</v>
      </c>
      <c r="E1175" s="93"/>
      <c r="F1175" s="94"/>
      <c r="G1175" s="93" t="n">
        <v>44358</v>
      </c>
      <c r="H1175" s="94" t="n">
        <v>331.02</v>
      </c>
      <c r="I1175" s="95" t="n">
        <f aca="false">H1175/H1174-1</f>
        <v>-0.00618470037228291</v>
      </c>
    </row>
    <row r="1176" customFormat="false" ht="18" hidden="false" customHeight="false" outlineLevel="0" collapsed="false">
      <c r="A1176" s="89" t="n">
        <v>44425</v>
      </c>
      <c r="B1176" s="90" t="n">
        <v>93.94</v>
      </c>
      <c r="C1176" s="91" t="n">
        <f aca="false">B1176/B1175-1</f>
        <v>0.000958977091102931</v>
      </c>
      <c r="E1176" s="93"/>
      <c r="F1176" s="94"/>
      <c r="G1176" s="93" t="n">
        <v>44359</v>
      </c>
      <c r="H1176" s="94" t="n">
        <v>327.57</v>
      </c>
      <c r="I1176" s="95" t="n">
        <f aca="false">H1176/H1175-1</f>
        <v>-0.0104223309769802</v>
      </c>
    </row>
    <row r="1177" customFormat="false" ht="18" hidden="false" customHeight="false" outlineLevel="0" collapsed="false">
      <c r="A1177" s="89" t="n">
        <v>44426</v>
      </c>
      <c r="B1177" s="90" t="n">
        <v>93.98</v>
      </c>
      <c r="C1177" s="91" t="n">
        <f aca="false">B1177/B1176-1</f>
        <v>0.000425803704492189</v>
      </c>
      <c r="E1177" s="93"/>
      <c r="F1177" s="94"/>
      <c r="G1177" s="93" t="n">
        <v>44362</v>
      </c>
      <c r="H1177" s="94" t="n">
        <v>329.36</v>
      </c>
      <c r="I1177" s="95" t="n">
        <f aca="false">H1177/H1176-1</f>
        <v>0.00546448087431695</v>
      </c>
    </row>
    <row r="1178" customFormat="false" ht="18" hidden="false" customHeight="false" outlineLevel="0" collapsed="false">
      <c r="A1178" s="89" t="n">
        <v>44427</v>
      </c>
      <c r="B1178" s="90" t="n">
        <v>93.83</v>
      </c>
      <c r="C1178" s="91" t="n">
        <f aca="false">B1178/B1177-1</f>
        <v>-0.00159608427324964</v>
      </c>
      <c r="E1178" s="93"/>
      <c r="F1178" s="94"/>
      <c r="G1178" s="93" t="n">
        <v>44363</v>
      </c>
      <c r="H1178" s="94" t="n">
        <v>328.52</v>
      </c>
      <c r="I1178" s="95" t="n">
        <f aca="false">H1178/H1177-1</f>
        <v>-0.00255040077726509</v>
      </c>
    </row>
    <row r="1179" customFormat="false" ht="18" hidden="false" customHeight="false" outlineLevel="0" collapsed="false">
      <c r="A1179" s="89" t="n">
        <v>44428</v>
      </c>
      <c r="B1179" s="90" t="n">
        <v>93.53</v>
      </c>
      <c r="C1179" s="91" t="n">
        <f aca="false">B1179/B1178-1</f>
        <v>-0.00319727166151551</v>
      </c>
      <c r="E1179" s="93"/>
      <c r="F1179" s="94"/>
      <c r="G1179" s="93" t="n">
        <v>44364</v>
      </c>
      <c r="H1179" s="94" t="n">
        <v>327.28</v>
      </c>
      <c r="I1179" s="95" t="n">
        <f aca="false">H1179/H1178-1</f>
        <v>-0.00377450383538291</v>
      </c>
    </row>
    <row r="1180" customFormat="false" ht="18" hidden="false" customHeight="false" outlineLevel="0" collapsed="false">
      <c r="A1180" s="89" t="n">
        <v>44429</v>
      </c>
      <c r="B1180" s="90" t="n">
        <v>94.21</v>
      </c>
      <c r="C1180" s="91" t="n">
        <f aca="false">B1180/B1179-1</f>
        <v>0.00727039452582057</v>
      </c>
      <c r="E1180" s="93"/>
      <c r="F1180" s="94"/>
      <c r="G1180" s="93" t="n">
        <v>44365</v>
      </c>
      <c r="H1180" s="94" t="n">
        <v>322.56</v>
      </c>
      <c r="I1180" s="95" t="n">
        <f aca="false">H1180/H1179-1</f>
        <v>-0.0144219017355169</v>
      </c>
    </row>
    <row r="1181" customFormat="false" ht="18" hidden="false" customHeight="false" outlineLevel="0" collapsed="false">
      <c r="A1181" s="89" t="n">
        <v>44432</v>
      </c>
      <c r="B1181" s="90" t="n">
        <v>93.84</v>
      </c>
      <c r="C1181" s="91" t="n">
        <f aca="false">B1181/B1180-1</f>
        <v>-0.00392739624243699</v>
      </c>
      <c r="E1181" s="93"/>
      <c r="F1181" s="94"/>
      <c r="G1181" s="93" t="n">
        <v>44366</v>
      </c>
      <c r="H1181" s="94" t="n">
        <v>324.69</v>
      </c>
      <c r="I1181" s="95" t="n">
        <f aca="false">H1181/H1180-1</f>
        <v>0.00660342261904767</v>
      </c>
    </row>
    <row r="1182" customFormat="false" ht="18" hidden="false" customHeight="false" outlineLevel="0" collapsed="false">
      <c r="A1182" s="89" t="n">
        <v>44433</v>
      </c>
      <c r="B1182" s="90" t="n">
        <v>93.82</v>
      </c>
      <c r="C1182" s="91" t="n">
        <f aca="false">B1182/B1181-1</f>
        <v>-0.000213128729752876</v>
      </c>
      <c r="E1182" s="93"/>
      <c r="F1182" s="94"/>
      <c r="G1182" s="93" t="n">
        <v>44369</v>
      </c>
      <c r="H1182" s="94" t="n">
        <v>323.44</v>
      </c>
      <c r="I1182" s="95" t="n">
        <f aca="false">H1182/H1181-1</f>
        <v>-0.00384982598786532</v>
      </c>
    </row>
    <row r="1183" customFormat="false" ht="18" hidden="false" customHeight="false" outlineLevel="0" collapsed="false">
      <c r="A1183" s="89" t="n">
        <v>44434</v>
      </c>
      <c r="B1183" s="90" t="n">
        <v>93.71</v>
      </c>
      <c r="C1183" s="91" t="n">
        <f aca="false">B1183/B1182-1</f>
        <v>-0.00117245789810272</v>
      </c>
      <c r="E1183" s="93"/>
      <c r="F1183" s="94"/>
      <c r="G1183" s="93" t="n">
        <v>44370</v>
      </c>
      <c r="H1183" s="94" t="n">
        <v>330.54</v>
      </c>
      <c r="I1183" s="95" t="n">
        <f aca="false">H1183/H1182-1</f>
        <v>0.0219515211476626</v>
      </c>
    </row>
    <row r="1184" customFormat="false" ht="18" hidden="false" customHeight="false" outlineLevel="0" collapsed="false">
      <c r="A1184" s="89" t="n">
        <v>44435</v>
      </c>
      <c r="B1184" s="90" t="n">
        <v>94.26</v>
      </c>
      <c r="C1184" s="91" t="n">
        <f aca="false">B1184/B1183-1</f>
        <v>0.00586917084622796</v>
      </c>
      <c r="E1184" s="93"/>
      <c r="F1184" s="94"/>
      <c r="G1184" s="93" t="n">
        <v>44371</v>
      </c>
      <c r="H1184" s="94" t="n">
        <v>333.11</v>
      </c>
      <c r="I1184" s="95" t="n">
        <f aca="false">H1184/H1183-1</f>
        <v>0.00777515580565136</v>
      </c>
    </row>
    <row r="1185" customFormat="false" ht="18" hidden="false" customHeight="false" outlineLevel="0" collapsed="false">
      <c r="A1185" s="89" t="n">
        <v>44436</v>
      </c>
      <c r="B1185" s="90" t="n">
        <v>94.12</v>
      </c>
      <c r="C1185" s="91" t="n">
        <f aca="false">B1185/B1184-1</f>
        <v>-0.00148525355399953</v>
      </c>
      <c r="E1185" s="93"/>
      <c r="F1185" s="94"/>
      <c r="G1185" s="93" t="n">
        <v>44372</v>
      </c>
      <c r="H1185" s="94" t="n">
        <v>335.25</v>
      </c>
      <c r="I1185" s="95" t="n">
        <f aca="false">H1185/H1184-1</f>
        <v>0.00642430428387009</v>
      </c>
    </row>
    <row r="1186" customFormat="false" ht="18" hidden="false" customHeight="false" outlineLevel="0" collapsed="false">
      <c r="A1186" s="89" t="n">
        <v>44440</v>
      </c>
      <c r="B1186" s="90" t="n">
        <v>93.36</v>
      </c>
      <c r="C1186" s="91" t="n">
        <f aca="false">B1186/B1185-1</f>
        <v>-0.00807479813004686</v>
      </c>
      <c r="E1186" s="93"/>
      <c r="F1186" s="94"/>
      <c r="G1186" s="93" t="n">
        <v>44373</v>
      </c>
      <c r="H1186" s="94" t="n">
        <v>336.18</v>
      </c>
      <c r="I1186" s="95" t="n">
        <f aca="false">H1186/H1185-1</f>
        <v>0.00277404921700231</v>
      </c>
    </row>
    <row r="1187" customFormat="false" ht="18" hidden="false" customHeight="false" outlineLevel="0" collapsed="false">
      <c r="A1187" s="89" t="n">
        <v>44441</v>
      </c>
      <c r="B1187" s="90" t="n">
        <v>93.76</v>
      </c>
      <c r="C1187" s="91" t="n">
        <f aca="false">B1187/B1186-1</f>
        <v>0.00428449014567267</v>
      </c>
      <c r="E1187" s="93"/>
      <c r="F1187" s="94"/>
      <c r="G1187" s="93" t="n">
        <v>44376</v>
      </c>
      <c r="H1187" s="94" t="n">
        <v>334.75</v>
      </c>
      <c r="I1187" s="95" t="n">
        <f aca="false">H1187/H1186-1</f>
        <v>-0.00425367362722351</v>
      </c>
    </row>
    <row r="1188" customFormat="false" ht="18" hidden="false" customHeight="false" outlineLevel="0" collapsed="false">
      <c r="A1188" s="89" t="n">
        <v>44442</v>
      </c>
      <c r="B1188" s="90" t="n">
        <v>94.13</v>
      </c>
      <c r="C1188" s="91" t="n">
        <f aca="false">B1188/B1187-1</f>
        <v>0.00394624573378821</v>
      </c>
      <c r="E1188" s="93"/>
      <c r="F1188" s="94"/>
      <c r="G1188" s="93" t="n">
        <v>44377</v>
      </c>
      <c r="H1188" s="94" t="n">
        <v>336.52</v>
      </c>
      <c r="I1188" s="95" t="n">
        <f aca="false">H1188/H1187-1</f>
        <v>0.00528752800597454</v>
      </c>
    </row>
    <row r="1189" customFormat="false" ht="18" hidden="false" customHeight="false" outlineLevel="0" collapsed="false">
      <c r="A1189" s="89" t="n">
        <v>44443</v>
      </c>
      <c r="B1189" s="90" t="n">
        <v>94.76</v>
      </c>
      <c r="C1189" s="91" t="n">
        <f aca="false">B1189/B1188-1</f>
        <v>0.00669287156060783</v>
      </c>
      <c r="E1189" s="93"/>
      <c r="F1189" s="94"/>
      <c r="G1189" s="93" t="n">
        <v>44378</v>
      </c>
      <c r="H1189" s="94" t="n">
        <v>336.99</v>
      </c>
      <c r="I1189" s="95" t="n">
        <f aca="false">H1189/H1188-1</f>
        <v>0.00139664804469275</v>
      </c>
    </row>
    <row r="1190" customFormat="false" ht="18" hidden="false" customHeight="false" outlineLevel="0" collapsed="false">
      <c r="A1190" s="89" t="n">
        <v>44446</v>
      </c>
      <c r="B1190" s="90" t="n">
        <v>94.75</v>
      </c>
      <c r="C1190" s="91" t="n">
        <f aca="false">B1190/B1189-1</f>
        <v>-0.000105529759392153</v>
      </c>
      <c r="E1190" s="93"/>
      <c r="F1190" s="94"/>
      <c r="G1190" s="93" t="n">
        <v>44379</v>
      </c>
      <c r="H1190" s="94" t="n">
        <v>338.7</v>
      </c>
      <c r="I1190" s="95" t="n">
        <f aca="false">H1190/H1189-1</f>
        <v>0.00507433454998663</v>
      </c>
    </row>
    <row r="1191" customFormat="false" ht="18" hidden="false" customHeight="false" outlineLevel="0" collapsed="false">
      <c r="A1191" s="89" t="n">
        <v>44447</v>
      </c>
      <c r="B1191" s="90" t="n">
        <v>94.66</v>
      </c>
      <c r="C1191" s="91" t="n">
        <f aca="false">B1191/B1190-1</f>
        <v>-0.000949868073878646</v>
      </c>
      <c r="E1191" s="93"/>
      <c r="F1191" s="94"/>
      <c r="G1191" s="93" t="n">
        <v>44380</v>
      </c>
      <c r="H1191" s="94" t="n">
        <v>337.89</v>
      </c>
      <c r="I1191" s="95" t="n">
        <f aca="false">H1191/H1190-1</f>
        <v>-0.00239149689991147</v>
      </c>
    </row>
    <row r="1192" customFormat="false" ht="18" hidden="false" customHeight="false" outlineLevel="0" collapsed="false">
      <c r="A1192" s="89" t="n">
        <v>44448</v>
      </c>
      <c r="B1192" s="90" t="n">
        <v>95.18</v>
      </c>
      <c r="C1192" s="91" t="n">
        <f aca="false">B1192/B1191-1</f>
        <v>0.00549334460173268</v>
      </c>
      <c r="E1192" s="93"/>
      <c r="F1192" s="94"/>
      <c r="G1192" s="93" t="n">
        <v>44383</v>
      </c>
      <c r="H1192" s="94" t="n">
        <v>336.26</v>
      </c>
      <c r="I1192" s="95" t="n">
        <f aca="false">H1192/H1191-1</f>
        <v>-0.00482405516588236</v>
      </c>
    </row>
    <row r="1193" customFormat="false" ht="18" hidden="false" customHeight="false" outlineLevel="0" collapsed="false">
      <c r="A1193" s="89" t="n">
        <v>44449</v>
      </c>
      <c r="B1193" s="90" t="n">
        <v>95.53</v>
      </c>
      <c r="C1193" s="91" t="n">
        <f aca="false">B1193/B1192-1</f>
        <v>0.00367724311830209</v>
      </c>
      <c r="E1193" s="93"/>
      <c r="F1193" s="94"/>
      <c r="G1193" s="93" t="n">
        <v>44384</v>
      </c>
      <c r="H1193" s="94" t="n">
        <v>337.13</v>
      </c>
      <c r="I1193" s="95" t="n">
        <f aca="false">H1193/H1192-1</f>
        <v>0.00258728364955685</v>
      </c>
    </row>
    <row r="1194" customFormat="false" ht="18" hidden="false" customHeight="false" outlineLevel="0" collapsed="false">
      <c r="A1194" s="89" t="n">
        <v>44450</v>
      </c>
      <c r="B1194" s="90" t="n">
        <v>95.25</v>
      </c>
      <c r="C1194" s="91" t="n">
        <f aca="false">B1194/B1193-1</f>
        <v>-0.0029310164346279</v>
      </c>
      <c r="E1194" s="93"/>
      <c r="F1194" s="94"/>
      <c r="G1194" s="93" t="n">
        <v>44385</v>
      </c>
      <c r="H1194" s="94" t="n">
        <v>336.61</v>
      </c>
      <c r="I1194" s="95" t="n">
        <f aca="false">H1194/H1193-1</f>
        <v>-0.00154243170290391</v>
      </c>
    </row>
    <row r="1195" customFormat="false" ht="18" hidden="false" customHeight="false" outlineLevel="0" collapsed="false">
      <c r="A1195" s="89" t="n">
        <v>44453</v>
      </c>
      <c r="B1195" s="90" t="n">
        <v>95.59</v>
      </c>
      <c r="C1195" s="91" t="n">
        <f aca="false">B1195/B1194-1</f>
        <v>0.00356955380577428</v>
      </c>
      <c r="E1195" s="93"/>
      <c r="F1195" s="94"/>
      <c r="G1195" s="93" t="n">
        <v>44386</v>
      </c>
      <c r="H1195" s="94" t="n">
        <v>336.96</v>
      </c>
      <c r="I1195" s="95" t="n">
        <f aca="false">H1195/H1194-1</f>
        <v>0.00103977897269836</v>
      </c>
    </row>
    <row r="1196" customFormat="false" ht="18" hidden="false" customHeight="false" outlineLevel="0" collapsed="false">
      <c r="A1196" s="89" t="n">
        <v>44454</v>
      </c>
      <c r="B1196" s="90" t="n">
        <v>95.53</v>
      </c>
      <c r="C1196" s="91" t="n">
        <f aca="false">B1196/B1195-1</f>
        <v>-0.00062768071974062</v>
      </c>
      <c r="E1196" s="93"/>
      <c r="F1196" s="94"/>
      <c r="G1196" s="93" t="n">
        <v>44387</v>
      </c>
      <c r="H1196" s="94" t="n">
        <v>336.57</v>
      </c>
      <c r="I1196" s="95" t="n">
        <f aca="false">H1196/H1195-1</f>
        <v>-0.00115740740740733</v>
      </c>
    </row>
    <row r="1197" customFormat="false" ht="18" hidden="false" customHeight="false" outlineLevel="0" collapsed="false">
      <c r="A1197" s="89" t="n">
        <v>44455</v>
      </c>
      <c r="B1197" s="90" t="n">
        <v>95.48</v>
      </c>
      <c r="C1197" s="91" t="n">
        <f aca="false">B1197/B1196-1</f>
        <v>-0.000523395791897752</v>
      </c>
      <c r="E1197" s="93"/>
      <c r="F1197" s="94"/>
      <c r="G1197" s="93" t="n">
        <v>44390</v>
      </c>
      <c r="H1197" s="94" t="n">
        <v>336.32</v>
      </c>
      <c r="I1197" s="95" t="n">
        <f aca="false">H1197/H1196-1</f>
        <v>-0.000742787533054012</v>
      </c>
    </row>
    <row r="1198" customFormat="false" ht="18" hidden="false" customHeight="false" outlineLevel="0" collapsed="false">
      <c r="A1198" s="89" t="n">
        <v>44456</v>
      </c>
      <c r="B1198" s="90" t="n">
        <v>95.08</v>
      </c>
      <c r="C1198" s="91" t="n">
        <f aca="false">B1198/B1197-1</f>
        <v>-0.00418935902806872</v>
      </c>
      <c r="E1198" s="93"/>
      <c r="F1198" s="94"/>
      <c r="G1198" s="93" t="n">
        <v>44391</v>
      </c>
      <c r="H1198" s="94" t="n">
        <v>339.19</v>
      </c>
      <c r="I1198" s="95" t="n">
        <f aca="false">H1198/H1197-1</f>
        <v>0.00853353948620361</v>
      </c>
    </row>
    <row r="1199" customFormat="false" ht="18" hidden="false" customHeight="false" outlineLevel="0" collapsed="false">
      <c r="A1199" s="89" t="n">
        <v>44457</v>
      </c>
      <c r="B1199" s="90" t="n">
        <v>94.98</v>
      </c>
      <c r="C1199" s="91" t="n">
        <f aca="false">B1199/B1198-1</f>
        <v>-0.0010517458981909</v>
      </c>
      <c r="E1199" s="93"/>
      <c r="F1199" s="94"/>
      <c r="G1199" s="93" t="n">
        <v>44392</v>
      </c>
      <c r="H1199" s="94" t="n">
        <v>339.25</v>
      </c>
      <c r="I1199" s="95" t="n">
        <f aca="false">H1199/H1198-1</f>
        <v>0.00017689200742943</v>
      </c>
    </row>
    <row r="1200" customFormat="false" ht="18" hidden="false" customHeight="false" outlineLevel="0" collapsed="false">
      <c r="A1200" s="89" t="n">
        <v>44460</v>
      </c>
      <c r="B1200" s="90" t="n">
        <v>95.19</v>
      </c>
      <c r="C1200" s="91" t="n">
        <f aca="false">B1200/B1199-1</f>
        <v>0.00221099178774464</v>
      </c>
      <c r="E1200" s="93"/>
      <c r="F1200" s="94"/>
      <c r="G1200" s="93" t="n">
        <v>44393</v>
      </c>
      <c r="H1200" s="94" t="n">
        <v>340.28</v>
      </c>
      <c r="I1200" s="95" t="n">
        <f aca="false">H1200/H1199-1</f>
        <v>0.003036109064112</v>
      </c>
    </row>
    <row r="1201" customFormat="false" ht="18" hidden="false" customHeight="false" outlineLevel="0" collapsed="false">
      <c r="A1201" s="89" t="n">
        <v>44461</v>
      </c>
      <c r="B1201" s="90" t="n">
        <v>95.56</v>
      </c>
      <c r="C1201" s="91" t="n">
        <f aca="false">B1201/B1200-1</f>
        <v>0.00388696291627277</v>
      </c>
      <c r="E1201" s="93"/>
      <c r="F1201" s="94"/>
      <c r="G1201" s="93" t="n">
        <v>44394</v>
      </c>
      <c r="H1201" s="94" t="n">
        <v>342.4</v>
      </c>
      <c r="I1201" s="95" t="n">
        <f aca="false">H1201/H1200-1</f>
        <v>0.00623016339485138</v>
      </c>
    </row>
    <row r="1202" customFormat="false" ht="18" hidden="false" customHeight="false" outlineLevel="0" collapsed="false">
      <c r="A1202" s="89" t="n">
        <v>44462</v>
      </c>
      <c r="B1202" s="90" t="n">
        <v>95.5</v>
      </c>
      <c r="C1202" s="91" t="n">
        <f aca="false">B1202/B1201-1</f>
        <v>-0.000627877773126895</v>
      </c>
      <c r="E1202" s="93"/>
      <c r="F1202" s="94"/>
      <c r="G1202" s="93" t="n">
        <v>44397</v>
      </c>
      <c r="H1202" s="94" t="n">
        <v>343.12</v>
      </c>
      <c r="I1202" s="95" t="n">
        <f aca="false">H1202/H1201-1</f>
        <v>0.00210280373831773</v>
      </c>
    </row>
    <row r="1203" customFormat="false" ht="18" hidden="false" customHeight="false" outlineLevel="0" collapsed="false">
      <c r="A1203" s="89" t="n">
        <v>44463</v>
      </c>
      <c r="B1203" s="90" t="n">
        <v>95.26</v>
      </c>
      <c r="C1203" s="91" t="n">
        <f aca="false">B1203/B1202-1</f>
        <v>-0.0025130890052355</v>
      </c>
      <c r="E1203" s="93"/>
      <c r="F1203" s="94"/>
      <c r="G1203" s="93" t="n">
        <v>44398</v>
      </c>
      <c r="H1203" s="94" t="n">
        <v>341.96</v>
      </c>
      <c r="I1203" s="95" t="n">
        <f aca="false">H1203/H1202-1</f>
        <v>-0.00338074143156919</v>
      </c>
    </row>
    <row r="1204" customFormat="false" ht="18" hidden="false" customHeight="false" outlineLevel="0" collapsed="false">
      <c r="A1204" s="89" t="n">
        <v>44464</v>
      </c>
      <c r="B1204" s="90" t="n">
        <v>95.23</v>
      </c>
      <c r="C1204" s="91" t="n">
        <f aca="false">B1204/B1203-1</f>
        <v>-0.000314927566659628</v>
      </c>
      <c r="E1204" s="93"/>
      <c r="F1204" s="94"/>
      <c r="G1204" s="93" t="n">
        <v>44399</v>
      </c>
      <c r="H1204" s="94" t="n">
        <v>346.19</v>
      </c>
      <c r="I1204" s="95" t="n">
        <f aca="false">H1204/H1203-1</f>
        <v>0.0123698678207977</v>
      </c>
    </row>
    <row r="1205" customFormat="false" ht="18" hidden="false" customHeight="false" outlineLevel="0" collapsed="false">
      <c r="A1205" s="89" t="n">
        <v>44467</v>
      </c>
      <c r="B1205" s="90" t="n">
        <v>95.39</v>
      </c>
      <c r="C1205" s="91" t="n">
        <f aca="false">B1205/B1204-1</f>
        <v>0.00168014281213891</v>
      </c>
      <c r="E1205" s="93"/>
      <c r="F1205" s="94"/>
      <c r="G1205" s="93" t="n">
        <v>44400</v>
      </c>
      <c r="H1205" s="94" t="n">
        <v>346.65</v>
      </c>
      <c r="I1205" s="95" t="n">
        <f aca="false">H1205/H1204-1</f>
        <v>0.0013287501083219</v>
      </c>
    </row>
    <row r="1206" customFormat="false" ht="18" hidden="false" customHeight="false" outlineLevel="0" collapsed="false">
      <c r="A1206" s="89" t="n">
        <v>44468</v>
      </c>
      <c r="B1206" s="90" t="n">
        <v>95.19</v>
      </c>
      <c r="C1206" s="91" t="n">
        <f aca="false">B1206/B1205-1</f>
        <v>-0.00209665583394492</v>
      </c>
      <c r="E1206" s="93"/>
      <c r="F1206" s="94"/>
      <c r="G1206" s="93" t="n">
        <v>44401</v>
      </c>
      <c r="H1206" s="94" t="n">
        <v>343.93</v>
      </c>
      <c r="I1206" s="95" t="n">
        <f aca="false">H1206/H1205-1</f>
        <v>-0.00784653108322508</v>
      </c>
    </row>
    <row r="1207" customFormat="false" ht="18" hidden="false" customHeight="false" outlineLevel="0" collapsed="false">
      <c r="A1207" s="89" t="n">
        <v>44469</v>
      </c>
      <c r="B1207" s="90" t="n">
        <v>95.12</v>
      </c>
      <c r="C1207" s="91" t="n">
        <f aca="false">B1207/B1206-1</f>
        <v>-0.000735371362537984</v>
      </c>
      <c r="E1207" s="93"/>
      <c r="F1207" s="94"/>
      <c r="G1207" s="93" t="n">
        <v>44404</v>
      </c>
      <c r="H1207" s="94" t="n">
        <v>342.88</v>
      </c>
      <c r="I1207" s="95" t="n">
        <f aca="false">H1207/H1206-1</f>
        <v>-0.003052946820574</v>
      </c>
    </row>
    <row r="1208" customFormat="false" ht="18" hidden="false" customHeight="false" outlineLevel="0" collapsed="false">
      <c r="A1208" s="89" t="n">
        <v>44470</v>
      </c>
      <c r="B1208" s="90" t="n">
        <v>95.17</v>
      </c>
      <c r="C1208" s="91" t="n">
        <f aca="false">B1208/B1207-1</f>
        <v>0.000525651808242156</v>
      </c>
      <c r="E1208" s="93"/>
      <c r="F1208" s="94"/>
      <c r="G1208" s="93" t="n">
        <v>44405</v>
      </c>
      <c r="H1208" s="94" t="n">
        <v>342.29</v>
      </c>
      <c r="I1208" s="95" t="n">
        <f aca="false">H1208/H1207-1</f>
        <v>-0.00172071861875867</v>
      </c>
    </row>
    <row r="1209" customFormat="false" ht="18" hidden="false" customHeight="false" outlineLevel="0" collapsed="false">
      <c r="A1209" s="89" t="n">
        <v>44471</v>
      </c>
      <c r="B1209" s="90" t="n">
        <v>95.21</v>
      </c>
      <c r="C1209" s="91" t="n">
        <f aca="false">B1209/B1208-1</f>
        <v>0.000420300514867966</v>
      </c>
      <c r="E1209" s="93"/>
      <c r="F1209" s="94"/>
      <c r="G1209" s="93" t="n">
        <v>44406</v>
      </c>
      <c r="H1209" s="94" t="n">
        <v>341.55</v>
      </c>
      <c r="I1209" s="95" t="n">
        <f aca="false">H1209/H1208-1</f>
        <v>-0.00216190949195127</v>
      </c>
    </row>
    <row r="1210" customFormat="false" ht="18" hidden="false" customHeight="false" outlineLevel="0" collapsed="false">
      <c r="A1210" s="89" t="n">
        <v>44474</v>
      </c>
      <c r="B1210" s="90" t="n">
        <v>95.09</v>
      </c>
      <c r="C1210" s="91" t="n">
        <f aca="false">B1210/B1209-1</f>
        <v>-0.00126037180968375</v>
      </c>
      <c r="E1210" s="93"/>
      <c r="F1210" s="94"/>
      <c r="G1210" s="93" t="n">
        <v>44407</v>
      </c>
      <c r="H1210" s="94" t="n">
        <v>338.87</v>
      </c>
      <c r="I1210" s="95" t="n">
        <f aca="false">H1210/H1209-1</f>
        <v>-0.00784658175962527</v>
      </c>
    </row>
    <row r="1211" customFormat="false" ht="18" hidden="false" customHeight="false" outlineLevel="0" collapsed="false">
      <c r="A1211" s="89" t="n">
        <v>44475</v>
      </c>
      <c r="B1211" s="90" t="n">
        <v>95.05</v>
      </c>
      <c r="C1211" s="91" t="n">
        <f aca="false">B1211/B1210-1</f>
        <v>-0.000420654117152197</v>
      </c>
      <c r="E1211" s="93"/>
      <c r="F1211" s="94"/>
      <c r="G1211" s="93" t="n">
        <v>44408</v>
      </c>
      <c r="H1211" s="94" t="n">
        <v>335.99</v>
      </c>
      <c r="I1211" s="95" t="n">
        <f aca="false">H1211/H1210-1</f>
        <v>-0.00849883436125942</v>
      </c>
    </row>
    <row r="1212" customFormat="false" ht="18" hidden="false" customHeight="false" outlineLevel="0" collapsed="false">
      <c r="A1212" s="89" t="n">
        <v>44476</v>
      </c>
      <c r="B1212" s="90" t="n">
        <v>95.1</v>
      </c>
      <c r="C1212" s="91" t="n">
        <f aca="false">B1212/B1211-1</f>
        <v>0.000526038926880634</v>
      </c>
      <c r="E1212" s="93"/>
      <c r="F1212" s="94"/>
      <c r="G1212" s="93" t="n">
        <v>44411</v>
      </c>
      <c r="H1212" s="94" t="n">
        <v>338.36</v>
      </c>
      <c r="I1212" s="95" t="n">
        <f aca="false">H1212/H1211-1</f>
        <v>0.00705378136254065</v>
      </c>
    </row>
    <row r="1213" customFormat="false" ht="18" hidden="false" customHeight="false" outlineLevel="0" collapsed="false">
      <c r="A1213" s="89" t="n">
        <v>44477</v>
      </c>
      <c r="B1213" s="90" t="n">
        <v>95.05</v>
      </c>
      <c r="C1213" s="91" t="n">
        <f aca="false">B1213/B1212-1</f>
        <v>-0.000525762355415349</v>
      </c>
      <c r="E1213" s="93"/>
      <c r="F1213" s="94"/>
      <c r="G1213" s="93" t="n">
        <v>44412</v>
      </c>
      <c r="H1213" s="94" t="n">
        <v>340.49</v>
      </c>
      <c r="I1213" s="95" t="n">
        <f aca="false">H1213/H1212-1</f>
        <v>0.00629507033928367</v>
      </c>
    </row>
    <row r="1214" customFormat="false" ht="18" hidden="false" customHeight="false" outlineLevel="0" collapsed="false">
      <c r="A1214" s="89" t="n">
        <v>44478</v>
      </c>
      <c r="B1214" s="90" t="n">
        <v>94.63</v>
      </c>
      <c r="C1214" s="91" t="n">
        <f aca="false">B1214/B1213-1</f>
        <v>-0.00441872698579693</v>
      </c>
      <c r="E1214" s="93"/>
      <c r="F1214" s="94"/>
      <c r="G1214" s="93" t="n">
        <v>44413</v>
      </c>
      <c r="H1214" s="94" t="n">
        <v>340.28</v>
      </c>
      <c r="I1214" s="95" t="n">
        <f aca="false">H1214/H1213-1</f>
        <v>-0.000616758201415713</v>
      </c>
    </row>
    <row r="1215" customFormat="false" ht="18" hidden="false" customHeight="false" outlineLevel="0" collapsed="false">
      <c r="A1215" s="89" t="n">
        <v>44481</v>
      </c>
      <c r="B1215" s="90" t="n">
        <v>95.28</v>
      </c>
      <c r="C1215" s="91" t="n">
        <f aca="false">B1215/B1214-1</f>
        <v>0.00686885765613443</v>
      </c>
      <c r="E1215" s="93"/>
      <c r="F1215" s="94"/>
      <c r="G1215" s="93" t="n">
        <v>44414</v>
      </c>
      <c r="H1215" s="94" t="n">
        <v>343.87</v>
      </c>
      <c r="I1215" s="95" t="n">
        <f aca="false">H1215/H1214-1</f>
        <v>0.0105501351827908</v>
      </c>
    </row>
    <row r="1216" customFormat="false" ht="18" hidden="false" customHeight="false" outlineLevel="0" collapsed="false">
      <c r="A1216" s="89" t="n">
        <v>44482</v>
      </c>
      <c r="B1216" s="90" t="n">
        <v>95.24</v>
      </c>
      <c r="C1216" s="91" t="n">
        <f aca="false">B1216/B1215-1</f>
        <v>-0.000419815281276326</v>
      </c>
      <c r="E1216" s="93"/>
      <c r="F1216" s="94"/>
      <c r="G1216" s="93" t="n">
        <v>44415</v>
      </c>
      <c r="H1216" s="94" t="n">
        <v>342.46</v>
      </c>
      <c r="I1216" s="95" t="n">
        <f aca="false">H1216/H1215-1</f>
        <v>-0.00410038677407165</v>
      </c>
    </row>
    <row r="1217" customFormat="false" ht="18" hidden="false" customHeight="false" outlineLevel="0" collapsed="false">
      <c r="A1217" s="89" t="n">
        <v>44483</v>
      </c>
      <c r="B1217" s="90" t="n">
        <v>95.57</v>
      </c>
      <c r="C1217" s="91" t="n">
        <f aca="false">B1217/B1216-1</f>
        <v>0.00346493070138587</v>
      </c>
      <c r="E1217" s="93"/>
      <c r="F1217" s="94"/>
      <c r="G1217" s="93" t="n">
        <v>44418</v>
      </c>
      <c r="H1217" s="94" t="n">
        <v>343.1</v>
      </c>
      <c r="I1217" s="95" t="n">
        <f aca="false">H1217/H1216-1</f>
        <v>0.00186883139636751</v>
      </c>
    </row>
    <row r="1218" customFormat="false" ht="18" hidden="false" customHeight="false" outlineLevel="0" collapsed="false">
      <c r="A1218" s="89" t="n">
        <v>44484</v>
      </c>
      <c r="B1218" s="90" t="n">
        <v>95.71</v>
      </c>
      <c r="C1218" s="91" t="n">
        <f aca="false">B1218/B1217-1</f>
        <v>0.00146489484147749</v>
      </c>
      <c r="E1218" s="93"/>
      <c r="F1218" s="94"/>
      <c r="G1218" s="93" t="n">
        <v>44419</v>
      </c>
      <c r="H1218" s="94" t="n">
        <v>343.84</v>
      </c>
      <c r="I1218" s="95" t="n">
        <f aca="false">H1218/H1217-1</f>
        <v>0.00215680559603593</v>
      </c>
    </row>
    <row r="1219" customFormat="false" ht="18" hidden="false" customHeight="false" outlineLevel="0" collapsed="false">
      <c r="A1219" s="89" t="n">
        <v>44485</v>
      </c>
      <c r="B1219" s="90" t="n">
        <v>95.74</v>
      </c>
      <c r="C1219" s="91" t="n">
        <f aca="false">B1219/B1218-1</f>
        <v>0.000313446870755518</v>
      </c>
      <c r="E1219" s="93"/>
      <c r="F1219" s="94"/>
      <c r="G1219" s="93" t="n">
        <v>44420</v>
      </c>
      <c r="H1219" s="94" t="n">
        <v>348.48</v>
      </c>
      <c r="I1219" s="95" t="n">
        <f aca="false">H1219/H1218-1</f>
        <v>0.0134946486738019</v>
      </c>
    </row>
    <row r="1220" customFormat="false" ht="18" hidden="false" customHeight="false" outlineLevel="0" collapsed="false">
      <c r="A1220" s="89" t="n">
        <v>44488</v>
      </c>
      <c r="B1220" s="90" t="n">
        <v>96.16</v>
      </c>
      <c r="C1220" s="91" t="n">
        <f aca="false">B1220/B1219-1</f>
        <v>0.00438688113641117</v>
      </c>
      <c r="E1220" s="93"/>
      <c r="F1220" s="94"/>
      <c r="G1220" s="93" t="n">
        <v>44421</v>
      </c>
      <c r="H1220" s="94" t="n">
        <v>347.2</v>
      </c>
      <c r="I1220" s="95" t="n">
        <f aca="false">H1220/H1219-1</f>
        <v>-0.00367309458218557</v>
      </c>
    </row>
    <row r="1221" customFormat="false" ht="18" hidden="false" customHeight="false" outlineLevel="0" collapsed="false">
      <c r="A1221" s="89" t="n">
        <v>44489</v>
      </c>
      <c r="B1221" s="90" t="n">
        <v>96.28</v>
      </c>
      <c r="C1221" s="91" t="n">
        <f aca="false">B1221/B1220-1</f>
        <v>0.00124792013311148</v>
      </c>
      <c r="E1221" s="93"/>
      <c r="F1221" s="94"/>
      <c r="G1221" s="93" t="n">
        <v>44422</v>
      </c>
      <c r="H1221" s="94" t="n">
        <v>347.79</v>
      </c>
      <c r="I1221" s="95" t="n">
        <f aca="false">H1221/H1220-1</f>
        <v>0.00169930875576041</v>
      </c>
    </row>
    <row r="1222" customFormat="false" ht="18" hidden="false" customHeight="false" outlineLevel="0" collapsed="false">
      <c r="A1222" s="89" t="n">
        <v>44490</v>
      </c>
      <c r="B1222" s="90" t="n">
        <v>96.08</v>
      </c>
      <c r="C1222" s="91" t="n">
        <f aca="false">B1222/B1221-1</f>
        <v>-0.00207727461570417</v>
      </c>
      <c r="E1222" s="93"/>
      <c r="F1222" s="94"/>
      <c r="G1222" s="93" t="n">
        <v>44425</v>
      </c>
      <c r="H1222" s="94" t="n">
        <v>349.38</v>
      </c>
      <c r="I1222" s="95" t="n">
        <f aca="false">H1222/H1221-1</f>
        <v>0.00457172431639785</v>
      </c>
    </row>
    <row r="1223" customFormat="false" ht="18" hidden="false" customHeight="false" outlineLevel="0" collapsed="false">
      <c r="A1223" s="89" t="n">
        <v>44491</v>
      </c>
      <c r="B1223" s="90" t="n">
        <v>96.01</v>
      </c>
      <c r="C1223" s="91" t="n">
        <f aca="false">B1223/B1222-1</f>
        <v>-0.000728559533721862</v>
      </c>
      <c r="E1223" s="93"/>
      <c r="F1223" s="94"/>
      <c r="G1223" s="93" t="n">
        <v>44426</v>
      </c>
      <c r="H1223" s="94" t="n">
        <v>349.18</v>
      </c>
      <c r="I1223" s="95" t="n">
        <f aca="false">H1223/H1222-1</f>
        <v>-0.00057244261262801</v>
      </c>
    </row>
    <row r="1224" customFormat="false" ht="18" hidden="false" customHeight="false" outlineLevel="0" collapsed="false">
      <c r="A1224" s="89" t="n">
        <v>44492</v>
      </c>
      <c r="B1224" s="90" t="n">
        <v>96.29</v>
      </c>
      <c r="C1224" s="91" t="n">
        <f aca="false">B1224/B1223-1</f>
        <v>0.00291636287886687</v>
      </c>
      <c r="E1224" s="93"/>
      <c r="F1224" s="94"/>
      <c r="G1224" s="93" t="n">
        <v>44427</v>
      </c>
      <c r="H1224" s="94" t="n">
        <v>346.7</v>
      </c>
      <c r="I1224" s="95" t="n">
        <f aca="false">H1224/H1223-1</f>
        <v>-0.00710235408671756</v>
      </c>
    </row>
    <row r="1225" customFormat="false" ht="18" hidden="false" customHeight="false" outlineLevel="0" collapsed="false">
      <c r="A1225" s="89" t="n">
        <v>44495</v>
      </c>
      <c r="B1225" s="90" t="n">
        <v>97.03</v>
      </c>
      <c r="C1225" s="91" t="n">
        <f aca="false">B1225/B1224-1</f>
        <v>0.00768511787309167</v>
      </c>
      <c r="E1225" s="93"/>
      <c r="F1225" s="94"/>
      <c r="G1225" s="93" t="n">
        <v>44428</v>
      </c>
      <c r="H1225" s="94" t="n">
        <v>347.3</v>
      </c>
      <c r="I1225" s="95" t="n">
        <f aca="false">H1225/H1224-1</f>
        <v>0.00173060282665127</v>
      </c>
    </row>
    <row r="1226" customFormat="false" ht="18" hidden="false" customHeight="false" outlineLevel="0" collapsed="false">
      <c r="A1226" s="89" t="n">
        <v>44496</v>
      </c>
      <c r="B1226" s="90" t="n">
        <v>97.03</v>
      </c>
      <c r="C1226" s="91" t="n">
        <f aca="false">B1226/B1225-1</f>
        <v>0</v>
      </c>
      <c r="E1226" s="93"/>
      <c r="F1226" s="94"/>
      <c r="G1226" s="93" t="n">
        <v>44429</v>
      </c>
      <c r="H1226" s="94" t="n">
        <v>348.26</v>
      </c>
      <c r="I1226" s="95" t="n">
        <f aca="false">H1226/H1225-1</f>
        <v>0.0027641808234955</v>
      </c>
    </row>
    <row r="1227" customFormat="false" ht="18" hidden="false" customHeight="false" outlineLevel="0" collapsed="false">
      <c r="A1227" s="89" t="n">
        <v>44497</v>
      </c>
      <c r="B1227" s="90" t="n">
        <v>96.6</v>
      </c>
      <c r="C1227" s="91" t="n">
        <f aca="false">B1227/B1226-1</f>
        <v>-0.00443161908688039</v>
      </c>
      <c r="E1227" s="93"/>
      <c r="F1227" s="94"/>
      <c r="G1227" s="93" t="n">
        <v>44432</v>
      </c>
      <c r="H1227" s="94" t="n">
        <v>352.98</v>
      </c>
      <c r="I1227" s="95" t="n">
        <f aca="false">H1227/H1226-1</f>
        <v>0.013553092517085</v>
      </c>
    </row>
    <row r="1228" customFormat="false" ht="18" hidden="false" customHeight="false" outlineLevel="0" collapsed="false">
      <c r="A1228" s="89" t="n">
        <v>44498</v>
      </c>
      <c r="B1228" s="90" t="n">
        <v>96.49</v>
      </c>
      <c r="C1228" s="91" t="n">
        <f aca="false">B1228/B1227-1</f>
        <v>-0.00113871635610763</v>
      </c>
      <c r="E1228" s="93"/>
      <c r="F1228" s="94"/>
      <c r="G1228" s="93" t="n">
        <v>44433</v>
      </c>
      <c r="H1228" s="94" t="n">
        <v>350.5</v>
      </c>
      <c r="I1228" s="95" t="n">
        <f aca="false">H1228/H1227-1</f>
        <v>-0.00702589381834673</v>
      </c>
    </row>
    <row r="1229" customFormat="false" ht="18" hidden="false" customHeight="false" outlineLevel="0" collapsed="false">
      <c r="A1229" s="89" t="n">
        <v>44499</v>
      </c>
      <c r="B1229" s="90" t="n">
        <v>96.67</v>
      </c>
      <c r="C1229" s="91" t="n">
        <f aca="false">B1229/B1228-1</f>
        <v>0.00186547828790551</v>
      </c>
      <c r="E1229" s="93"/>
      <c r="F1229" s="94"/>
      <c r="G1229" s="93" t="n">
        <v>44434</v>
      </c>
      <c r="H1229" s="94" t="n">
        <v>348.94</v>
      </c>
      <c r="I1229" s="95" t="n">
        <f aca="false">H1229/H1228-1</f>
        <v>-0.00445078459343795</v>
      </c>
    </row>
    <row r="1230" customFormat="false" ht="18" hidden="false" customHeight="false" outlineLevel="0" collapsed="false">
      <c r="A1230" s="89" t="n">
        <v>44502</v>
      </c>
      <c r="B1230" s="90" t="n">
        <v>95.97</v>
      </c>
      <c r="C1230" s="91" t="n">
        <f aca="false">B1230/B1229-1</f>
        <v>-0.00724112961622014</v>
      </c>
      <c r="E1230" s="93"/>
      <c r="F1230" s="94"/>
      <c r="G1230" s="93" t="n">
        <v>44435</v>
      </c>
      <c r="H1230" s="94" t="n">
        <v>347.04</v>
      </c>
      <c r="I1230" s="95" t="n">
        <f aca="false">H1230/H1229-1</f>
        <v>-0.00544506218834173</v>
      </c>
    </row>
    <row r="1231" customFormat="false" ht="18" hidden="false" customHeight="false" outlineLevel="0" collapsed="false">
      <c r="A1231" s="89" t="n">
        <v>44503</v>
      </c>
      <c r="B1231" s="90" t="n">
        <v>95.86</v>
      </c>
      <c r="C1231" s="91" t="n">
        <f aca="false">B1231/B1230-1</f>
        <v>-0.00114619151818274</v>
      </c>
      <c r="E1231" s="93"/>
      <c r="F1231" s="94"/>
      <c r="G1231" s="93" t="n">
        <v>44436</v>
      </c>
      <c r="H1231" s="94" t="n">
        <v>346.49</v>
      </c>
      <c r="I1231" s="95" t="n">
        <f aca="false">H1231/H1230-1</f>
        <v>-0.00158483171968649</v>
      </c>
    </row>
    <row r="1232" customFormat="false" ht="18" hidden="false" customHeight="false" outlineLevel="0" collapsed="false">
      <c r="A1232" s="89" t="n">
        <v>44504</v>
      </c>
      <c r="B1232" s="90" t="n">
        <v>95.65</v>
      </c>
      <c r="C1232" s="91" t="n">
        <f aca="false">B1232/B1231-1</f>
        <v>-0.00219069476319622</v>
      </c>
      <c r="E1232" s="93"/>
      <c r="F1232" s="94"/>
      <c r="G1232" s="93" t="n">
        <v>44439</v>
      </c>
      <c r="H1232" s="94" t="n">
        <v>348.88</v>
      </c>
      <c r="I1232" s="95" t="n">
        <f aca="false">H1232/H1231-1</f>
        <v>0.00689774596669457</v>
      </c>
    </row>
    <row r="1233" customFormat="false" ht="18" hidden="false" customHeight="false" outlineLevel="0" collapsed="false">
      <c r="A1233" s="89" t="n">
        <v>44505</v>
      </c>
      <c r="B1233" s="90" t="n">
        <v>95.97</v>
      </c>
      <c r="C1233" s="91" t="n">
        <f aca="false">B1233/B1232-1</f>
        <v>0.00334553058024034</v>
      </c>
      <c r="E1233" s="93"/>
      <c r="F1233" s="94"/>
      <c r="G1233" s="93" t="n">
        <v>44440</v>
      </c>
      <c r="H1233" s="94" t="n">
        <v>347.55</v>
      </c>
      <c r="I1233" s="95" t="n">
        <f aca="false">H1233/H1232-1</f>
        <v>-0.0038121990369181</v>
      </c>
    </row>
    <row r="1234" customFormat="false" ht="18" hidden="false" customHeight="false" outlineLevel="0" collapsed="false">
      <c r="A1234" s="89" t="n">
        <v>44506</v>
      </c>
      <c r="B1234" s="90" t="n">
        <v>96.02</v>
      </c>
      <c r="C1234" s="91" t="n">
        <f aca="false">B1234/B1233-1</f>
        <v>0.000520996144628416</v>
      </c>
      <c r="E1234" s="93"/>
      <c r="F1234" s="94"/>
      <c r="G1234" s="93" t="n">
        <v>44441</v>
      </c>
      <c r="H1234" s="94" t="n">
        <v>347.88</v>
      </c>
      <c r="I1234" s="95" t="n">
        <f aca="false">H1234/H1233-1</f>
        <v>0.000949503668536966</v>
      </c>
    </row>
    <row r="1235" customFormat="false" ht="18" hidden="false" customHeight="false" outlineLevel="0" collapsed="false">
      <c r="A1235" s="89" t="n">
        <v>44509</v>
      </c>
      <c r="B1235" s="90" t="n">
        <v>96.24</v>
      </c>
      <c r="C1235" s="91" t="n">
        <f aca="false">B1235/B1234-1</f>
        <v>0.00229118933555505</v>
      </c>
      <c r="E1235" s="93"/>
      <c r="F1235" s="94"/>
      <c r="G1235" s="93" t="n">
        <v>44442</v>
      </c>
      <c r="H1235" s="94" t="n">
        <v>346.05</v>
      </c>
      <c r="I1235" s="95" t="n">
        <f aca="false">H1235/H1234-1</f>
        <v>-0.00526043463263193</v>
      </c>
    </row>
    <row r="1236" customFormat="false" ht="18" hidden="false" customHeight="false" outlineLevel="0" collapsed="false">
      <c r="A1236" s="89" t="n">
        <v>44510</v>
      </c>
      <c r="B1236" s="90" t="n">
        <v>96.46</v>
      </c>
      <c r="C1236" s="91" t="n">
        <f aca="false">B1236/B1235-1</f>
        <v>0.0022859517871987</v>
      </c>
      <c r="E1236" s="93"/>
      <c r="F1236" s="94"/>
      <c r="G1236" s="93" t="n">
        <v>44443</v>
      </c>
      <c r="H1236" s="94" t="n">
        <v>350.41</v>
      </c>
      <c r="I1236" s="95" t="n">
        <f aca="false">H1236/H1235-1</f>
        <v>0.0125993353561624</v>
      </c>
    </row>
    <row r="1237" customFormat="false" ht="18" hidden="false" customHeight="false" outlineLevel="0" collapsed="false">
      <c r="A1237" s="89" t="n">
        <v>44511</v>
      </c>
      <c r="B1237" s="90" t="n">
        <v>96.5</v>
      </c>
      <c r="C1237" s="91" t="n">
        <f aca="false">B1237/B1236-1</f>
        <v>0.000414679659962669</v>
      </c>
      <c r="E1237" s="93"/>
      <c r="F1237" s="94"/>
      <c r="G1237" s="93" t="n">
        <v>44446</v>
      </c>
      <c r="H1237" s="94" t="n">
        <v>352.03</v>
      </c>
      <c r="I1237" s="95" t="n">
        <f aca="false">H1237/H1236-1</f>
        <v>0.00462315573185679</v>
      </c>
    </row>
    <row r="1238" customFormat="false" ht="18" hidden="false" customHeight="false" outlineLevel="0" collapsed="false">
      <c r="A1238" s="89" t="n">
        <v>44512</v>
      </c>
      <c r="B1238" s="90" t="n">
        <v>96.03</v>
      </c>
      <c r="C1238" s="91" t="n">
        <f aca="false">B1238/B1237-1</f>
        <v>-0.00487046632124355</v>
      </c>
      <c r="E1238" s="93"/>
      <c r="F1238" s="94"/>
      <c r="G1238" s="93" t="n">
        <v>44447</v>
      </c>
      <c r="H1238" s="94" t="n">
        <v>354.69</v>
      </c>
      <c r="I1238" s="95" t="n">
        <f aca="false">H1238/H1237-1</f>
        <v>0.00755617418969989</v>
      </c>
    </row>
    <row r="1239" customFormat="false" ht="18" hidden="false" customHeight="false" outlineLevel="0" collapsed="false">
      <c r="A1239" s="89" t="n">
        <v>44513</v>
      </c>
      <c r="B1239" s="90" t="n">
        <v>95.97</v>
      </c>
      <c r="C1239" s="91" t="n">
        <f aca="false">B1239/B1238-1</f>
        <v>-0.000624804748516117</v>
      </c>
      <c r="E1239" s="93"/>
      <c r="F1239" s="94"/>
      <c r="G1239" s="93" t="n">
        <v>44448</v>
      </c>
      <c r="H1239" s="94" t="n">
        <v>357.03</v>
      </c>
      <c r="I1239" s="95" t="n">
        <f aca="false">H1239/H1238-1</f>
        <v>0.00659731032732802</v>
      </c>
    </row>
    <row r="1240" customFormat="false" ht="18" hidden="false" customHeight="false" outlineLevel="0" collapsed="false">
      <c r="A1240" s="89" t="n">
        <v>44516</v>
      </c>
      <c r="B1240" s="90" t="n">
        <v>95.99</v>
      </c>
      <c r="C1240" s="91" t="n">
        <f aca="false">B1240/B1239-1</f>
        <v>0.000208398457851366</v>
      </c>
      <c r="E1240" s="93"/>
      <c r="F1240" s="94"/>
      <c r="G1240" s="93" t="n">
        <v>44449</v>
      </c>
      <c r="H1240" s="94" t="n">
        <v>357.66</v>
      </c>
      <c r="I1240" s="95" t="n">
        <f aca="false">H1240/H1239-1</f>
        <v>0.00176455760020189</v>
      </c>
    </row>
    <row r="1241" customFormat="false" ht="18" hidden="false" customHeight="false" outlineLevel="0" collapsed="false">
      <c r="A1241" s="89" t="n">
        <v>44517</v>
      </c>
      <c r="B1241" s="90" t="n">
        <v>95.96</v>
      </c>
      <c r="C1241" s="91" t="n">
        <f aca="false">B1241/B1240-1</f>
        <v>-0.000312532555474587</v>
      </c>
      <c r="E1241" s="93"/>
      <c r="F1241" s="94"/>
      <c r="G1241" s="93" t="n">
        <v>44450</v>
      </c>
      <c r="H1241" s="94" t="n">
        <v>360.76</v>
      </c>
      <c r="I1241" s="95" t="n">
        <f aca="false">H1241/H1240-1</f>
        <v>0.00866744953307608</v>
      </c>
    </row>
    <row r="1242" customFormat="false" ht="18" hidden="false" customHeight="false" outlineLevel="0" collapsed="false">
      <c r="A1242" s="89" t="n">
        <v>44518</v>
      </c>
      <c r="B1242" s="90" t="n">
        <v>96.12</v>
      </c>
      <c r="C1242" s="91" t="n">
        <f aca="false">B1242/B1241-1</f>
        <v>0.00166736140058377</v>
      </c>
      <c r="E1242" s="93"/>
      <c r="F1242" s="94"/>
      <c r="G1242" s="93" t="n">
        <v>44453</v>
      </c>
      <c r="H1242" s="94" t="n">
        <v>361.51</v>
      </c>
      <c r="I1242" s="95" t="n">
        <f aca="false">H1242/H1241-1</f>
        <v>0.00207894445060419</v>
      </c>
    </row>
    <row r="1243" customFormat="false" ht="18" hidden="false" customHeight="false" outlineLevel="0" collapsed="false">
      <c r="A1243" s="89" t="n">
        <v>44519</v>
      </c>
      <c r="B1243" s="90" t="n">
        <v>95.89</v>
      </c>
      <c r="C1243" s="91" t="n">
        <f aca="false">B1243/B1242-1</f>
        <v>-0.00239284228048275</v>
      </c>
      <c r="E1243" s="93"/>
      <c r="F1243" s="94"/>
      <c r="G1243" s="93" t="n">
        <v>44454</v>
      </c>
      <c r="H1243" s="94" t="n">
        <v>363.77</v>
      </c>
      <c r="I1243" s="95" t="n">
        <f aca="false">H1243/H1242-1</f>
        <v>0.00625155597355542</v>
      </c>
    </row>
    <row r="1244" customFormat="false" ht="18" hidden="false" customHeight="false" outlineLevel="0" collapsed="false">
      <c r="A1244" s="89" t="n">
        <v>44520</v>
      </c>
      <c r="B1244" s="90" t="n">
        <v>96.15</v>
      </c>
      <c r="C1244" s="91" t="n">
        <f aca="false">B1244/B1243-1</f>
        <v>0.00271144019188663</v>
      </c>
      <c r="E1244" s="93"/>
      <c r="F1244" s="94"/>
      <c r="G1244" s="93" t="n">
        <v>44455</v>
      </c>
      <c r="H1244" s="94" t="n">
        <v>366.53</v>
      </c>
      <c r="I1244" s="95" t="n">
        <f aca="false">H1244/H1243-1</f>
        <v>0.00758721169970023</v>
      </c>
    </row>
    <row r="1245" customFormat="false" ht="18" hidden="false" customHeight="false" outlineLevel="0" collapsed="false">
      <c r="A1245" s="89" t="n">
        <v>44523</v>
      </c>
      <c r="B1245" s="90" t="n">
        <v>96.35</v>
      </c>
      <c r="C1245" s="91" t="n">
        <f aca="false">B1245/B1244-1</f>
        <v>0.00208008320332809</v>
      </c>
      <c r="E1245" s="93"/>
      <c r="F1245" s="94"/>
      <c r="G1245" s="93" t="n">
        <v>44456</v>
      </c>
      <c r="H1245" s="94" t="n">
        <v>365.54</v>
      </c>
      <c r="I1245" s="95" t="n">
        <f aca="false">H1245/H1244-1</f>
        <v>-0.0027010067388753</v>
      </c>
    </row>
    <row r="1246" customFormat="false" ht="18" hidden="false" customHeight="false" outlineLevel="0" collapsed="false">
      <c r="A1246" s="89" t="n">
        <v>44524</v>
      </c>
      <c r="B1246" s="90" t="n">
        <v>96.6</v>
      </c>
      <c r="C1246" s="91" t="n">
        <f aca="false">B1246/B1245-1</f>
        <v>0.00259470679813178</v>
      </c>
      <c r="E1246" s="93"/>
      <c r="F1246" s="94"/>
      <c r="G1246" s="93" t="n">
        <v>44457</v>
      </c>
      <c r="H1246" s="94" t="n">
        <v>364.57</v>
      </c>
      <c r="I1246" s="95" t="n">
        <f aca="false">H1246/H1245-1</f>
        <v>-0.00265360836023421</v>
      </c>
    </row>
    <row r="1247" customFormat="false" ht="18" hidden="false" customHeight="false" outlineLevel="0" collapsed="false">
      <c r="A1247" s="89" t="n">
        <v>44525</v>
      </c>
      <c r="B1247" s="90" t="n">
        <v>96.7</v>
      </c>
      <c r="C1247" s="91" t="n">
        <f aca="false">B1247/B1246-1</f>
        <v>0.00103519668737073</v>
      </c>
      <c r="E1247" s="93"/>
      <c r="F1247" s="94"/>
      <c r="G1247" s="93" t="n">
        <v>44460</v>
      </c>
      <c r="H1247" s="94" t="n">
        <v>364.61</v>
      </c>
      <c r="I1247" s="95" t="n">
        <f aca="false">H1247/H1246-1</f>
        <v>0.000109718298269224</v>
      </c>
    </row>
    <row r="1248" customFormat="false" ht="18" hidden="false" customHeight="false" outlineLevel="0" collapsed="false">
      <c r="A1248" s="89" t="n">
        <v>44527</v>
      </c>
      <c r="B1248" s="90" t="n">
        <v>96.73</v>
      </c>
      <c r="C1248" s="91" t="n">
        <f aca="false">B1248/B1247-1</f>
        <v>0.000310237849017625</v>
      </c>
      <c r="E1248" s="93"/>
      <c r="F1248" s="94"/>
      <c r="G1248" s="93" t="n">
        <v>44461</v>
      </c>
      <c r="H1248" s="94" t="n">
        <v>364.54</v>
      </c>
      <c r="I1248" s="95" t="n">
        <f aca="false">H1248/H1247-1</f>
        <v>-0.000191985957598506</v>
      </c>
    </row>
    <row r="1249" customFormat="false" ht="18" hidden="false" customHeight="false" outlineLevel="0" collapsed="false">
      <c r="A1249" s="89" t="n">
        <v>44530</v>
      </c>
      <c r="B1249" s="90" t="n">
        <v>96.02</v>
      </c>
      <c r="C1249" s="91" t="n">
        <f aca="false">B1249/B1248-1</f>
        <v>-0.00734001860849798</v>
      </c>
      <c r="E1249" s="93"/>
      <c r="F1249" s="94"/>
      <c r="G1249" s="93" t="n">
        <v>44462</v>
      </c>
      <c r="H1249" s="94" t="n">
        <v>366.03</v>
      </c>
      <c r="I1249" s="95" t="n">
        <f aca="false">H1249/H1248-1</f>
        <v>0.00408734295276236</v>
      </c>
    </row>
    <row r="1250" customFormat="false" ht="18" hidden="false" customHeight="false" outlineLevel="0" collapsed="false">
      <c r="A1250" s="89" t="n">
        <v>44531</v>
      </c>
      <c r="B1250" s="90" t="n">
        <v>96.42</v>
      </c>
      <c r="C1250" s="91" t="n">
        <f aca="false">B1250/B1249-1</f>
        <v>0.00416579879191836</v>
      </c>
      <c r="E1250" s="93"/>
      <c r="F1250" s="94"/>
      <c r="G1250" s="93" t="n">
        <v>44463</v>
      </c>
      <c r="H1250" s="94" t="n">
        <v>363.71</v>
      </c>
      <c r="I1250" s="95" t="n">
        <f aca="false">H1250/H1249-1</f>
        <v>-0.00633827828320077</v>
      </c>
    </row>
    <row r="1251" customFormat="false" ht="18" hidden="false" customHeight="false" outlineLevel="0" collapsed="false">
      <c r="A1251" s="89" t="n">
        <v>44532</v>
      </c>
      <c r="B1251" s="90" t="n">
        <v>96.54</v>
      </c>
      <c r="C1251" s="91" t="n">
        <f aca="false">B1251/B1250-1</f>
        <v>0.00124455507156207</v>
      </c>
      <c r="E1251" s="93"/>
      <c r="F1251" s="94"/>
      <c r="G1251" s="93" t="n">
        <v>44464</v>
      </c>
      <c r="H1251" s="94" t="n">
        <v>359.51</v>
      </c>
      <c r="I1251" s="95" t="n">
        <f aca="false">H1251/H1250-1</f>
        <v>-0.0115476615985263</v>
      </c>
    </row>
    <row r="1252" customFormat="false" ht="18" hidden="false" customHeight="false" outlineLevel="0" collapsed="false">
      <c r="A1252" s="89" t="n">
        <v>44533</v>
      </c>
      <c r="B1252" s="90" t="n">
        <v>96.46</v>
      </c>
      <c r="C1252" s="91" t="n">
        <f aca="false">B1252/B1251-1</f>
        <v>-0.000828672053035162</v>
      </c>
      <c r="E1252" s="93"/>
      <c r="F1252" s="94"/>
      <c r="G1252" s="93" t="n">
        <v>44467</v>
      </c>
      <c r="H1252" s="94" t="n">
        <v>362.55</v>
      </c>
      <c r="I1252" s="95" t="n">
        <f aca="false">H1252/H1251-1</f>
        <v>0.0084559539373037</v>
      </c>
    </row>
    <row r="1253" customFormat="false" ht="18" hidden="false" customHeight="false" outlineLevel="0" collapsed="false">
      <c r="A1253" s="89" t="n">
        <v>44534</v>
      </c>
      <c r="B1253" s="90" t="n">
        <v>96.33</v>
      </c>
      <c r="C1253" s="91" t="n">
        <f aca="false">B1253/B1252-1</f>
        <v>-0.00134770889487867</v>
      </c>
      <c r="E1253" s="93"/>
      <c r="F1253" s="94"/>
      <c r="G1253" s="93" t="n">
        <v>44468</v>
      </c>
      <c r="H1253" s="94" t="n">
        <v>364.78</v>
      </c>
      <c r="I1253" s="95" t="n">
        <f aca="false">H1253/H1252-1</f>
        <v>0.00615087574127693</v>
      </c>
    </row>
    <row r="1254" customFormat="false" ht="18" hidden="false" customHeight="false" outlineLevel="0" collapsed="false">
      <c r="A1254" s="89" t="n">
        <v>44537</v>
      </c>
      <c r="B1254" s="90" t="n">
        <v>95.93</v>
      </c>
      <c r="C1254" s="91" t="n">
        <f aca="false">B1254/B1253-1</f>
        <v>-0.00415239281636037</v>
      </c>
      <c r="E1254" s="93"/>
      <c r="F1254" s="94"/>
      <c r="G1254" s="93" t="n">
        <v>44469</v>
      </c>
      <c r="H1254" s="94" t="n">
        <v>366.18</v>
      </c>
      <c r="I1254" s="95" t="n">
        <f aca="false">H1254/H1253-1</f>
        <v>0.0038379297110589</v>
      </c>
    </row>
    <row r="1255" customFormat="false" ht="18" hidden="false" customHeight="false" outlineLevel="0" collapsed="false">
      <c r="A1255" s="89" t="n">
        <v>44538</v>
      </c>
      <c r="B1255" s="90" t="n">
        <v>95.85</v>
      </c>
      <c r="C1255" s="91" t="n">
        <f aca="false">B1255/B1254-1</f>
        <v>-0.000833941415615658</v>
      </c>
      <c r="E1255" s="93"/>
      <c r="F1255" s="94"/>
      <c r="G1255" s="93" t="n">
        <v>44470</v>
      </c>
      <c r="H1255" s="94" t="n">
        <v>368.66</v>
      </c>
      <c r="I1255" s="95" t="n">
        <f aca="false">H1255/H1254-1</f>
        <v>0.00677262548473423</v>
      </c>
    </row>
    <row r="1256" customFormat="false" ht="18" hidden="false" customHeight="false" outlineLevel="0" collapsed="false">
      <c r="A1256" s="89" t="n">
        <v>44539</v>
      </c>
      <c r="B1256" s="90" t="n">
        <v>96.24</v>
      </c>
      <c r="C1256" s="91" t="n">
        <f aca="false">B1256/B1255-1</f>
        <v>0.00406885758998432</v>
      </c>
      <c r="E1256" s="93"/>
      <c r="F1256" s="94"/>
      <c r="G1256" s="93" t="n">
        <v>44471</v>
      </c>
      <c r="H1256" s="94" t="n">
        <v>370.29</v>
      </c>
      <c r="I1256" s="95" t="n">
        <f aca="false">H1256/H1255-1</f>
        <v>0.00442141810882646</v>
      </c>
    </row>
    <row r="1257" customFormat="false" ht="18" hidden="false" customHeight="false" outlineLevel="0" collapsed="false">
      <c r="A1257" s="89" t="n">
        <v>44540</v>
      </c>
      <c r="B1257" s="90" t="n">
        <v>96.31</v>
      </c>
      <c r="C1257" s="91" t="n">
        <f aca="false">B1257/B1256-1</f>
        <v>0.000727348295926911</v>
      </c>
      <c r="E1257" s="93"/>
      <c r="F1257" s="94"/>
      <c r="G1257" s="93" t="n">
        <v>44474</v>
      </c>
      <c r="H1257" s="94" t="n">
        <v>369.8</v>
      </c>
      <c r="I1257" s="95" t="n">
        <f aca="false">H1257/H1256-1</f>
        <v>-0.00132328715331231</v>
      </c>
    </row>
    <row r="1258" customFormat="false" ht="18" hidden="false" customHeight="false" outlineLevel="0" collapsed="false">
      <c r="A1258" s="89" t="n">
        <v>44541</v>
      </c>
      <c r="B1258" s="90" t="n">
        <v>96.26</v>
      </c>
      <c r="C1258" s="91" t="n">
        <f aca="false">B1258/B1257-1</f>
        <v>-0.000519156889211891</v>
      </c>
      <c r="E1258" s="93"/>
      <c r="F1258" s="94"/>
      <c r="G1258" s="93" t="n">
        <v>44475</v>
      </c>
      <c r="H1258" s="94" t="n">
        <v>370.48</v>
      </c>
      <c r="I1258" s="95" t="n">
        <f aca="false">H1258/H1257-1</f>
        <v>0.00183883180097344</v>
      </c>
    </row>
    <row r="1259" customFormat="false" ht="18" hidden="false" customHeight="false" outlineLevel="0" collapsed="false">
      <c r="A1259" s="89" t="n">
        <v>44544</v>
      </c>
      <c r="B1259" s="90" t="n">
        <v>96.39</v>
      </c>
      <c r="C1259" s="91" t="n">
        <f aca="false">B1259/B1258-1</f>
        <v>0.00135050903802192</v>
      </c>
      <c r="E1259" s="93"/>
      <c r="F1259" s="94"/>
      <c r="G1259" s="93" t="n">
        <v>44476</v>
      </c>
      <c r="H1259" s="94" t="n">
        <v>369.62</v>
      </c>
      <c r="I1259" s="95" t="n">
        <f aca="false">H1259/H1258-1</f>
        <v>-0.00232131289138415</v>
      </c>
    </row>
    <row r="1260" customFormat="false" ht="18" hidden="false" customHeight="false" outlineLevel="0" collapsed="false">
      <c r="A1260" s="89" t="n">
        <v>44545</v>
      </c>
      <c r="B1260" s="90" t="n">
        <v>96.65</v>
      </c>
      <c r="C1260" s="91" t="n">
        <f aca="false">B1260/B1259-1</f>
        <v>0.00269737524639502</v>
      </c>
      <c r="E1260" s="93"/>
      <c r="F1260" s="94"/>
      <c r="G1260" s="93" t="n">
        <v>44477</v>
      </c>
      <c r="H1260" s="94" t="n">
        <v>370.81</v>
      </c>
      <c r="I1260" s="95" t="n">
        <f aca="false">H1260/H1259-1</f>
        <v>0.00321952275309778</v>
      </c>
    </row>
    <row r="1261" customFormat="false" ht="18" hidden="false" customHeight="false" outlineLevel="0" collapsed="false">
      <c r="A1261" s="89" t="n">
        <v>44546</v>
      </c>
      <c r="B1261" s="90" t="n">
        <v>96.28</v>
      </c>
      <c r="C1261" s="91" t="n">
        <f aca="false">B1261/B1260-1</f>
        <v>-0.00382824624935341</v>
      </c>
      <c r="E1261" s="93"/>
      <c r="F1261" s="94"/>
      <c r="G1261" s="93" t="n">
        <v>44478</v>
      </c>
      <c r="H1261" s="94" t="n">
        <v>367.22</v>
      </c>
      <c r="I1261" s="95" t="n">
        <f aca="false">H1261/H1260-1</f>
        <v>-0.00968150804994461</v>
      </c>
    </row>
    <row r="1262" customFormat="false" ht="18" hidden="false" customHeight="false" outlineLevel="0" collapsed="false">
      <c r="A1262" s="89" t="n">
        <v>44547</v>
      </c>
      <c r="B1262" s="90" t="n">
        <v>96.7</v>
      </c>
      <c r="C1262" s="91" t="n">
        <f aca="false">B1262/B1261-1</f>
        <v>0.00436227669297873</v>
      </c>
      <c r="E1262" s="93"/>
      <c r="F1262" s="94"/>
      <c r="G1262" s="93" t="n">
        <v>44481</v>
      </c>
      <c r="H1262" s="94" t="n">
        <v>364.46</v>
      </c>
      <c r="I1262" s="95" t="n">
        <f aca="false">H1262/H1261-1</f>
        <v>-0.00751593050487465</v>
      </c>
    </row>
    <row r="1263" customFormat="false" ht="18" hidden="false" customHeight="false" outlineLevel="0" collapsed="false">
      <c r="A1263" s="89" t="n">
        <v>44548</v>
      </c>
      <c r="B1263" s="90" t="n">
        <v>96.27</v>
      </c>
      <c r="C1263" s="91" t="n">
        <f aca="false">B1263/B1262-1</f>
        <v>-0.00444674250258537</v>
      </c>
      <c r="E1263" s="93"/>
      <c r="F1263" s="94"/>
      <c r="G1263" s="93" t="n">
        <v>44482</v>
      </c>
      <c r="H1263" s="94" t="n">
        <v>360.36</v>
      </c>
      <c r="I1263" s="95" t="n">
        <f aca="false">H1263/H1262-1</f>
        <v>-0.0112495198375678</v>
      </c>
    </row>
    <row r="1264" customFormat="false" ht="18" hidden="false" customHeight="false" outlineLevel="0" collapsed="false">
      <c r="A1264" s="89" t="n">
        <v>44551</v>
      </c>
      <c r="B1264" s="90" t="n">
        <v>96.31</v>
      </c>
      <c r="C1264" s="91" t="n">
        <f aca="false">B1264/B1263-1</f>
        <v>0.00041549807832153</v>
      </c>
      <c r="E1264" s="93"/>
      <c r="F1264" s="94"/>
      <c r="G1264" s="93" t="n">
        <v>44483</v>
      </c>
      <c r="H1264" s="94" t="n">
        <v>366.8</v>
      </c>
      <c r="I1264" s="95" t="n">
        <f aca="false">H1264/H1263-1</f>
        <v>0.017871017871018</v>
      </c>
    </row>
    <row r="1265" customFormat="false" ht="18" hidden="false" customHeight="false" outlineLevel="0" collapsed="false">
      <c r="A1265" s="89" t="n">
        <v>44552</v>
      </c>
      <c r="B1265" s="90" t="n">
        <v>96.26</v>
      </c>
      <c r="C1265" s="91" t="n">
        <f aca="false">B1265/B1264-1</f>
        <v>-0.000519156889211891</v>
      </c>
      <c r="E1265" s="93"/>
      <c r="F1265" s="94"/>
      <c r="G1265" s="93" t="n">
        <v>44484</v>
      </c>
      <c r="H1265" s="94" t="n">
        <v>368.91</v>
      </c>
      <c r="I1265" s="95" t="n">
        <f aca="false">H1265/H1264-1</f>
        <v>0.00575245365321697</v>
      </c>
    </row>
    <row r="1266" customFormat="false" ht="18" hidden="false" customHeight="false" outlineLevel="0" collapsed="false">
      <c r="A1266" s="89" t="n">
        <v>44553</v>
      </c>
      <c r="B1266" s="90" t="n">
        <v>96.55</v>
      </c>
      <c r="C1266" s="91" t="n">
        <f aca="false">B1266/B1265-1</f>
        <v>0.00301267400789529</v>
      </c>
      <c r="E1266" s="93"/>
      <c r="F1266" s="94"/>
      <c r="G1266" s="93" t="n">
        <v>44485</v>
      </c>
      <c r="H1266" s="94" t="n">
        <v>363.53</v>
      </c>
      <c r="I1266" s="95" t="n">
        <f aca="false">H1266/H1265-1</f>
        <v>-0.0145835027513487</v>
      </c>
    </row>
    <row r="1267" customFormat="false" ht="18" hidden="false" customHeight="false" outlineLevel="0" collapsed="false">
      <c r="A1267" s="89" t="n">
        <v>44555</v>
      </c>
      <c r="B1267" s="90" t="n">
        <v>96.54</v>
      </c>
      <c r="C1267" s="91" t="n">
        <f aca="false">B1267/B1266-1</f>
        <v>-0.000103573278094182</v>
      </c>
      <c r="E1267" s="93"/>
      <c r="F1267" s="94"/>
      <c r="G1267" s="93" t="n">
        <v>44488</v>
      </c>
      <c r="H1267" s="94" t="n">
        <v>368.52</v>
      </c>
      <c r="I1267" s="95" t="n">
        <f aca="false">H1267/H1266-1</f>
        <v>0.0137265150056392</v>
      </c>
    </row>
    <row r="1268" customFormat="false" ht="18" hidden="false" customHeight="false" outlineLevel="0" collapsed="false">
      <c r="A1268" s="89" t="n">
        <v>44558</v>
      </c>
      <c r="B1268" s="90" t="n">
        <v>96.59</v>
      </c>
      <c r="C1268" s="91" t="n">
        <f aca="false">B1268/B1267-1</f>
        <v>0.000517920033146879</v>
      </c>
      <c r="E1268" s="93"/>
      <c r="F1268" s="94"/>
      <c r="G1268" s="93" t="n">
        <v>44489</v>
      </c>
      <c r="H1268" s="94" t="n">
        <v>369.35</v>
      </c>
      <c r="I1268" s="95" t="n">
        <f aca="false">H1268/H1267-1</f>
        <v>0.00225225225225234</v>
      </c>
    </row>
    <row r="1269" customFormat="false" ht="18" hidden="false" customHeight="false" outlineLevel="0" collapsed="false">
      <c r="A1269" s="89" t="n">
        <v>44559</v>
      </c>
      <c r="B1269" s="90" t="n">
        <v>96.47</v>
      </c>
      <c r="C1269" s="91" t="n">
        <f aca="false">B1269/B1268-1</f>
        <v>-0.00124236463402017</v>
      </c>
      <c r="E1269" s="93"/>
      <c r="F1269" s="94"/>
      <c r="G1269" s="93" t="n">
        <v>44490</v>
      </c>
      <c r="H1269" s="94" t="n">
        <v>367.94</v>
      </c>
      <c r="I1269" s="95" t="n">
        <f aca="false">H1269/H1268-1</f>
        <v>-0.00381751726005153</v>
      </c>
    </row>
    <row r="1270" customFormat="false" ht="18" hidden="false" customHeight="false" outlineLevel="0" collapsed="false">
      <c r="A1270" s="89" t="n">
        <v>44560</v>
      </c>
      <c r="B1270" s="90" t="n">
        <v>96.28</v>
      </c>
      <c r="C1270" s="91" t="n">
        <f aca="false">B1270/B1269-1</f>
        <v>-0.00196952420441587</v>
      </c>
      <c r="E1270" s="93"/>
      <c r="F1270" s="94"/>
      <c r="G1270" s="93" t="n">
        <v>44491</v>
      </c>
      <c r="H1270" s="94" t="n">
        <v>368.92</v>
      </c>
      <c r="I1270" s="95" t="n">
        <f aca="false">H1270/H1269-1</f>
        <v>0.002663477740936</v>
      </c>
    </row>
    <row r="1271" customFormat="false" ht="15.75" hidden="false" customHeight="false" outlineLevel="0" collapsed="false">
      <c r="E1271" s="93"/>
      <c r="F1271" s="94"/>
      <c r="G1271" s="93" t="n">
        <v>44492</v>
      </c>
      <c r="H1271" s="94" t="n">
        <v>370.04</v>
      </c>
      <c r="I1271" s="95" t="n">
        <f aca="false">H1271/H1270-1</f>
        <v>0.00303588853952075</v>
      </c>
    </row>
    <row r="1272" customFormat="false" ht="15.75" hidden="false" customHeight="false" outlineLevel="0" collapsed="false">
      <c r="E1272" s="93"/>
      <c r="F1272" s="94"/>
      <c r="G1272" s="93" t="n">
        <v>44495</v>
      </c>
      <c r="H1272" s="94" t="n">
        <v>373.91</v>
      </c>
      <c r="I1272" s="95" t="n">
        <f aca="false">H1272/H1271-1</f>
        <v>0.0104583288293159</v>
      </c>
    </row>
    <row r="1273" customFormat="false" ht="15.75" hidden="false" customHeight="false" outlineLevel="0" collapsed="false">
      <c r="E1273" s="93"/>
      <c r="F1273" s="94"/>
      <c r="G1273" s="93" t="n">
        <v>44496</v>
      </c>
      <c r="H1273" s="94" t="n">
        <v>373.25</v>
      </c>
      <c r="I1273" s="95" t="n">
        <f aca="false">H1273/H1272-1</f>
        <v>-0.00176513064641226</v>
      </c>
    </row>
    <row r="1274" customFormat="false" ht="15.75" hidden="false" customHeight="false" outlineLevel="0" collapsed="false">
      <c r="E1274" s="93"/>
      <c r="F1274" s="94"/>
      <c r="G1274" s="93" t="n">
        <v>44497</v>
      </c>
      <c r="H1274" s="94" t="n">
        <v>375.51</v>
      </c>
      <c r="I1274" s="95" t="n">
        <f aca="false">H1274/H1273-1</f>
        <v>0.006054922973878</v>
      </c>
    </row>
    <row r="1275" customFormat="false" ht="15.75" hidden="false" customHeight="false" outlineLevel="0" collapsed="false">
      <c r="E1275" s="93"/>
      <c r="F1275" s="94"/>
      <c r="G1275" s="93" t="n">
        <v>44498</v>
      </c>
      <c r="H1275" s="94" t="n">
        <v>373.69</v>
      </c>
      <c r="I1275" s="95" t="n">
        <f aca="false">H1275/H1274-1</f>
        <v>-0.00484674176453359</v>
      </c>
    </row>
    <row r="1276" customFormat="false" ht="15.75" hidden="false" customHeight="false" outlineLevel="0" collapsed="false">
      <c r="E1276" s="93"/>
      <c r="F1276" s="94"/>
      <c r="G1276" s="93" t="n">
        <v>44499</v>
      </c>
      <c r="H1276" s="94" t="n">
        <v>370.73</v>
      </c>
      <c r="I1276" s="95" t="n">
        <f aca="false">H1276/H1275-1</f>
        <v>-0.00792100404078244</v>
      </c>
    </row>
    <row r="1277" customFormat="false" ht="15.75" hidden="false" customHeight="false" outlineLevel="0" collapsed="false">
      <c r="E1277" s="93"/>
      <c r="F1277" s="94"/>
      <c r="G1277" s="93" t="n">
        <v>44502</v>
      </c>
      <c r="H1277" s="94" t="n">
        <v>371.77</v>
      </c>
      <c r="I1277" s="95" t="n">
        <f aca="false">H1277/H1276-1</f>
        <v>0.00280527607692926</v>
      </c>
    </row>
    <row r="1278" customFormat="false" ht="15.75" hidden="false" customHeight="false" outlineLevel="0" collapsed="false">
      <c r="E1278" s="93"/>
      <c r="F1278" s="94"/>
      <c r="G1278" s="93" t="n">
        <v>44503</v>
      </c>
      <c r="H1278" s="94" t="n">
        <v>368.33</v>
      </c>
      <c r="I1278" s="95" t="n">
        <f aca="false">H1278/H1277-1</f>
        <v>-0.00925303278909007</v>
      </c>
    </row>
    <row r="1279" customFormat="false" ht="15.75" hidden="false" customHeight="false" outlineLevel="0" collapsed="false">
      <c r="E1279" s="93"/>
      <c r="F1279" s="94"/>
      <c r="G1279" s="93" t="n">
        <v>44504</v>
      </c>
      <c r="H1279" s="94" t="n">
        <v>367.59</v>
      </c>
      <c r="I1279" s="95" t="n">
        <f aca="false">H1279/H1278-1</f>
        <v>-0.00200906795536615</v>
      </c>
    </row>
    <row r="1280" customFormat="false" ht="15.75" hidden="false" customHeight="false" outlineLevel="0" collapsed="false">
      <c r="E1280" s="93"/>
      <c r="F1280" s="94"/>
      <c r="G1280" s="93" t="n">
        <v>44505</v>
      </c>
      <c r="H1280" s="94" t="n">
        <v>370.25</v>
      </c>
      <c r="I1280" s="95" t="n">
        <f aca="false">H1280/H1279-1</f>
        <v>0.00723632307734157</v>
      </c>
    </row>
    <row r="1281" customFormat="false" ht="15.75" hidden="false" customHeight="false" outlineLevel="0" collapsed="false">
      <c r="E1281" s="93"/>
      <c r="F1281" s="94"/>
      <c r="G1281" s="93" t="n">
        <v>44506</v>
      </c>
      <c r="H1281" s="94" t="n">
        <v>367.93</v>
      </c>
      <c r="I1281" s="95" t="n">
        <f aca="false">H1281/H1280-1</f>
        <v>-0.00626603646185009</v>
      </c>
    </row>
    <row r="1282" customFormat="false" ht="15.75" hidden="false" customHeight="false" outlineLevel="0" collapsed="false">
      <c r="E1282" s="93"/>
      <c r="F1282" s="94"/>
      <c r="G1282" s="93" t="n">
        <v>44509</v>
      </c>
      <c r="H1282" s="94" t="n">
        <v>371.25</v>
      </c>
      <c r="I1282" s="95" t="n">
        <f aca="false">H1282/H1281-1</f>
        <v>0.00902345554860973</v>
      </c>
    </row>
    <row r="1283" customFormat="false" ht="15.75" hidden="false" customHeight="false" outlineLevel="0" collapsed="false">
      <c r="E1283" s="93"/>
      <c r="F1283" s="94"/>
      <c r="G1283" s="93" t="n">
        <v>44510</v>
      </c>
      <c r="H1283" s="94" t="n">
        <v>371.58</v>
      </c>
      <c r="I1283" s="95" t="n">
        <f aca="false">H1283/H1282-1</f>
        <v>0.000888888888888939</v>
      </c>
    </row>
    <row r="1284" customFormat="false" ht="15.75" hidden="false" customHeight="false" outlineLevel="0" collapsed="false">
      <c r="E1284" s="93"/>
      <c r="F1284" s="94"/>
      <c r="G1284" s="93" t="n">
        <v>44511</v>
      </c>
      <c r="H1284" s="94" t="n">
        <v>372.68</v>
      </c>
      <c r="I1284" s="95" t="n">
        <f aca="false">H1284/H1283-1</f>
        <v>0.00296033155713449</v>
      </c>
    </row>
    <row r="1285" customFormat="false" ht="15.75" hidden="false" customHeight="false" outlineLevel="0" collapsed="false">
      <c r="E1285" s="93"/>
      <c r="F1285" s="94"/>
      <c r="G1285" s="93" t="n">
        <v>44512</v>
      </c>
      <c r="H1285" s="94" t="n">
        <v>373.46</v>
      </c>
      <c r="I1285" s="95" t="n">
        <f aca="false">H1285/H1284-1</f>
        <v>0.00209294837394003</v>
      </c>
    </row>
    <row r="1286" customFormat="false" ht="15.75" hidden="false" customHeight="false" outlineLevel="0" collapsed="false">
      <c r="E1286" s="93"/>
      <c r="F1286" s="94"/>
      <c r="G1286" s="93" t="n">
        <v>44513</v>
      </c>
      <c r="H1286" s="94" t="n">
        <v>368.52</v>
      </c>
      <c r="I1286" s="95" t="n">
        <f aca="false">H1286/H1285-1</f>
        <v>-0.0132276549028009</v>
      </c>
    </row>
    <row r="1287" customFormat="false" ht="15.75" hidden="false" customHeight="false" outlineLevel="0" collapsed="false">
      <c r="E1287" s="93"/>
      <c r="F1287" s="94"/>
      <c r="G1287" s="93" t="n">
        <v>44516</v>
      </c>
      <c r="H1287" s="94" t="n">
        <v>368.05</v>
      </c>
      <c r="I1287" s="95" t="n">
        <f aca="false">H1287/H1286-1</f>
        <v>-0.00127537175729942</v>
      </c>
    </row>
    <row r="1288" customFormat="false" ht="15.75" hidden="false" customHeight="false" outlineLevel="0" collapsed="false">
      <c r="E1288" s="93"/>
      <c r="F1288" s="94"/>
      <c r="G1288" s="93" t="n">
        <v>44517</v>
      </c>
      <c r="H1288" s="94" t="n">
        <v>362.38</v>
      </c>
      <c r="I1288" s="95" t="n">
        <f aca="false">H1288/H1287-1</f>
        <v>-0.0154055155549518</v>
      </c>
    </row>
    <row r="1289" customFormat="false" ht="15.75" hidden="false" customHeight="false" outlineLevel="0" collapsed="false">
      <c r="E1289" s="93"/>
      <c r="F1289" s="94"/>
      <c r="G1289" s="93" t="n">
        <v>44518</v>
      </c>
      <c r="H1289" s="94" t="n">
        <v>362.15</v>
      </c>
      <c r="I1289" s="95" t="n">
        <f aca="false">H1289/H1288-1</f>
        <v>-0.000634692863844655</v>
      </c>
    </row>
    <row r="1290" customFormat="false" ht="15.75" hidden="false" customHeight="false" outlineLevel="0" collapsed="false">
      <c r="E1290" s="93"/>
      <c r="F1290" s="94"/>
      <c r="G1290" s="93" t="n">
        <v>44519</v>
      </c>
      <c r="H1290" s="94" t="n">
        <v>364.11</v>
      </c>
      <c r="I1290" s="95" t="n">
        <f aca="false">H1290/H1289-1</f>
        <v>0.00541212204887498</v>
      </c>
    </row>
    <row r="1291" customFormat="false" ht="15.75" hidden="false" customHeight="false" outlineLevel="0" collapsed="false">
      <c r="E1291" s="93"/>
      <c r="F1291" s="94"/>
      <c r="G1291" s="93" t="n">
        <v>44520</v>
      </c>
      <c r="H1291" s="94" t="n">
        <v>355.42</v>
      </c>
      <c r="I1291" s="95" t="n">
        <f aca="false">H1291/H1290-1</f>
        <v>-0.0238664139957705</v>
      </c>
    </row>
    <row r="1292" customFormat="false" ht="15.75" hidden="false" customHeight="false" outlineLevel="0" collapsed="false">
      <c r="E1292" s="93"/>
      <c r="F1292" s="94"/>
      <c r="G1292" s="93" t="n">
        <v>44523</v>
      </c>
      <c r="H1292" s="94" t="n">
        <v>357.87</v>
      </c>
      <c r="I1292" s="95" t="n">
        <f aca="false">H1292/H1291-1</f>
        <v>0.00689325305272637</v>
      </c>
    </row>
    <row r="1293" customFormat="false" ht="15.75" hidden="false" customHeight="false" outlineLevel="0" collapsed="false">
      <c r="E1293" s="93"/>
      <c r="F1293" s="94"/>
      <c r="G1293" s="93" t="n">
        <v>44524</v>
      </c>
      <c r="H1293" s="94" t="n">
        <v>360.7</v>
      </c>
      <c r="I1293" s="95" t="n">
        <f aca="false">H1293/H1292-1</f>
        <v>0.00790789951658422</v>
      </c>
    </row>
    <row r="1294" customFormat="false" ht="15.75" hidden="false" customHeight="false" outlineLevel="0" collapsed="false">
      <c r="E1294" s="93"/>
      <c r="F1294" s="94"/>
      <c r="G1294" s="93" t="n">
        <v>44525</v>
      </c>
      <c r="H1294" s="94" t="n">
        <v>364.18</v>
      </c>
      <c r="I1294" s="95" t="n">
        <f aca="false">H1294/H1293-1</f>
        <v>0.00964790684779593</v>
      </c>
    </row>
    <row r="1295" customFormat="false" ht="15.75" hidden="false" customHeight="false" outlineLevel="0" collapsed="false">
      <c r="E1295" s="93"/>
      <c r="F1295" s="94"/>
      <c r="G1295" s="93" t="n">
        <v>44526</v>
      </c>
      <c r="H1295" s="94" t="n">
        <v>363.81</v>
      </c>
      <c r="I1295" s="95" t="n">
        <f aca="false">H1295/H1294-1</f>
        <v>-0.00101598110824319</v>
      </c>
    </row>
    <row r="1296" customFormat="false" ht="15.75" hidden="false" customHeight="false" outlineLevel="0" collapsed="false">
      <c r="E1296" s="93"/>
      <c r="F1296" s="94"/>
      <c r="G1296" s="93" t="n">
        <v>44527</v>
      </c>
      <c r="H1296" s="94" t="n">
        <v>364.17</v>
      </c>
      <c r="I1296" s="95" t="n">
        <f aca="false">H1296/H1295-1</f>
        <v>0.000989527500618426</v>
      </c>
    </row>
    <row r="1297" customFormat="false" ht="15.75" hidden="false" customHeight="false" outlineLevel="0" collapsed="false">
      <c r="E1297" s="93"/>
      <c r="F1297" s="94"/>
      <c r="G1297" s="93" t="n">
        <v>44530</v>
      </c>
      <c r="H1297" s="94" t="n">
        <v>364.42</v>
      </c>
      <c r="I1297" s="95" t="n">
        <f aca="false">H1297/H1296-1</f>
        <v>0.000686492572150366</v>
      </c>
    </row>
    <row r="1298" customFormat="false" ht="15.75" hidden="false" customHeight="false" outlineLevel="0" collapsed="false">
      <c r="E1298" s="93"/>
      <c r="F1298" s="94"/>
      <c r="G1298" s="93" t="n">
        <v>44531</v>
      </c>
      <c r="H1298" s="94" t="n">
        <v>364.7</v>
      </c>
      <c r="I1298" s="95" t="n">
        <f aca="false">H1298/H1297-1</f>
        <v>0.000768344218209593</v>
      </c>
    </row>
    <row r="1299" customFormat="false" ht="15.75" hidden="false" customHeight="false" outlineLevel="0" collapsed="false">
      <c r="E1299" s="93"/>
      <c r="F1299" s="94"/>
      <c r="G1299" s="93" t="n">
        <v>44532</v>
      </c>
      <c r="H1299" s="94" t="n">
        <v>364.08</v>
      </c>
      <c r="I1299" s="95" t="n">
        <f aca="false">H1299/H1298-1</f>
        <v>-0.00170002741979713</v>
      </c>
    </row>
    <row r="1300" customFormat="false" ht="15.75" hidden="false" customHeight="false" outlineLevel="0" collapsed="false">
      <c r="E1300" s="93"/>
      <c r="F1300" s="94"/>
      <c r="G1300" s="93" t="n">
        <v>44533</v>
      </c>
      <c r="H1300" s="94" t="n">
        <v>365.33</v>
      </c>
      <c r="I1300" s="95" t="n">
        <f aca="false">H1300/H1299-1</f>
        <v>0.00343331136014058</v>
      </c>
    </row>
    <row r="1301" customFormat="false" ht="15.75" hidden="false" customHeight="false" outlineLevel="0" collapsed="false">
      <c r="E1301" s="93"/>
      <c r="F1301" s="94"/>
      <c r="G1301" s="93" t="n">
        <v>44534</v>
      </c>
      <c r="H1301" s="94" t="n">
        <v>366.4</v>
      </c>
      <c r="I1301" s="95" t="n">
        <f aca="false">H1301/H1300-1</f>
        <v>0.00292885883995297</v>
      </c>
    </row>
    <row r="1302" customFormat="false" ht="15.75" hidden="false" customHeight="false" outlineLevel="0" collapsed="false">
      <c r="E1302" s="93"/>
      <c r="F1302" s="94"/>
      <c r="G1302" s="93" t="n">
        <v>44537</v>
      </c>
      <c r="H1302" s="94" t="n">
        <v>365.82</v>
      </c>
      <c r="I1302" s="95" t="n">
        <f aca="false">H1302/H1301-1</f>
        <v>-0.0015829694323144</v>
      </c>
    </row>
    <row r="1303" customFormat="false" ht="15.75" hidden="false" customHeight="false" outlineLevel="0" collapsed="false">
      <c r="E1303" s="93"/>
      <c r="F1303" s="94"/>
      <c r="G1303" s="93" t="n">
        <v>44538</v>
      </c>
      <c r="H1303" s="94" t="n">
        <v>364.47</v>
      </c>
      <c r="I1303" s="95" t="n">
        <f aca="false">H1303/H1302-1</f>
        <v>-0.00369033951123499</v>
      </c>
    </row>
    <row r="1304" customFormat="false" ht="15.75" hidden="false" customHeight="false" outlineLevel="0" collapsed="false">
      <c r="E1304" s="93"/>
      <c r="F1304" s="94"/>
      <c r="G1304" s="93" t="n">
        <v>44539</v>
      </c>
      <c r="H1304" s="94" t="n">
        <v>365.16</v>
      </c>
      <c r="I1304" s="95" t="n">
        <f aca="false">H1304/H1303-1</f>
        <v>0.00189315993085848</v>
      </c>
    </row>
    <row r="1305" customFormat="false" ht="15.75" hidden="false" customHeight="false" outlineLevel="0" collapsed="false">
      <c r="E1305" s="93"/>
      <c r="F1305" s="94"/>
      <c r="G1305" s="93" t="n">
        <v>44540</v>
      </c>
      <c r="H1305" s="94" t="n">
        <v>364.12</v>
      </c>
      <c r="I1305" s="95" t="n">
        <f aca="false">H1305/H1304-1</f>
        <v>-0.00284806660094206</v>
      </c>
    </row>
    <row r="1306" customFormat="false" ht="15.75" hidden="false" customHeight="false" outlineLevel="0" collapsed="false">
      <c r="E1306" s="93"/>
      <c r="F1306" s="94"/>
      <c r="G1306" s="93" t="n">
        <v>44541</v>
      </c>
      <c r="H1306" s="94" t="n">
        <v>367.39</v>
      </c>
      <c r="I1306" s="95" t="n">
        <f aca="false">H1306/H1305-1</f>
        <v>0.00898055586070523</v>
      </c>
    </row>
    <row r="1307" customFormat="false" ht="15.75" hidden="false" customHeight="false" outlineLevel="0" collapsed="false">
      <c r="E1307" s="93"/>
      <c r="F1307" s="94"/>
      <c r="G1307" s="93" t="n">
        <v>44544</v>
      </c>
      <c r="H1307" s="94" t="n">
        <v>364.23</v>
      </c>
      <c r="I1307" s="95" t="n">
        <f aca="false">H1307/H1306-1</f>
        <v>-0.00860121396880686</v>
      </c>
    </row>
    <row r="1308" customFormat="false" ht="15.75" hidden="false" customHeight="false" outlineLevel="0" collapsed="false">
      <c r="E1308" s="93"/>
      <c r="F1308" s="94"/>
      <c r="G1308" s="93" t="n">
        <v>44545</v>
      </c>
      <c r="H1308" s="94" t="n">
        <v>359.32</v>
      </c>
      <c r="I1308" s="95" t="n">
        <f aca="false">H1308/H1307-1</f>
        <v>-0.0134804930950224</v>
      </c>
    </row>
    <row r="1309" customFormat="false" ht="15.75" hidden="false" customHeight="false" outlineLevel="0" collapsed="false">
      <c r="E1309" s="93"/>
      <c r="F1309" s="94"/>
      <c r="G1309" s="93" t="n">
        <v>44546</v>
      </c>
      <c r="H1309" s="94" t="n">
        <v>360.28</v>
      </c>
      <c r="I1309" s="95" t="n">
        <f aca="false">H1309/H1308-1</f>
        <v>0.0026717132361127</v>
      </c>
    </row>
    <row r="1310" customFormat="false" ht="15.75" hidden="false" customHeight="false" outlineLevel="0" collapsed="false">
      <c r="E1310" s="93"/>
      <c r="F1310" s="94"/>
      <c r="G1310" s="93" t="n">
        <v>44547</v>
      </c>
      <c r="H1310" s="94" t="n">
        <v>360.35</v>
      </c>
      <c r="I1310" s="95" t="n">
        <f aca="false">H1310/H1309-1</f>
        <v>0.000194293327412165</v>
      </c>
    </row>
    <row r="1311" customFormat="false" ht="15.75" hidden="false" customHeight="false" outlineLevel="0" collapsed="false">
      <c r="E1311" s="93"/>
      <c r="F1311" s="94"/>
      <c r="G1311" s="93" t="n">
        <v>44548</v>
      </c>
      <c r="H1311" s="94" t="n">
        <v>363.45</v>
      </c>
      <c r="I1311" s="95" t="n">
        <f aca="false">H1311/H1310-1</f>
        <v>0.00860274732898558</v>
      </c>
    </row>
    <row r="1312" customFormat="false" ht="15.75" hidden="false" customHeight="false" outlineLevel="0" collapsed="false">
      <c r="E1312" s="93"/>
      <c r="F1312" s="94"/>
      <c r="G1312" s="93" t="n">
        <v>44551</v>
      </c>
      <c r="H1312" s="94" t="n">
        <v>366.63</v>
      </c>
      <c r="I1312" s="95" t="n">
        <f aca="false">H1312/H1311-1</f>
        <v>0.00874948411060661</v>
      </c>
    </row>
    <row r="1313" customFormat="false" ht="15.75" hidden="false" customHeight="false" outlineLevel="0" collapsed="false">
      <c r="E1313" s="93"/>
      <c r="F1313" s="94"/>
      <c r="G1313" s="93" t="n">
        <v>44552</v>
      </c>
      <c r="H1313" s="94" t="n">
        <v>367.5</v>
      </c>
      <c r="I1313" s="95" t="n">
        <f aca="false">H1313/H1312-1</f>
        <v>0.00237296456918412</v>
      </c>
    </row>
    <row r="1314" customFormat="false" ht="15.75" hidden="false" customHeight="false" outlineLevel="0" collapsed="false">
      <c r="E1314" s="93"/>
      <c r="F1314" s="94"/>
      <c r="G1314" s="93" t="n">
        <v>44553</v>
      </c>
      <c r="H1314" s="94" t="n">
        <v>368.01</v>
      </c>
      <c r="I1314" s="95" t="n">
        <f aca="false">H1314/H1313-1</f>
        <v>0.0013877551020407</v>
      </c>
    </row>
    <row r="1315" customFormat="false" ht="15.75" hidden="false" customHeight="false" outlineLevel="0" collapsed="false">
      <c r="E1315" s="93"/>
      <c r="F1315" s="94"/>
      <c r="G1315" s="93" t="n">
        <v>44554</v>
      </c>
      <c r="H1315" s="94" t="n">
        <v>367.91</v>
      </c>
      <c r="I1315" s="95" t="n">
        <f aca="false">H1315/H1314-1</f>
        <v>-0.000271731746419812</v>
      </c>
    </row>
    <row r="1316" customFormat="false" ht="15.75" hidden="false" customHeight="false" outlineLevel="0" collapsed="false">
      <c r="G1316" s="93" t="n">
        <v>44555</v>
      </c>
      <c r="H1316" s="94" t="n">
        <v>368.38</v>
      </c>
      <c r="I1316" s="95" t="n">
        <f aca="false">H1316/H1315-1</f>
        <v>0.00127748634176839</v>
      </c>
    </row>
    <row r="1317" customFormat="false" ht="15.75" hidden="false" customHeight="false" outlineLevel="0" collapsed="false">
      <c r="G1317" s="93" t="n">
        <v>44558</v>
      </c>
      <c r="H1317" s="94" t="n">
        <v>367.86</v>
      </c>
      <c r="I1317" s="95" t="n">
        <f aca="false">H1317/H1316-1</f>
        <v>-0.00141158586242462</v>
      </c>
    </row>
    <row r="1318" customFormat="false" ht="15.75" hidden="false" customHeight="false" outlineLevel="0" collapsed="false">
      <c r="G1318" s="93" t="n">
        <v>44559</v>
      </c>
      <c r="H1318" s="94" t="n">
        <v>368.49</v>
      </c>
      <c r="I1318" s="95" t="n">
        <f aca="false">H1318/H1317-1</f>
        <v>0.00171260805741302</v>
      </c>
    </row>
    <row r="1319" customFormat="false" ht="15.75" hidden="false" customHeight="false" outlineLevel="0" collapsed="false">
      <c r="G1319" s="93" t="n">
        <v>44560</v>
      </c>
      <c r="H1319" s="94" t="n">
        <v>369.16</v>
      </c>
      <c r="I1319" s="95" t="n">
        <f aca="false">H1319/H1318-1</f>
        <v>0.00181823115959734</v>
      </c>
    </row>
  </sheetData>
  <mergeCells count="1">
    <mergeCell ref="J1:S7"/>
  </mergeCells>
  <hyperlinks>
    <hyperlink ref="B11" r:id="rId1" display="https://finance.yahoo.com/quote/EMB/"/>
    <hyperlink ref="H11" r:id="rId2" location="overview" display="https://www.spglobal.com/spdji/en/indices/equity/sp-emerging-bmi/#overview"/>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3: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10.65234375" defaultRowHeight="12.75" zeroHeight="false" outlineLevelRow="0" outlineLevelCol="0"/>
  <cols>
    <col collapsed="false" customWidth="true" hidden="false" outlineLevel="0" max="1" min="1" style="0" width="22"/>
    <col collapsed="false" customWidth="true" hidden="false" outlineLevel="0" max="2" min="2" style="0" width="23.5"/>
    <col collapsed="false" customWidth="true" hidden="false" outlineLevel="0" max="3" min="3" style="0" width="25.17"/>
    <col collapsed="false" customWidth="true" hidden="false" outlineLevel="0" max="4" min="4" style="0" width="24"/>
    <col collapsed="false" customWidth="true" hidden="false" outlineLevel="0" max="5" min="5" style="0" width="23.5"/>
  </cols>
  <sheetData>
    <row r="3" customFormat="false" ht="12.75" hidden="false" customHeight="false" outlineLevel="0" collapsed="false">
      <c r="A3" s="103"/>
      <c r="B3" s="104" t="s">
        <v>161</v>
      </c>
      <c r="C3" s="105"/>
      <c r="D3" s="105"/>
      <c r="E3" s="106"/>
    </row>
    <row r="4" customFormat="false" ht="12.75" hidden="false" customHeight="false" outlineLevel="0" collapsed="false">
      <c r="A4" s="107" t="s">
        <v>76</v>
      </c>
      <c r="B4" s="108" t="s">
        <v>162</v>
      </c>
      <c r="C4" s="109" t="s">
        <v>163</v>
      </c>
      <c r="D4" s="109" t="s">
        <v>164</v>
      </c>
      <c r="E4" s="110" t="s">
        <v>165</v>
      </c>
    </row>
    <row r="5" customFormat="false" ht="12.75" hidden="false" customHeight="false" outlineLevel="0" collapsed="false">
      <c r="A5" s="111" t="s">
        <v>98</v>
      </c>
      <c r="B5" s="112" t="n">
        <v>0.0541993608892622</v>
      </c>
      <c r="C5" s="113" t="n">
        <v>0.0825661211262316</v>
      </c>
      <c r="D5" s="113" t="n">
        <v>0.124866121126232</v>
      </c>
      <c r="E5" s="114" t="n">
        <v>0.275906666666667</v>
      </c>
    </row>
    <row r="6" customFormat="false" ht="12.75" hidden="false" customHeight="false" outlineLevel="0" collapsed="false">
      <c r="A6" s="115" t="s">
        <v>77</v>
      </c>
      <c r="B6" s="116" t="n">
        <v>0.0317333778779889</v>
      </c>
      <c r="C6" s="117" t="n">
        <v>0.0483419339016153</v>
      </c>
      <c r="D6" s="117" t="n">
        <v>0.0906419339016152</v>
      </c>
      <c r="E6" s="118" t="n">
        <v>0.240475</v>
      </c>
    </row>
    <row r="7" customFormat="false" ht="12.75" hidden="false" customHeight="false" outlineLevel="0" collapsed="false">
      <c r="A7" s="115" t="s">
        <v>166</v>
      </c>
      <c r="B7" s="116" t="n">
        <v>0.0127516157138568</v>
      </c>
      <c r="C7" s="117" t="n">
        <v>0.0194255325212523</v>
      </c>
      <c r="D7" s="117" t="n">
        <v>0.0617255325212523</v>
      </c>
      <c r="E7" s="118" t="n">
        <v>0.26</v>
      </c>
    </row>
    <row r="8" customFormat="false" ht="12.75" hidden="false" customHeight="false" outlineLevel="0" collapsed="false">
      <c r="A8" s="115" t="s">
        <v>167</v>
      </c>
      <c r="B8" s="116" t="n">
        <v>0.0308136301388367</v>
      </c>
      <c r="C8" s="117" t="n">
        <v>0.0469408103091881</v>
      </c>
      <c r="D8" s="117" t="n">
        <v>0.0892408103091881</v>
      </c>
      <c r="E8" s="118" t="n">
        <v>0.177142857142857</v>
      </c>
    </row>
    <row r="9" customFormat="false" ht="12.75" hidden="false" customHeight="false" outlineLevel="0" collapsed="false">
      <c r="A9" s="115" t="s">
        <v>168</v>
      </c>
      <c r="B9" s="116" t="n">
        <v>0.0456885233359017</v>
      </c>
      <c r="C9" s="117" t="n">
        <v>0.0696008973157112</v>
      </c>
      <c r="D9" s="117" t="n">
        <v>0.111900897315711</v>
      </c>
      <c r="E9" s="118" t="n">
        <v>0.271315789473684</v>
      </c>
    </row>
    <row r="10" customFormat="false" ht="12.75" hidden="false" customHeight="false" outlineLevel="0" collapsed="false">
      <c r="A10" s="115" t="s">
        <v>169</v>
      </c>
      <c r="B10" s="116" t="n">
        <v>0.0329421391892884</v>
      </c>
      <c r="C10" s="117" t="n">
        <v>0.0501833344495917</v>
      </c>
      <c r="D10" s="117" t="n">
        <v>0.0924833344495917</v>
      </c>
      <c r="E10" s="118" t="n">
        <v>0.164230769230769</v>
      </c>
    </row>
    <row r="11" customFormat="false" ht="12.75" hidden="false" customHeight="false" outlineLevel="0" collapsed="false">
      <c r="A11" s="115" t="s">
        <v>170</v>
      </c>
      <c r="B11" s="116" t="n">
        <v>0.0310331061282931</v>
      </c>
      <c r="C11" s="117" t="n">
        <v>0.0472751552319407</v>
      </c>
      <c r="D11" s="117" t="n">
        <v>0.0895751552319407</v>
      </c>
      <c r="E11" s="118" t="n">
        <v>0.146830769230769</v>
      </c>
    </row>
    <row r="12" customFormat="false" ht="12.75" hidden="false" customHeight="false" outlineLevel="0" collapsed="false">
      <c r="A12" s="115" t="s">
        <v>171</v>
      </c>
      <c r="B12" s="116" t="n">
        <v>0.00116683958499601</v>
      </c>
      <c r="C12" s="117" t="n">
        <v>0.00116683958499601</v>
      </c>
      <c r="D12" s="117" t="n">
        <v>0.04345</v>
      </c>
      <c r="E12" s="118" t="n">
        <v>0.2557</v>
      </c>
    </row>
    <row r="13" customFormat="false" ht="12.75" hidden="false" customHeight="false" outlineLevel="0" collapsed="false">
      <c r="A13" s="115" t="s">
        <v>172</v>
      </c>
      <c r="B13" s="119" t="n">
        <v>0.00630689691052606</v>
      </c>
      <c r="C13" s="120" t="n">
        <v>0.00960778883184796</v>
      </c>
      <c r="D13" s="120" t="n">
        <v>0.051907788831848</v>
      </c>
      <c r="E13" s="121" t="n">
        <v>0.199430769230769</v>
      </c>
    </row>
    <row r="14" customFormat="false" ht="12.75" hidden="false" customHeight="false" outlineLevel="0" collapsed="false">
      <c r="A14" s="122" t="s">
        <v>173</v>
      </c>
      <c r="B14" s="123" t="n">
        <v>0.0328124108640127</v>
      </c>
      <c r="C14" s="124" t="n">
        <v>0.0499779295593585</v>
      </c>
      <c r="D14" s="124" t="n">
        <v>0.0922777150423521</v>
      </c>
      <c r="E14" s="125" t="n">
        <v>0.21871974522293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M198"/>
  <sheetViews>
    <sheetView showFormulas="false" showGridLines="true" showRowColHeaders="true" showZeros="true" rightToLeft="false" tabSelected="false" showOutlineSymbols="true" defaultGridColor="true" view="normal" topLeftCell="A39" colorId="64" zoomScale="100" zoomScaleNormal="100" zoomScalePageLayoutView="100" workbookViewId="0">
      <selection pane="topLeft" activeCell="B187" activeCellId="0" sqref="B187"/>
    </sheetView>
  </sheetViews>
  <sheetFormatPr defaultColWidth="10.65234375" defaultRowHeight="12.75" zeroHeight="false" outlineLevelRow="0" outlineLevelCol="0"/>
  <cols>
    <col collapsed="false" customWidth="true" hidden="false" outlineLevel="0" max="1" min="1" style="0" width="24.66"/>
    <col collapsed="false" customWidth="true" hidden="false" outlineLevel="0" max="6" min="2" style="98" width="20.83"/>
    <col collapsed="false" customWidth="true" hidden="false" outlineLevel="0" max="7" min="7" style="98" width="26.16"/>
    <col collapsed="false" customWidth="true" hidden="false" outlineLevel="0" max="8" min="8" style="0" width="37"/>
    <col collapsed="false" customWidth="true" hidden="false" outlineLevel="0" max="9" min="9" style="0" width="20.83"/>
    <col collapsed="false" customWidth="true" hidden="false" outlineLevel="0" max="10" min="10" style="0" width="25.17"/>
    <col collapsed="false" customWidth="true" hidden="false" outlineLevel="0" max="11" min="11" style="0" width="23.66"/>
    <col collapsed="false" customWidth="true" hidden="false" outlineLevel="0" max="13" min="12" style="0" width="20.33"/>
  </cols>
  <sheetData>
    <row r="1" s="4" customFormat="true" ht="15.75" hidden="false" customHeight="false" outlineLevel="0" collapsed="false">
      <c r="A1" s="126" t="s">
        <v>61</v>
      </c>
      <c r="B1" s="127" t="s">
        <v>174</v>
      </c>
      <c r="C1" s="48" t="s">
        <v>99</v>
      </c>
      <c r="D1" s="126" t="s">
        <v>175</v>
      </c>
      <c r="E1" s="126" t="s">
        <v>176</v>
      </c>
      <c r="F1" s="128" t="s">
        <v>102</v>
      </c>
      <c r="G1" s="128" t="s">
        <v>177</v>
      </c>
      <c r="H1" s="126" t="s">
        <v>76</v>
      </c>
      <c r="I1" s="4" t="s">
        <v>178</v>
      </c>
      <c r="J1" s="4" t="s">
        <v>179</v>
      </c>
      <c r="K1" s="4" t="s">
        <v>180</v>
      </c>
      <c r="L1" s="4" t="s">
        <v>181</v>
      </c>
      <c r="M1" s="4" t="s">
        <v>182</v>
      </c>
    </row>
    <row r="2" s="2" customFormat="true" ht="15.75" hidden="false" customHeight="false" outlineLevel="0" collapsed="false">
      <c r="A2" s="129" t="s">
        <v>183</v>
      </c>
      <c r="B2" s="127" t="n">
        <v>100998.916781079</v>
      </c>
      <c r="C2" s="48" t="s">
        <v>118</v>
      </c>
      <c r="D2" s="49" t="n">
        <v>0.0552348054028417</v>
      </c>
      <c r="E2" s="130" t="n">
        <f aca="false">F2+4.23%</f>
        <v>0.12644349465472</v>
      </c>
      <c r="F2" s="52" t="n">
        <v>0.0841434946547197</v>
      </c>
      <c r="G2" s="52" t="n">
        <v>0.25</v>
      </c>
      <c r="H2" s="80" t="s">
        <v>98</v>
      </c>
      <c r="I2" s="131" t="n">
        <f aca="false">B2/$B$32</f>
        <v>0.043145792445881</v>
      </c>
      <c r="J2" s="131" t="n">
        <f aca="false">I2*D2</f>
        <v>0.00238314944969964</v>
      </c>
      <c r="K2" s="131" t="n">
        <f aca="false">I2*E2</f>
        <v>0.00545550477650441</v>
      </c>
      <c r="L2" s="131" t="n">
        <f aca="false">I2*F2</f>
        <v>0.00363043775604364</v>
      </c>
      <c r="M2" s="131" t="n">
        <f aca="false">I2*G2</f>
        <v>0.0107864481114703</v>
      </c>
    </row>
    <row r="3" s="2" customFormat="true" ht="15.75" hidden="false" customHeight="false" outlineLevel="0" collapsed="false">
      <c r="A3" s="129" t="s">
        <v>184</v>
      </c>
      <c r="B3" s="127" t="n">
        <v>21482.6437064248</v>
      </c>
      <c r="C3" s="48" t="s">
        <v>116</v>
      </c>
      <c r="D3" s="49" t="n">
        <v>0.0382548471415703</v>
      </c>
      <c r="E3" s="130" t="n">
        <f aca="false">F3+4.23%</f>
        <v>0.100576597563757</v>
      </c>
      <c r="F3" s="52" t="n">
        <v>0.058276597563757</v>
      </c>
      <c r="G3" s="52" t="n">
        <v>0.3</v>
      </c>
      <c r="H3" s="80" t="s">
        <v>98</v>
      </c>
      <c r="I3" s="131" t="n">
        <f aca="false">B3/$B$32</f>
        <v>0.00917718443015877</v>
      </c>
      <c r="J3" s="131" t="n">
        <f aca="false">I3*D3</f>
        <v>0.000351071787565723</v>
      </c>
      <c r="K3" s="131" t="n">
        <f aca="false">I3*E3</f>
        <v>0.000923009985200456</v>
      </c>
      <c r="L3" s="131" t="n">
        <f aca="false">I3*F3</f>
        <v>0.00053481508380474</v>
      </c>
      <c r="M3" s="131" t="n">
        <f aca="false">I3*G3</f>
        <v>0.00275315532904763</v>
      </c>
    </row>
    <row r="4" s="2" customFormat="true" ht="15.75" hidden="false" customHeight="false" outlineLevel="0" collapsed="false">
      <c r="A4" s="129" t="s">
        <v>185</v>
      </c>
      <c r="B4" s="127" t="n">
        <v>19402.0635129066</v>
      </c>
      <c r="C4" s="48" t="s">
        <v>122</v>
      </c>
      <c r="D4" s="49" t="n">
        <v>0.0135839666090171</v>
      </c>
      <c r="E4" s="130" t="n">
        <f aca="false">F4+4.23%</f>
        <v>0.0629935176727701</v>
      </c>
      <c r="F4" s="52" t="n">
        <v>0.0206935176727701</v>
      </c>
      <c r="G4" s="52" t="n">
        <v>0.22</v>
      </c>
      <c r="H4" s="80" t="s">
        <v>98</v>
      </c>
      <c r="I4" s="131" t="n">
        <f aca="false">B4/$B$32</f>
        <v>0.00828838003445297</v>
      </c>
      <c r="J4" s="131" t="n">
        <f aca="false">I4*D4</f>
        <v>0.000112589077630853</v>
      </c>
      <c r="K4" s="131" t="n">
        <f aca="false">I4*E4</f>
        <v>0.000522114214178948</v>
      </c>
      <c r="L4" s="131" t="n">
        <f aca="false">I4*F4</f>
        <v>0.000171515738721588</v>
      </c>
      <c r="M4" s="131" t="n">
        <f aca="false">I4*G4</f>
        <v>0.00182344360757965</v>
      </c>
    </row>
    <row r="5" s="2" customFormat="true" ht="15.75" hidden="false" customHeight="false" outlineLevel="0" collapsed="false">
      <c r="A5" s="129" t="s">
        <v>186</v>
      </c>
      <c r="B5" s="127" t="n">
        <v>23124.7298530218</v>
      </c>
      <c r="C5" s="48" t="s">
        <v>133</v>
      </c>
      <c r="D5" s="49" t="n">
        <v>0.0637247845334774</v>
      </c>
      <c r="E5" s="130" t="n">
        <f aca="false">F5+4.23%</f>
        <v>0.139376943200201</v>
      </c>
      <c r="F5" s="52" t="n">
        <v>0.097076943200201</v>
      </c>
      <c r="G5" s="52" t="n">
        <v>0.275</v>
      </c>
      <c r="H5" s="80" t="s">
        <v>98</v>
      </c>
      <c r="I5" s="131" t="n">
        <f aca="false">B5/$B$32</f>
        <v>0.00987866827094984</v>
      </c>
      <c r="J5" s="131" t="n">
        <f aca="false">I5*D5</f>
        <v>0.000629516007043979</v>
      </c>
      <c r="K5" s="131" t="n">
        <f aca="false">I5*E5</f>
        <v>0.0013768585864938</v>
      </c>
      <c r="L5" s="131" t="n">
        <f aca="false">I5*F5</f>
        <v>0.000958990918632626</v>
      </c>
      <c r="M5" s="131" t="n">
        <f aca="false">I5*G5</f>
        <v>0.00271663377451121</v>
      </c>
    </row>
    <row r="6" s="2" customFormat="true" ht="15.75" hidden="false" customHeight="false" outlineLevel="0" collapsed="false">
      <c r="A6" s="129" t="s">
        <v>187</v>
      </c>
      <c r="B6" s="127" t="n">
        <v>53296.6943202057</v>
      </c>
      <c r="C6" s="48" t="s">
        <v>133</v>
      </c>
      <c r="D6" s="49" t="n">
        <v>0.0637247845334774</v>
      </c>
      <c r="E6" s="130" t="n">
        <f aca="false">F6+4.23%</f>
        <v>0.139376943200201</v>
      </c>
      <c r="F6" s="52" t="n">
        <v>0.097076943200201</v>
      </c>
      <c r="G6" s="52" t="n">
        <v>0.33</v>
      </c>
      <c r="H6" s="80" t="s">
        <v>98</v>
      </c>
      <c r="I6" s="131" t="n">
        <f aca="false">B6/$B$32</f>
        <v>0.0227678492451114</v>
      </c>
      <c r="J6" s="131" t="n">
        <f aca="false">I6*D6</f>
        <v>0.00145087628743542</v>
      </c>
      <c r="K6" s="131" t="n">
        <f aca="false">I6*E6</f>
        <v>0.00317331323102664</v>
      </c>
      <c r="L6" s="131" t="n">
        <f aca="false">I6*F6</f>
        <v>0.00221023320795842</v>
      </c>
      <c r="M6" s="131" t="n">
        <f aca="false">I6*G6</f>
        <v>0.00751339025088677</v>
      </c>
    </row>
    <row r="7" s="2" customFormat="true" ht="15.75" hidden="false" customHeight="false" outlineLevel="0" collapsed="false">
      <c r="A7" s="129" t="s">
        <v>188</v>
      </c>
      <c r="B7" s="127" t="n">
        <v>2725.41415072735</v>
      </c>
      <c r="C7" s="48" t="s">
        <v>117</v>
      </c>
      <c r="D7" s="49" t="n">
        <v>0.046744826272206</v>
      </c>
      <c r="E7" s="130" t="n">
        <f aca="false">F7+4.23%</f>
        <v>0.113510046109238</v>
      </c>
      <c r="F7" s="52" t="n">
        <v>0.0712100461092384</v>
      </c>
      <c r="G7" s="52" t="n">
        <v>0.2686</v>
      </c>
      <c r="H7" s="80" t="s">
        <v>98</v>
      </c>
      <c r="I7" s="131" t="n">
        <f aca="false">B7/$B$32</f>
        <v>0.0011642714300712</v>
      </c>
      <c r="J7" s="131" t="n">
        <f aca="false">I7*D7</f>
        <v>5.44236657323713E-005</v>
      </c>
      <c r="K7" s="131" t="n">
        <f aca="false">I7*E7</f>
        <v>0.000132156503711051</v>
      </c>
      <c r="L7" s="131" t="n">
        <f aca="false">I7*F7</f>
        <v>8.29078222190394E-005</v>
      </c>
      <c r="M7" s="131" t="n">
        <f aca="false">I7*G7</f>
        <v>0.000312723306117126</v>
      </c>
    </row>
    <row r="8" s="2" customFormat="true" ht="15.75" hidden="false" customHeight="false" outlineLevel="0" collapsed="false">
      <c r="A8" s="129" t="s">
        <v>189</v>
      </c>
      <c r="B8" s="127" t="n">
        <v>70962.1857907094</v>
      </c>
      <c r="C8" s="48" t="s">
        <v>118</v>
      </c>
      <c r="D8" s="49" t="n">
        <v>0.0552348054028417</v>
      </c>
      <c r="E8" s="130" t="n">
        <f aca="false">F8+4.23%</f>
        <v>0.12644349465472</v>
      </c>
      <c r="F8" s="52" t="n">
        <v>0.0841434946547197</v>
      </c>
      <c r="G8" s="52" t="n">
        <v>0.3</v>
      </c>
      <c r="H8" s="80" t="s">
        <v>98</v>
      </c>
      <c r="I8" s="131" t="n">
        <f aca="false">B8/$B$32</f>
        <v>0.0303143819479614</v>
      </c>
      <c r="J8" s="131" t="n">
        <f aca="false">I8*D8</f>
        <v>0.00167440898780307</v>
      </c>
      <c r="K8" s="131" t="n">
        <f aca="false">I8*E8</f>
        <v>0.00383305639179819</v>
      </c>
      <c r="L8" s="131" t="n">
        <f aca="false">I8*F8</f>
        <v>0.00255075803539942</v>
      </c>
      <c r="M8" s="131" t="n">
        <f aca="false">I8*G8</f>
        <v>0.00909431458438842</v>
      </c>
    </row>
    <row r="9" s="2" customFormat="true" ht="15.75" hidden="false" customHeight="false" outlineLevel="0" collapsed="false">
      <c r="A9" s="129" t="s">
        <v>190</v>
      </c>
      <c r="B9" s="127" t="n">
        <v>15719.9860766464</v>
      </c>
      <c r="C9" s="48" t="s">
        <v>134</v>
      </c>
      <c r="D9" s="49" t="n">
        <v>0.0765096942831406</v>
      </c>
      <c r="E9" s="130" t="n">
        <f aca="false">F9+4.23%</f>
        <v>0.158853195127514</v>
      </c>
      <c r="F9" s="52" t="n">
        <v>0.116553195127514</v>
      </c>
      <c r="G9" s="52" t="n">
        <v>0.2686</v>
      </c>
      <c r="H9" s="80" t="s">
        <v>98</v>
      </c>
      <c r="I9" s="131" t="n">
        <f aca="false">B9/$B$32</f>
        <v>0.00671543099799054</v>
      </c>
      <c r="J9" s="131" t="n">
        <f aca="false">I9*D9</f>
        <v>0.000513795572635782</v>
      </c>
      <c r="K9" s="131" t="n">
        <f aca="false">I9*E9</f>
        <v>0.00106676767068915</v>
      </c>
      <c r="L9" s="131" t="n">
        <f aca="false">I9*F9</f>
        <v>0.000782704939474148</v>
      </c>
      <c r="M9" s="131" t="n">
        <f aca="false">I9*G9</f>
        <v>0.00180376476606026</v>
      </c>
    </row>
    <row r="10" s="2" customFormat="true" ht="15.75" hidden="false" customHeight="false" outlineLevel="0" collapsed="false">
      <c r="A10" s="129" t="s">
        <v>191</v>
      </c>
      <c r="B10" s="127" t="n">
        <v>87113.179149284</v>
      </c>
      <c r="C10" s="48" t="s">
        <v>120</v>
      </c>
      <c r="D10" s="49" t="n">
        <v>0.0255698194993264</v>
      </c>
      <c r="E10" s="130" t="n">
        <f aca="false">F10+4.23%</f>
        <v>0.0812525038546261</v>
      </c>
      <c r="F10" s="52" t="n">
        <v>0.0389525038546261</v>
      </c>
      <c r="G10" s="52" t="n">
        <v>0.25</v>
      </c>
      <c r="H10" s="80" t="s">
        <v>98</v>
      </c>
      <c r="I10" s="131" t="n">
        <f aca="false">B10/$B$32</f>
        <v>0.0372139352248973</v>
      </c>
      <c r="J10" s="131" t="n">
        <f aca="false">I10*D10</f>
        <v>0.000951553606560246</v>
      </c>
      <c r="K10" s="131" t="n">
        <f aca="false">I10*E10</f>
        <v>0.00302372541530677</v>
      </c>
      <c r="L10" s="131" t="n">
        <f aca="false">I10*F10</f>
        <v>0.00144957595529362</v>
      </c>
      <c r="M10" s="131" t="n">
        <f aca="false">I10*G10</f>
        <v>0.00930348380622431</v>
      </c>
    </row>
    <row r="11" s="2" customFormat="true" ht="15.75" hidden="false" customHeight="false" outlineLevel="0" collapsed="false">
      <c r="A11" s="129" t="s">
        <v>192</v>
      </c>
      <c r="B11" s="127" t="n">
        <v>389059.911003566</v>
      </c>
      <c r="C11" s="48" t="s">
        <v>133</v>
      </c>
      <c r="D11" s="49" t="n">
        <v>0.0637247845334774</v>
      </c>
      <c r="E11" s="130" t="n">
        <f aca="false">F11+4.23%</f>
        <v>0.139376943200201</v>
      </c>
      <c r="F11" s="52" t="n">
        <v>0.097076943200201</v>
      </c>
      <c r="G11" s="52" t="n">
        <v>0.225</v>
      </c>
      <c r="H11" s="80" t="s">
        <v>98</v>
      </c>
      <c r="I11" s="131" t="n">
        <f aca="false">B11/$B$32</f>
        <v>0.166202754486546</v>
      </c>
      <c r="J11" s="131" t="n">
        <f aca="false">I11*D11</f>
        <v>0.0105912347185256</v>
      </c>
      <c r="K11" s="131" t="n">
        <f aca="false">I11*E11</f>
        <v>0.0231648318717883</v>
      </c>
      <c r="L11" s="131" t="n">
        <f aca="false">I11*F11</f>
        <v>0.0161344553570074</v>
      </c>
      <c r="M11" s="131" t="n">
        <f aca="false">I11*G11</f>
        <v>0.037395619759473</v>
      </c>
    </row>
    <row r="12" s="2" customFormat="true" ht="15.75" hidden="false" customHeight="false" outlineLevel="0" collapsed="false">
      <c r="A12" s="129" t="s">
        <v>193</v>
      </c>
      <c r="B12" s="127" t="n">
        <v>149740.297952986</v>
      </c>
      <c r="C12" s="48" t="s">
        <v>134</v>
      </c>
      <c r="D12" s="49" t="n">
        <v>0.0765096942831406</v>
      </c>
      <c r="E12" s="130" t="n">
        <f aca="false">F12+4.23%</f>
        <v>0.158853195127514</v>
      </c>
      <c r="F12" s="52" t="n">
        <v>0.116553195127514</v>
      </c>
      <c r="G12" s="52" t="n">
        <v>0.3</v>
      </c>
      <c r="H12" s="80" t="s">
        <v>98</v>
      </c>
      <c r="I12" s="131" t="n">
        <f aca="false">B12/$B$32</f>
        <v>0.0639676545271054</v>
      </c>
      <c r="J12" s="131" t="n">
        <f aca="false">I12*D12</f>
        <v>0.00489414569187839</v>
      </c>
      <c r="K12" s="131" t="n">
        <f aca="false">I12*E12</f>
        <v>0.0101614663064437</v>
      </c>
      <c r="L12" s="131" t="n">
        <f aca="false">I12*F12</f>
        <v>0.00745563451994712</v>
      </c>
      <c r="M12" s="131" t="n">
        <f aca="false">I12*G12</f>
        <v>0.0191902963581316</v>
      </c>
    </row>
    <row r="13" s="2" customFormat="true" ht="15.75" hidden="false" customHeight="false" outlineLevel="0" collapsed="false">
      <c r="A13" s="129" t="s">
        <v>194</v>
      </c>
      <c r="B13" s="127" t="n">
        <v>20895.6844256752</v>
      </c>
      <c r="C13" s="48" t="s">
        <v>134</v>
      </c>
      <c r="D13" s="49" t="n">
        <v>0.0765096942831406</v>
      </c>
      <c r="E13" s="130" t="n">
        <f aca="false">F13+4.23%</f>
        <v>0.158853195127514</v>
      </c>
      <c r="F13" s="52" t="n">
        <v>0.116553195127514</v>
      </c>
      <c r="G13" s="52" t="n">
        <v>0.3</v>
      </c>
      <c r="H13" s="80" t="s">
        <v>98</v>
      </c>
      <c r="I13" s="131" t="n">
        <f aca="false">B13/$B$32</f>
        <v>0.00892644091618327</v>
      </c>
      <c r="J13" s="131" t="n">
        <f aca="false">I13*D13</f>
        <v>0.0006829592655337</v>
      </c>
      <c r="K13" s="131" t="n">
        <f aca="false">I13*E13</f>
        <v>0.00141799366065269</v>
      </c>
      <c r="L13" s="131" t="n">
        <f aca="false">I13*F13</f>
        <v>0.00104040520989813</v>
      </c>
      <c r="M13" s="131" t="n">
        <f aca="false">I13*G13</f>
        <v>0.00267793227485498</v>
      </c>
    </row>
    <row r="14" s="2" customFormat="true" ht="15.75" hidden="false" customHeight="false" outlineLevel="0" collapsed="false">
      <c r="A14" s="129" t="s">
        <v>195</v>
      </c>
      <c r="B14" s="127" t="n">
        <v>82308.1103864641</v>
      </c>
      <c r="C14" s="48" t="s">
        <v>133</v>
      </c>
      <c r="D14" s="49" t="n">
        <v>0.0637247845334774</v>
      </c>
      <c r="E14" s="130" t="n">
        <f aca="false">F14+4.23%</f>
        <v>0.139376943200201</v>
      </c>
      <c r="F14" s="52" t="n">
        <v>0.097076943200201</v>
      </c>
      <c r="G14" s="52" t="n">
        <v>0.25</v>
      </c>
      <c r="H14" s="80" t="s">
        <v>98</v>
      </c>
      <c r="I14" s="131" t="n">
        <f aca="false">B14/$B$32</f>
        <v>0.0351612547988468</v>
      </c>
      <c r="J14" s="131" t="n">
        <f aca="false">I14*D14</f>
        <v>0.00224064338598321</v>
      </c>
      <c r="K14" s="131" t="n">
        <f aca="false">I14*E14</f>
        <v>0.00490066821294667</v>
      </c>
      <c r="L14" s="131" t="n">
        <f aca="false">I14*F14</f>
        <v>0.00341334713495545</v>
      </c>
      <c r="M14" s="131" t="n">
        <f aca="false">I14*G14</f>
        <v>0.00879031369971171</v>
      </c>
    </row>
    <row r="15" s="2" customFormat="true" ht="15.75" hidden="false" customHeight="false" outlineLevel="0" collapsed="false">
      <c r="A15" s="129" t="s">
        <v>196</v>
      </c>
      <c r="B15" s="127" t="n">
        <v>120339.557905932</v>
      </c>
      <c r="C15" s="48" t="s">
        <v>133</v>
      </c>
      <c r="D15" s="49" t="n">
        <v>0.0637247845334774</v>
      </c>
      <c r="E15" s="130" t="n">
        <f aca="false">F15+4.23%</f>
        <v>0.139376943200201</v>
      </c>
      <c r="F15" s="52" t="n">
        <v>0.097076943200201</v>
      </c>
      <c r="G15" s="52" t="n">
        <v>0.3</v>
      </c>
      <c r="H15" s="80" t="s">
        <v>98</v>
      </c>
      <c r="I15" s="131" t="n">
        <f aca="false">B15/$B$32</f>
        <v>0.0514079334107384</v>
      </c>
      <c r="J15" s="131" t="n">
        <f aca="false">I15*D15</f>
        <v>0.00327595947991066</v>
      </c>
      <c r="K15" s="131" t="n">
        <f aca="false">I15*E15</f>
        <v>0.0071650806150282</v>
      </c>
      <c r="L15" s="131" t="n">
        <f aca="false">I15*F15</f>
        <v>0.00499052503175397</v>
      </c>
      <c r="M15" s="131" t="n">
        <f aca="false">I15*G15</f>
        <v>0.0154223800232215</v>
      </c>
    </row>
    <row r="16" s="2" customFormat="true" ht="15.75" hidden="false" customHeight="false" outlineLevel="0" collapsed="false">
      <c r="A16" s="129" t="s">
        <v>197</v>
      </c>
      <c r="B16" s="127" t="n">
        <v>26794.7472398805</v>
      </c>
      <c r="C16" s="48" t="s">
        <v>134</v>
      </c>
      <c r="D16" s="49" t="n">
        <v>0.0765096942831406</v>
      </c>
      <c r="E16" s="130" t="n">
        <f aca="false">F16+4.23%</f>
        <v>0.158853195127514</v>
      </c>
      <c r="F16" s="52" t="n">
        <v>0.116553195127514</v>
      </c>
      <c r="G16" s="52" t="n">
        <v>0.3</v>
      </c>
      <c r="H16" s="80" t="s">
        <v>98</v>
      </c>
      <c r="I16" s="131" t="n">
        <f aca="false">B16/$B$32</f>
        <v>0.0114464653671247</v>
      </c>
      <c r="J16" s="131" t="n">
        <f aca="false">I16*D16</f>
        <v>0.000875765565861266</v>
      </c>
      <c r="K16" s="131" t="n">
        <f aca="false">I16*E16</f>
        <v>0.00181830759648419</v>
      </c>
      <c r="L16" s="131" t="n">
        <f aca="false">I16*F16</f>
        <v>0.00133412211145481</v>
      </c>
      <c r="M16" s="131" t="n">
        <f aca="false">I16*G16</f>
        <v>0.0034339396101374</v>
      </c>
    </row>
    <row r="17" s="2" customFormat="true" ht="15.75" hidden="false" customHeight="false" outlineLevel="0" collapsed="false">
      <c r="A17" s="129" t="s">
        <v>198</v>
      </c>
      <c r="B17" s="127" t="n">
        <v>14937.86178617</v>
      </c>
      <c r="C17" s="48" t="s">
        <v>124</v>
      </c>
      <c r="D17" s="49" t="n">
        <v>0.0186779540873986</v>
      </c>
      <c r="E17" s="130" t="n">
        <f aca="false">F17+4.23%</f>
        <v>0.0707535868000589</v>
      </c>
      <c r="F17" s="52" t="n">
        <v>0.0284535868000589</v>
      </c>
      <c r="G17" s="52" t="n">
        <v>0.15</v>
      </c>
      <c r="H17" s="80" t="s">
        <v>98</v>
      </c>
      <c r="I17" s="131" t="n">
        <f aca="false">B17/$B$32</f>
        <v>0.00638131481754753</v>
      </c>
      <c r="J17" s="131" t="n">
        <f aca="false">I17*D17</f>
        <v>0.000119189905179389</v>
      </c>
      <c r="K17" s="131" t="n">
        <f aca="false">I17*E17</f>
        <v>0.000451500911841851</v>
      </c>
      <c r="L17" s="131" t="n">
        <f aca="false">I17*F17</f>
        <v>0.000181571295059591</v>
      </c>
      <c r="M17" s="131" t="n">
        <f aca="false">I17*G17</f>
        <v>0.000957197222632129</v>
      </c>
    </row>
    <row r="18" s="2" customFormat="true" ht="15.75" hidden="false" customHeight="false" outlineLevel="0" collapsed="false">
      <c r="A18" s="129" t="s">
        <v>199</v>
      </c>
      <c r="B18" s="127" t="n">
        <v>160610.994054734</v>
      </c>
      <c r="C18" s="48" t="s">
        <v>119</v>
      </c>
      <c r="D18" s="49" t="n">
        <v>0.0212748888802989</v>
      </c>
      <c r="E18" s="130" t="n">
        <f aca="false">F18+4.23%</f>
        <v>0.0747097004727944</v>
      </c>
      <c r="F18" s="52" t="n">
        <v>0.0324097004727944</v>
      </c>
      <c r="G18" s="52" t="n">
        <v>0.33</v>
      </c>
      <c r="H18" s="80" t="s">
        <v>98</v>
      </c>
      <c r="I18" s="131" t="n">
        <f aca="false">B18/$B$32</f>
        <v>0.0686115142109167</v>
      </c>
      <c r="J18" s="131" t="n">
        <f aca="false">I18*D18</f>
        <v>0.0014597023407463</v>
      </c>
      <c r="K18" s="131" t="n">
        <f aca="false">I18*E18</f>
        <v>0.00512594567568246</v>
      </c>
      <c r="L18" s="131" t="n">
        <f aca="false">I18*F18</f>
        <v>0.00222367862456069</v>
      </c>
      <c r="M18" s="131" t="n">
        <f aca="false">I18*G18</f>
        <v>0.0226417996896025</v>
      </c>
    </row>
    <row r="19" s="2" customFormat="true" ht="15.75" hidden="false" customHeight="false" outlineLevel="0" collapsed="false">
      <c r="A19" s="129" t="s">
        <v>200</v>
      </c>
      <c r="B19" s="127" t="n">
        <v>22745.3413050622</v>
      </c>
      <c r="C19" s="48" t="s">
        <v>135</v>
      </c>
      <c r="D19" s="49" t="n">
        <v>0.0849996734137763</v>
      </c>
      <c r="E19" s="130" t="n">
        <f aca="false">F19+4.23%</f>
        <v>0.171786643672995</v>
      </c>
      <c r="F19" s="52" t="n">
        <v>0.129486643672995</v>
      </c>
      <c r="G19" s="52" t="n">
        <v>0.32</v>
      </c>
      <c r="H19" s="80" t="s">
        <v>98</v>
      </c>
      <c r="I19" s="131" t="n">
        <f aca="false">B19/$B$32</f>
        <v>0.00971659703228409</v>
      </c>
      <c r="J19" s="131" t="n">
        <f aca="false">I19*D19</f>
        <v>0.000825907574437416</v>
      </c>
      <c r="K19" s="131" t="n">
        <f aca="false">I19*E19</f>
        <v>0.00166918159209907</v>
      </c>
      <c r="L19" s="131" t="n">
        <f aca="false">I19*F19</f>
        <v>0.00125816953763345</v>
      </c>
      <c r="M19" s="131" t="n">
        <f aca="false">I19*G19</f>
        <v>0.00310931105033091</v>
      </c>
    </row>
    <row r="20" s="2" customFormat="true" ht="15.75" hidden="false" customHeight="false" outlineLevel="0" collapsed="false">
      <c r="A20" s="129" t="s">
        <v>201</v>
      </c>
      <c r="B20" s="127" t="n">
        <v>13372.354511716</v>
      </c>
      <c r="C20" s="48" t="s">
        <v>116</v>
      </c>
      <c r="D20" s="49" t="n">
        <v>0.0382548471415703</v>
      </c>
      <c r="E20" s="130" t="n">
        <f aca="false">F20+4.23%</f>
        <v>0.100576597563757</v>
      </c>
      <c r="F20" s="52" t="n">
        <v>0.058276597563757</v>
      </c>
      <c r="G20" s="52" t="n">
        <v>0.32</v>
      </c>
      <c r="H20" s="80" t="s">
        <v>98</v>
      </c>
      <c r="I20" s="131" t="n">
        <f aca="false">B20/$B$32</f>
        <v>0.00571254475457234</v>
      </c>
      <c r="J20" s="131" t="n">
        <f aca="false">I20*D20</f>
        <v>0.000218532526375544</v>
      </c>
      <c r="K20" s="131" t="n">
        <f aca="false">I20*E20</f>
        <v>0.000574548314845573</v>
      </c>
      <c r="L20" s="131" t="n">
        <f aca="false">I20*F20</f>
        <v>0.000332907671727163</v>
      </c>
      <c r="M20" s="131" t="n">
        <f aca="false">I20*G20</f>
        <v>0.00182801432146315</v>
      </c>
    </row>
    <row r="21" s="2" customFormat="true" ht="15.75" hidden="false" customHeight="false" outlineLevel="0" collapsed="false">
      <c r="A21" s="129" t="s">
        <v>202</v>
      </c>
      <c r="B21" s="127" t="n">
        <v>19876.1284857857</v>
      </c>
      <c r="C21" s="48" t="s">
        <v>135</v>
      </c>
      <c r="D21" s="49" t="n">
        <v>0.0849996734137763</v>
      </c>
      <c r="E21" s="130" t="n">
        <f aca="false">F21+4.23%</f>
        <v>0.171786643672995</v>
      </c>
      <c r="F21" s="52" t="n">
        <v>0.129486643672995</v>
      </c>
      <c r="G21" s="52" t="n">
        <v>0.3</v>
      </c>
      <c r="H21" s="80" t="s">
        <v>98</v>
      </c>
      <c r="I21" s="131" t="n">
        <f aca="false">B21/$B$32</f>
        <v>0.0084908961561856</v>
      </c>
      <c r="J21" s="131" t="n">
        <f aca="false">I21*D21</f>
        <v>0.000721723400266065</v>
      </c>
      <c r="K21" s="131" t="n">
        <f aca="false">I21*E21</f>
        <v>0.00145862255244706</v>
      </c>
      <c r="L21" s="131" t="n">
        <f aca="false">I21*F21</f>
        <v>0.00109945764504041</v>
      </c>
      <c r="M21" s="131" t="n">
        <f aca="false">I21*G21</f>
        <v>0.00254726884685568</v>
      </c>
    </row>
    <row r="22" s="2" customFormat="true" ht="15.75" hidden="false" customHeight="false" outlineLevel="0" collapsed="false">
      <c r="A22" s="129" t="s">
        <v>203</v>
      </c>
      <c r="B22" s="127" t="n">
        <v>252261.880141151</v>
      </c>
      <c r="C22" s="48" t="s">
        <v>118</v>
      </c>
      <c r="D22" s="49" t="n">
        <v>0.0552348054028417</v>
      </c>
      <c r="E22" s="130" t="n">
        <f aca="false">F22+4.23%</f>
        <v>0.12644349465472</v>
      </c>
      <c r="F22" s="52" t="n">
        <v>0.0841434946547197</v>
      </c>
      <c r="G22" s="52" t="n">
        <v>0.3</v>
      </c>
      <c r="H22" s="80" t="s">
        <v>98</v>
      </c>
      <c r="I22" s="131" t="n">
        <f aca="false">B22/$B$32</f>
        <v>0.10776391539099</v>
      </c>
      <c r="J22" s="131" t="n">
        <f aca="false">I22*D22</f>
        <v>0.00595231889606962</v>
      </c>
      <c r="K22" s="131" t="n">
        <f aca="false">I22*E22</f>
        <v>0.0136260460597123</v>
      </c>
      <c r="L22" s="131" t="n">
        <f aca="false">I22*F22</f>
        <v>0.00906763243867341</v>
      </c>
      <c r="M22" s="131" t="n">
        <f aca="false">I22*G22</f>
        <v>0.0323291746172969</v>
      </c>
    </row>
    <row r="23" s="2" customFormat="true" ht="15.75" hidden="false" customHeight="false" outlineLevel="0" collapsed="false">
      <c r="A23" s="129" t="s">
        <v>204</v>
      </c>
      <c r="B23" s="127" t="n">
        <v>14251.6422350968</v>
      </c>
      <c r="C23" s="48" t="s">
        <v>117</v>
      </c>
      <c r="D23" s="49" t="n">
        <v>0.046744826272206</v>
      </c>
      <c r="E23" s="130" t="n">
        <f aca="false">F23+4.23%</f>
        <v>0.113510046109238</v>
      </c>
      <c r="F23" s="52" t="n">
        <v>0.0712100461092384</v>
      </c>
      <c r="G23" s="52" t="n">
        <v>0.28</v>
      </c>
      <c r="H23" s="80" t="s">
        <v>98</v>
      </c>
      <c r="I23" s="131" t="n">
        <f aca="false">B23/$B$32</f>
        <v>0.00608816824462849</v>
      </c>
      <c r="J23" s="131" t="n">
        <f aca="false">I23*D23</f>
        <v>0.00028459036691112</v>
      </c>
      <c r="K23" s="131" t="n">
        <f aca="false">I23*E23</f>
        <v>0.000691068258168581</v>
      </c>
      <c r="L23" s="131" t="n">
        <f aca="false">I23*F23</f>
        <v>0.000433538741420796</v>
      </c>
      <c r="M23" s="131" t="n">
        <f aca="false">I23*G23</f>
        <v>0.00170468710849598</v>
      </c>
    </row>
    <row r="24" s="2" customFormat="true" ht="15.75" hidden="false" customHeight="false" outlineLevel="0" collapsed="false">
      <c r="A24" s="129" t="s">
        <v>205</v>
      </c>
      <c r="B24" s="127" t="n">
        <v>32808.0566009436</v>
      </c>
      <c r="C24" s="48" t="s">
        <v>133</v>
      </c>
      <c r="D24" s="49" t="n">
        <v>0.0637247845334774</v>
      </c>
      <c r="E24" s="130" t="n">
        <f aca="false">F24+4.23%</f>
        <v>0.139376943200201</v>
      </c>
      <c r="F24" s="52" t="n">
        <v>0.097076943200201</v>
      </c>
      <c r="G24" s="52" t="n">
        <v>0.3</v>
      </c>
      <c r="H24" s="80" t="s">
        <v>98</v>
      </c>
      <c r="I24" s="131" t="n">
        <f aca="false">B24/$B$32</f>
        <v>0.0140152948741547</v>
      </c>
      <c r="J24" s="131" t="n">
        <f aca="false">I24*D24</f>
        <v>0.000893121646028657</v>
      </c>
      <c r="K24" s="131" t="n">
        <f aca="false">I24*E24</f>
        <v>0.00195340895760912</v>
      </c>
      <c r="L24" s="131" t="n">
        <f aca="false">I24*F24</f>
        <v>0.00136056198443238</v>
      </c>
      <c r="M24" s="131" t="n">
        <f aca="false">I24*G24</f>
        <v>0.0042045884622464</v>
      </c>
    </row>
    <row r="25" s="2" customFormat="true" ht="15.75" hidden="false" customHeight="false" outlineLevel="0" collapsed="false">
      <c r="A25" s="129" t="s">
        <v>206</v>
      </c>
      <c r="B25" s="127" t="n">
        <v>401144.998373585</v>
      </c>
      <c r="C25" s="48" t="s">
        <v>120</v>
      </c>
      <c r="D25" s="49" t="n">
        <v>0.0255698194993264</v>
      </c>
      <c r="E25" s="130" t="n">
        <f aca="false">F25+4.23%</f>
        <v>0.0812525038546261</v>
      </c>
      <c r="F25" s="52" t="n">
        <v>0.0389525038546261</v>
      </c>
      <c r="G25" s="52" t="n">
        <v>0.27</v>
      </c>
      <c r="H25" s="80" t="s">
        <v>98</v>
      </c>
      <c r="I25" s="131" t="n">
        <f aca="false">B25/$B$32</f>
        <v>0.171365390760036</v>
      </c>
      <c r="J25" s="131" t="n">
        <f aca="false">I25*D25</f>
        <v>0.00438178211016566</v>
      </c>
      <c r="K25" s="131" t="n">
        <f aca="false">I25*E25</f>
        <v>0.0139238670732794</v>
      </c>
      <c r="L25" s="131" t="n">
        <f aca="false">I25*F25</f>
        <v>0.00667511104412983</v>
      </c>
      <c r="M25" s="131" t="n">
        <f aca="false">I25*G25</f>
        <v>0.0462686555052099</v>
      </c>
    </row>
    <row r="26" customFormat="false" ht="15.75" hidden="false" customHeight="false" outlineLevel="0" collapsed="false">
      <c r="A26" s="129" t="s">
        <v>207</v>
      </c>
      <c r="B26" s="127" t="n">
        <v>4858.88584077236</v>
      </c>
      <c r="C26" s="48" t="s">
        <v>117</v>
      </c>
      <c r="D26" s="49" t="n">
        <v>0.046744826272206</v>
      </c>
      <c r="E26" s="130" t="n">
        <f aca="false">F26+4.23%</f>
        <v>0.113510046109238</v>
      </c>
      <c r="F26" s="52" t="n">
        <v>0.0712100461092384</v>
      </c>
      <c r="G26" s="52" t="n">
        <v>0.25</v>
      </c>
      <c r="H26" s="80" t="s">
        <v>98</v>
      </c>
      <c r="I26" s="131" t="n">
        <f aca="false">B26/$B$32</f>
        <v>0.00207567057831524</v>
      </c>
      <c r="J26" s="131" t="n">
        <f aca="false">I26*D26</f>
        <v>9.70268605816752E-005</v>
      </c>
      <c r="K26" s="131" t="n">
        <f aca="false">I26*E26</f>
        <v>0.000235609463052152</v>
      </c>
      <c r="L26" s="131" t="n">
        <f aca="false">I26*F26</f>
        <v>0.000147808597589418</v>
      </c>
      <c r="M26" s="131" t="n">
        <f aca="false">I26*G26</f>
        <v>0.000518917644578809</v>
      </c>
    </row>
    <row r="27" s="2" customFormat="true" ht="15.75" hidden="false" customHeight="false" outlineLevel="0" collapsed="false">
      <c r="A27" s="129" t="s">
        <v>208</v>
      </c>
      <c r="B27" s="127" t="n">
        <v>78844.4053852195</v>
      </c>
      <c r="C27" s="48" t="s">
        <v>116</v>
      </c>
      <c r="D27" s="49" t="n">
        <v>0.0382548471415703</v>
      </c>
      <c r="E27" s="130" t="n">
        <f aca="false">F27+4.23%</f>
        <v>0.100576597563757</v>
      </c>
      <c r="F27" s="52" t="n">
        <v>0.058276597563757</v>
      </c>
      <c r="G27" s="52" t="n">
        <v>0.3</v>
      </c>
      <c r="H27" s="80" t="s">
        <v>98</v>
      </c>
      <c r="I27" s="131" t="n">
        <f aca="false">B27/$B$32</f>
        <v>0.0336815924238395</v>
      </c>
      <c r="J27" s="131" t="n">
        <f aca="false">I27*D27</f>
        <v>0.00128848416965865</v>
      </c>
      <c r="K27" s="131" t="n">
        <f aca="false">I27*E27</f>
        <v>0.003387579966519</v>
      </c>
      <c r="L27" s="131" t="n">
        <f aca="false">I27*F27</f>
        <v>0.00196284860699058</v>
      </c>
      <c r="M27" s="131" t="n">
        <f aca="false">I27*G27</f>
        <v>0.0101044777271519</v>
      </c>
    </row>
    <row r="28" s="2" customFormat="true" ht="15.75" hidden="false" customHeight="false" outlineLevel="0" collapsed="false">
      <c r="A28" s="129" t="s">
        <v>209</v>
      </c>
      <c r="B28" s="127" t="n">
        <v>10651.180146531</v>
      </c>
      <c r="C28" s="48" t="s">
        <v>118</v>
      </c>
      <c r="D28" s="49" t="n">
        <v>0.0552348054028417</v>
      </c>
      <c r="E28" s="130" t="n">
        <f aca="false">F28+4.23%</f>
        <v>0.12644349465472</v>
      </c>
      <c r="F28" s="52" t="n">
        <v>0.0841434946547197</v>
      </c>
      <c r="G28" s="52" t="n">
        <v>0.27</v>
      </c>
      <c r="H28" s="80" t="s">
        <v>98</v>
      </c>
      <c r="I28" s="131" t="n">
        <f aca="false">B28/$B$32</f>
        <v>0.00455008452122336</v>
      </c>
      <c r="J28" s="131" t="n">
        <f aca="false">I28*D28</f>
        <v>0.000251323033096255</v>
      </c>
      <c r="K28" s="131" t="n">
        <f aca="false">I28*E28</f>
        <v>0.000575328587837829</v>
      </c>
      <c r="L28" s="131" t="n">
        <f aca="false">I28*F28</f>
        <v>0.000382860012590081</v>
      </c>
      <c r="M28" s="131" t="n">
        <f aca="false">I28*G28</f>
        <v>0.00122852282073031</v>
      </c>
    </row>
    <row r="29" s="2" customFormat="true" ht="15.75" hidden="false" customHeight="false" outlineLevel="0" collapsed="false">
      <c r="A29" s="129" t="s">
        <v>210</v>
      </c>
      <c r="B29" s="127" t="n">
        <v>51332.2856565422</v>
      </c>
      <c r="C29" s="48" t="s">
        <v>133</v>
      </c>
      <c r="D29" s="49" t="n">
        <v>0.0637247845334774</v>
      </c>
      <c r="E29" s="130" t="n">
        <f aca="false">F29+4.23%</f>
        <v>0.139376943200201</v>
      </c>
      <c r="F29" s="52" t="n">
        <v>0.097076943200201</v>
      </c>
      <c r="G29" s="52" t="n">
        <v>0.15</v>
      </c>
      <c r="H29" s="80" t="s">
        <v>98</v>
      </c>
      <c r="I29" s="131" t="n">
        <f aca="false">B29/$B$32</f>
        <v>0.0219286722402231</v>
      </c>
      <c r="J29" s="131" t="n">
        <f aca="false">I29*D29</f>
        <v>0.00139739991361346</v>
      </c>
      <c r="K29" s="131" t="n">
        <f aca="false">I29*E29</f>
        <v>0.00305635130528139</v>
      </c>
      <c r="L29" s="131" t="n">
        <f aca="false">I29*F29</f>
        <v>0.00212876846951996</v>
      </c>
      <c r="M29" s="131" t="n">
        <f aca="false">I29*G29</f>
        <v>0.00328930083603346</v>
      </c>
    </row>
    <row r="30" s="2" customFormat="true" ht="15.75" hidden="false" customHeight="false" outlineLevel="0" collapsed="false">
      <c r="A30" s="129" t="s">
        <v>211</v>
      </c>
      <c r="B30" s="127" t="n">
        <v>53911.9070861525</v>
      </c>
      <c r="C30" s="48" t="s">
        <v>118</v>
      </c>
      <c r="D30" s="49" t="n">
        <v>0.0552348054028417</v>
      </c>
      <c r="E30" s="130" t="n">
        <f aca="false">F30+4.23%</f>
        <v>0.12644349465472</v>
      </c>
      <c r="F30" s="52" t="n">
        <v>0.0841434946547197</v>
      </c>
      <c r="G30" s="52" t="n">
        <v>0.3</v>
      </c>
      <c r="H30" s="80" t="s">
        <v>98</v>
      </c>
      <c r="I30" s="131" t="n">
        <f aca="false">B30/$B$32</f>
        <v>0.0230306623836636</v>
      </c>
      <c r="J30" s="131" t="n">
        <f aca="false">I30*D30</f>
        <v>0.0012720941550602</v>
      </c>
      <c r="K30" s="131" t="n">
        <f aca="false">I30*E30</f>
        <v>0.00291207743600342</v>
      </c>
      <c r="L30" s="131" t="n">
        <f aca="false">I30*F30</f>
        <v>0.00193788041717445</v>
      </c>
      <c r="M30" s="131" t="n">
        <f aca="false">I30*G30</f>
        <v>0.00690919871509907</v>
      </c>
    </row>
    <row r="31" s="2" customFormat="true" ht="15.75" hidden="false" customHeight="false" outlineLevel="0" collapsed="false">
      <c r="A31" s="129" t="s">
        <v>212</v>
      </c>
      <c r="B31" s="127" t="n">
        <v>25303.1853422511</v>
      </c>
      <c r="C31" s="48" t="s">
        <v>134</v>
      </c>
      <c r="D31" s="49" t="n">
        <v>0.0765096942831406</v>
      </c>
      <c r="E31" s="130" t="n">
        <f aca="false">F31+4.23%</f>
        <v>0.158853195127514</v>
      </c>
      <c r="F31" s="52" t="n">
        <v>0.116553195127514</v>
      </c>
      <c r="G31" s="52" t="n">
        <v>0.3</v>
      </c>
      <c r="H31" s="80" t="s">
        <v>98</v>
      </c>
      <c r="I31" s="131" t="n">
        <f aca="false">B31/$B$32</f>
        <v>0.0108092840774006</v>
      </c>
      <c r="J31" s="131" t="n">
        <f aca="false">I31*D31</f>
        <v>0.000827015020181539</v>
      </c>
      <c r="K31" s="131" t="n">
        <f aca="false">I31*E31</f>
        <v>0.00171708931273605</v>
      </c>
      <c r="L31" s="131" t="n">
        <f aca="false">I31*F31</f>
        <v>0.001259856596262</v>
      </c>
      <c r="M31" s="131" t="n">
        <f aca="false">I31*G31</f>
        <v>0.00324278522322018</v>
      </c>
    </row>
    <row r="32" s="1" customFormat="true" ht="15.75" hidden="false" customHeight="false" outlineLevel="0" collapsed="false">
      <c r="A32" s="132" t="s">
        <v>98</v>
      </c>
      <c r="B32" s="133" t="n">
        <f aca="false">SUM(B2:B31)</f>
        <v>2340875.22920722</v>
      </c>
      <c r="C32" s="134"/>
      <c r="D32" s="135" t="n">
        <f aca="false">SUM(J2:J31)</f>
        <v>0.0506723044681715</v>
      </c>
      <c r="E32" s="130" t="n">
        <f aca="false">F32+4.23%</f>
        <v>0.119493080505368</v>
      </c>
      <c r="F32" s="135" t="n">
        <f aca="false">SUM(L2:L31)</f>
        <v>0.0771930805053684</v>
      </c>
      <c r="G32" s="135" t="n">
        <f aca="false">SUM(M2:M31)</f>
        <v>0.273901739052763</v>
      </c>
      <c r="H32" s="132"/>
      <c r="I32" s="136" t="n">
        <f aca="false">SUM(I2:I31)</f>
        <v>1</v>
      </c>
    </row>
    <row r="33" s="1" customFormat="true" ht="15.75" hidden="false" customHeight="false" outlineLevel="0" collapsed="false">
      <c r="A33" s="129" t="s">
        <v>213</v>
      </c>
      <c r="B33" s="127" t="n">
        <v>450119.432068852</v>
      </c>
      <c r="C33" s="48" t="s">
        <v>117</v>
      </c>
      <c r="D33" s="49" t="n">
        <v>0.046744826272206</v>
      </c>
      <c r="E33" s="130" t="n">
        <f aca="false">F33+4.23%</f>
        <v>0.113510046109238</v>
      </c>
      <c r="F33" s="52" t="n">
        <v>0.0712100461092384</v>
      </c>
      <c r="G33" s="52" t="n">
        <v>0.275</v>
      </c>
      <c r="H33" s="80" t="s">
        <v>77</v>
      </c>
      <c r="I33" s="131" t="n">
        <f aca="false">B33/$B$57</f>
        <v>0.0129599060734228</v>
      </c>
      <c r="J33" s="131" t="n">
        <f aca="false">I33*D33</f>
        <v>0.000605808557906256</v>
      </c>
      <c r="K33" s="131" t="n">
        <f aca="false">I33*E33</f>
        <v>0.00147107953596562</v>
      </c>
      <c r="L33" s="131" t="n">
        <f aca="false">I33*F33</f>
        <v>0.000922875509059836</v>
      </c>
      <c r="M33" s="131" t="n">
        <f aca="false">I33*G33</f>
        <v>0.00356397417019127</v>
      </c>
    </row>
    <row r="34" s="2" customFormat="true" ht="15.75" hidden="false" customHeight="false" outlineLevel="0" collapsed="false">
      <c r="A34" s="129" t="s">
        <v>214</v>
      </c>
      <c r="B34" s="127" t="n">
        <v>46352.6470372406</v>
      </c>
      <c r="C34" s="48" t="s">
        <v>117</v>
      </c>
      <c r="D34" s="49" t="n">
        <v>0.046744826272206</v>
      </c>
      <c r="E34" s="130" t="n">
        <f aca="false">F34+4.23%</f>
        <v>0.113510046109238</v>
      </c>
      <c r="F34" s="52" t="n">
        <v>0.0712100461092384</v>
      </c>
      <c r="G34" s="52" t="n">
        <v>0.2</v>
      </c>
      <c r="H34" s="80" t="s">
        <v>77</v>
      </c>
      <c r="I34" s="131" t="n">
        <f aca="false">B34/$B$57</f>
        <v>0.00133459235273643</v>
      </c>
      <c r="J34" s="131" t="n">
        <f aca="false">I34*D34</f>
        <v>6.23852876728793E-005</v>
      </c>
      <c r="K34" s="131" t="n">
        <f aca="false">I34*E34</f>
        <v>0.00015148963949615</v>
      </c>
      <c r="L34" s="131" t="n">
        <f aca="false">I34*F34</f>
        <v>9.50363829753984E-005</v>
      </c>
      <c r="M34" s="131" t="n">
        <f aca="false">I34*G34</f>
        <v>0.000266918470547287</v>
      </c>
    </row>
    <row r="35" s="2" customFormat="true" ht="15.75" hidden="false" customHeight="false" outlineLevel="0" collapsed="false">
      <c r="A35" s="129" t="s">
        <v>215</v>
      </c>
      <c r="B35" s="127" t="n">
        <v>18743803.1708272</v>
      </c>
      <c r="C35" s="48" t="s">
        <v>109</v>
      </c>
      <c r="D35" s="49" t="n">
        <v>0.00599292644515462</v>
      </c>
      <c r="E35" s="130" t="n">
        <f aca="false">F35+4.23%</f>
        <v>0.051429493090928</v>
      </c>
      <c r="F35" s="52" t="n">
        <v>0.009129493090928</v>
      </c>
      <c r="G35" s="52" t="n">
        <v>0.25</v>
      </c>
      <c r="H35" s="80" t="s">
        <v>77</v>
      </c>
      <c r="I35" s="131" t="n">
        <f aca="false">B35/$B$57</f>
        <v>0.539674386942456</v>
      </c>
      <c r="J35" s="131" t="n">
        <f aca="false">I35*D35</f>
        <v>0.00323422890528005</v>
      </c>
      <c r="K35" s="131" t="n">
        <f aca="false">I35*E35</f>
        <v>0.0277551801546079</v>
      </c>
      <c r="L35" s="131" t="n">
        <f aca="false">I35*F35</f>
        <v>0.00492695358694196</v>
      </c>
      <c r="M35" s="131" t="n">
        <f aca="false">I35*G35</f>
        <v>0.134918596735614</v>
      </c>
    </row>
    <row r="36" s="2" customFormat="true" ht="15.75" hidden="false" customHeight="false" outlineLevel="0" collapsed="false">
      <c r="A36" s="129" t="s">
        <v>216</v>
      </c>
      <c r="B36" s="127" t="n">
        <v>5968.12590927126</v>
      </c>
      <c r="C36" s="48" t="s">
        <v>116</v>
      </c>
      <c r="D36" s="49" t="n">
        <v>0.0382548471415703</v>
      </c>
      <c r="E36" s="130" t="n">
        <f aca="false">F36+4.23%</f>
        <v>0.100576597563757</v>
      </c>
      <c r="F36" s="52" t="n">
        <v>0.058276597563757</v>
      </c>
      <c r="G36" s="52" t="n">
        <v>0.25</v>
      </c>
      <c r="H36" s="80" t="s">
        <v>77</v>
      </c>
      <c r="I36" s="131" t="n">
        <f aca="false">B36/$B$57</f>
        <v>0.000171835174640239</v>
      </c>
      <c r="J36" s="131" t="n">
        <f aca="false">I36*D36</f>
        <v>6.57352833940739E-006</v>
      </c>
      <c r="K36" s="131" t="n">
        <f aca="false">I36*E36</f>
        <v>1.72825972070893E-005</v>
      </c>
      <c r="L36" s="131" t="n">
        <f aca="false">I36*F36</f>
        <v>1.00139693198071E-005</v>
      </c>
      <c r="M36" s="131" t="n">
        <f aca="false">I36*G36</f>
        <v>4.29587936600598E-005</v>
      </c>
    </row>
    <row r="37" s="2" customFormat="true" ht="15.75" hidden="false" customHeight="false" outlineLevel="0" collapsed="false">
      <c r="A37" s="129" t="s">
        <v>217</v>
      </c>
      <c r="B37" s="127" t="n">
        <v>406863.396487342</v>
      </c>
      <c r="C37" s="48" t="s">
        <v>114</v>
      </c>
      <c r="D37" s="49" t="n">
        <v>0.00509398747838143</v>
      </c>
      <c r="E37" s="130" t="n">
        <f aca="false">F37+4.23%</f>
        <v>0.0500600691272888</v>
      </c>
      <c r="F37" s="52" t="n">
        <v>0.0077600691272888</v>
      </c>
      <c r="G37" s="52" t="n">
        <v>0.165</v>
      </c>
      <c r="H37" s="80" t="s">
        <v>77</v>
      </c>
      <c r="I37" s="131" t="n">
        <f aca="false">B37/$B$57</f>
        <v>0.0117144718212991</v>
      </c>
      <c r="J37" s="131" t="n">
        <f aca="false">I37*D37</f>
        <v>5.96733727735497E-005</v>
      </c>
      <c r="K37" s="131" t="n">
        <f aca="false">I37*E37</f>
        <v>0.00058642726916391</v>
      </c>
      <c r="L37" s="131" t="n">
        <f aca="false">I37*F37</f>
        <v>9.09051111229577E-005</v>
      </c>
      <c r="M37" s="131" t="n">
        <f aca="false">I37*G37</f>
        <v>0.00193288785051435</v>
      </c>
    </row>
    <row r="38" s="2" customFormat="true" ht="15.75" hidden="false" customHeight="false" outlineLevel="0" collapsed="false">
      <c r="A38" s="129" t="s">
        <v>218</v>
      </c>
      <c r="B38" s="127" t="n">
        <v>3909891.53385808</v>
      </c>
      <c r="C38" s="48" t="s">
        <v>124</v>
      </c>
      <c r="D38" s="49" t="n">
        <v>0.0186779540873986</v>
      </c>
      <c r="E38" s="130" t="n">
        <f aca="false">F38+4.23%</f>
        <v>0.0707535868000589</v>
      </c>
      <c r="F38" s="52" t="n">
        <v>0.0284535868000589</v>
      </c>
      <c r="G38" s="52" t="n">
        <v>0.3</v>
      </c>
      <c r="H38" s="80" t="s">
        <v>77</v>
      </c>
      <c r="I38" s="131" t="n">
        <f aca="false">B38/$B$57</f>
        <v>0.112574182374603</v>
      </c>
      <c r="J38" s="131" t="n">
        <f aca="false">I38*D38</f>
        <v>0.00210265540981927</v>
      </c>
      <c r="K38" s="131" t="n">
        <f aca="false">I38*E38</f>
        <v>0.00796502718408715</v>
      </c>
      <c r="L38" s="131" t="n">
        <f aca="false">I38*F38</f>
        <v>0.00320313926964143</v>
      </c>
      <c r="M38" s="131" t="n">
        <f aca="false">I38*G38</f>
        <v>0.0337722547123809</v>
      </c>
    </row>
    <row r="39" s="2" customFormat="true" ht="15.75" hidden="false" customHeight="false" outlineLevel="0" collapsed="false">
      <c r="A39" s="129" t="s">
        <v>219</v>
      </c>
      <c r="B39" s="127" t="n">
        <v>1396300.09819097</v>
      </c>
      <c r="C39" s="48" t="s">
        <v>123</v>
      </c>
      <c r="D39" s="49" t="n">
        <v>0.0161809014019175</v>
      </c>
      <c r="E39" s="130" t="n">
        <f aca="false">F39+4.23%</f>
        <v>0.0669496313455056</v>
      </c>
      <c r="F39" s="52" t="n">
        <v>0.0246496313455056</v>
      </c>
      <c r="G39" s="52" t="n">
        <v>0.22</v>
      </c>
      <c r="H39" s="80" t="s">
        <v>77</v>
      </c>
      <c r="I39" s="131" t="n">
        <f aca="false">B39/$B$57</f>
        <v>0.0402024814607382</v>
      </c>
      <c r="J39" s="131" t="n">
        <f aca="false">I39*D39</f>
        <v>0.00065051238862862</v>
      </c>
      <c r="K39" s="131" t="n">
        <f aca="false">I39*E39</f>
        <v>0.00269154131297095</v>
      </c>
      <c r="L39" s="131" t="n">
        <f aca="false">I39*F39</f>
        <v>0.00099097634718172</v>
      </c>
      <c r="M39" s="131" t="n">
        <f aca="false">I39*G39</f>
        <v>0.00884454592136241</v>
      </c>
    </row>
    <row r="40" s="2" customFormat="true" ht="15.75" hidden="false" customHeight="false" outlineLevel="0" collapsed="false">
      <c r="A40" s="129" t="s">
        <v>220</v>
      </c>
      <c r="B40" s="127" t="n">
        <v>4027597.52355058</v>
      </c>
      <c r="C40" s="48" t="s">
        <v>109</v>
      </c>
      <c r="D40" s="49" t="n">
        <v>0.00599292644515462</v>
      </c>
      <c r="E40" s="130" t="n">
        <f aca="false">F40+4.23%</f>
        <v>0.051429493090928</v>
      </c>
      <c r="F40" s="52" t="n">
        <v>0.009129493090928</v>
      </c>
      <c r="G40" s="52" t="n">
        <v>0.2974</v>
      </c>
      <c r="H40" s="80" t="s">
        <v>77</v>
      </c>
      <c r="I40" s="131" t="n">
        <f aca="false">B40/$B$57</f>
        <v>0.115963190851048</v>
      </c>
      <c r="J40" s="131" t="n">
        <f aca="false">I40*D40</f>
        <v>0.00069495887311576</v>
      </c>
      <c r="K40" s="131" t="n">
        <f aca="false">I40*E40</f>
        <v>0.00596392812267596</v>
      </c>
      <c r="L40" s="131" t="n">
        <f aca="false">I40*F40</f>
        <v>0.00105868514967661</v>
      </c>
      <c r="M40" s="131" t="n">
        <f aca="false">I40*G40</f>
        <v>0.0344874529591018</v>
      </c>
    </row>
    <row r="41" s="2" customFormat="true" ht="15.75" hidden="false" customHeight="false" outlineLevel="0" collapsed="false">
      <c r="A41" s="129" t="s">
        <v>221</v>
      </c>
      <c r="B41" s="127" t="n">
        <v>1875388.2094068</v>
      </c>
      <c r="C41" s="48" t="s">
        <v>113</v>
      </c>
      <c r="D41" s="49" t="n">
        <v>0.00419504851160823</v>
      </c>
      <c r="E41" s="130" t="n">
        <f aca="false">F41+4.23%</f>
        <v>0.0486906451636496</v>
      </c>
      <c r="F41" s="52" t="n">
        <v>0.0063906451636496</v>
      </c>
      <c r="G41" s="52" t="n">
        <v>0.264</v>
      </c>
      <c r="H41" s="80" t="s">
        <v>77</v>
      </c>
      <c r="I41" s="131" t="n">
        <f aca="false">B41/$B$57</f>
        <v>0.0539964580809276</v>
      </c>
      <c r="J41" s="131" t="n">
        <f aca="false">I41*D41</f>
        <v>0.000226517761104512</v>
      </c>
      <c r="K41" s="131" t="n">
        <f aca="false">I41*E41</f>
        <v>0.00262912238051233</v>
      </c>
      <c r="L41" s="131" t="n">
        <f aca="false">I41*F41</f>
        <v>0.000345072203689088</v>
      </c>
      <c r="M41" s="131" t="n">
        <f aca="false">I41*G41</f>
        <v>0.0142550649333649</v>
      </c>
    </row>
    <row r="42" s="2" customFormat="true" ht="15.75" hidden="false" customHeight="false" outlineLevel="0" collapsed="false">
      <c r="A42" s="129" t="s">
        <v>222</v>
      </c>
      <c r="B42" s="127" t="n">
        <v>16502.9331213379</v>
      </c>
      <c r="C42" s="48" t="s">
        <v>134</v>
      </c>
      <c r="D42" s="49" t="n">
        <v>0.0765096942831406</v>
      </c>
      <c r="E42" s="130" t="n">
        <f aca="false">F42+4.23%</f>
        <v>0.158853195127514</v>
      </c>
      <c r="F42" s="52" t="n">
        <v>0.116553195127514</v>
      </c>
      <c r="G42" s="52" t="n">
        <v>0.2</v>
      </c>
      <c r="H42" s="80" t="s">
        <v>77</v>
      </c>
      <c r="I42" s="131" t="n">
        <f aca="false">B42/$B$57</f>
        <v>0.000475154921007281</v>
      </c>
      <c r="J42" s="131" t="n">
        <f aca="false">I42*D42</f>
        <v>3.63539577433969E-005</v>
      </c>
      <c r="K42" s="131" t="n">
        <f aca="false">I42*E42</f>
        <v>7.54798773825682E-005</v>
      </c>
      <c r="L42" s="131" t="n">
        <f aca="false">I42*F42</f>
        <v>5.53808242239602E-005</v>
      </c>
      <c r="M42" s="131" t="n">
        <f aca="false">I42*G42</f>
        <v>9.50309842014563E-005</v>
      </c>
    </row>
    <row r="43" s="2" customFormat="true" ht="15.75" hidden="false" customHeight="false" outlineLevel="0" collapsed="false">
      <c r="A43" s="129" t="s">
        <v>223</v>
      </c>
      <c r="B43" s="127" t="n">
        <v>49467.2589233244</v>
      </c>
      <c r="C43" s="48" t="s">
        <v>114</v>
      </c>
      <c r="D43" s="49" t="n">
        <v>0.00509398747838143</v>
      </c>
      <c r="E43" s="130" t="n">
        <f aca="false">F43+4.23%</f>
        <v>0.0500600691272888</v>
      </c>
      <c r="F43" s="52" t="n">
        <v>0.0077600691272888</v>
      </c>
      <c r="G43" s="52" t="n">
        <v>0.25</v>
      </c>
      <c r="H43" s="80" t="s">
        <v>77</v>
      </c>
      <c r="I43" s="131" t="n">
        <f aca="false">B43/$B$57</f>
        <v>0.00142426872443469</v>
      </c>
      <c r="J43" s="131" t="n">
        <f aca="false">I43*D43</f>
        <v>7.25520704812058E-006</v>
      </c>
      <c r="K43" s="131" t="n">
        <f aca="false">I43*E43</f>
        <v>7.12989908010359E-005</v>
      </c>
      <c r="L43" s="131" t="n">
        <f aca="false">I43*F43</f>
        <v>1.10524237574486E-005</v>
      </c>
      <c r="M43" s="131" t="n">
        <f aca="false">I43*G43</f>
        <v>0.000356067181108672</v>
      </c>
    </row>
    <row r="44" s="2" customFormat="true" ht="15.75" hidden="false" customHeight="false" outlineLevel="0" collapsed="false">
      <c r="A44" s="129" t="s">
        <v>224</v>
      </c>
      <c r="B44" s="127" t="n">
        <v>422227.005428688</v>
      </c>
      <c r="C44" s="48" t="s">
        <v>111</v>
      </c>
      <c r="D44" s="49" t="n">
        <v>0.0101879749567629</v>
      </c>
      <c r="E44" s="130" t="n">
        <f aca="false">F44+4.23%</f>
        <v>0.0578201382545776</v>
      </c>
      <c r="F44" s="52" t="n">
        <v>0.0155201382545776</v>
      </c>
      <c r="G44" s="52" t="n">
        <v>0.24</v>
      </c>
      <c r="H44" s="80" t="s">
        <v>77</v>
      </c>
      <c r="I44" s="131" t="n">
        <f aca="false">B44/$B$57</f>
        <v>0.0121568231499531</v>
      </c>
      <c r="J44" s="131" t="n">
        <f aca="false">I44*D44</f>
        <v>0.000123853409805517</v>
      </c>
      <c r="K44" s="131" t="n">
        <f aca="false">I44*E44</f>
        <v>0.000702909195266739</v>
      </c>
      <c r="L44" s="131" t="n">
        <f aca="false">I44*F44</f>
        <v>0.000188675576023722</v>
      </c>
      <c r="M44" s="131" t="n">
        <f aca="false">I44*G44</f>
        <v>0.00291763755598875</v>
      </c>
    </row>
    <row r="45" s="2" customFormat="true" ht="15.75" hidden="false" customHeight="false" outlineLevel="0" collapsed="false">
      <c r="A45" s="129" t="s">
        <v>225</v>
      </c>
      <c r="B45" s="127" t="n">
        <v>7061.60826725451</v>
      </c>
      <c r="C45" s="48" t="s">
        <v>134</v>
      </c>
      <c r="D45" s="49" t="n">
        <v>0.0765096942831406</v>
      </c>
      <c r="E45" s="130" t="n">
        <f aca="false">F45+4.23%</f>
        <v>0.158853195127514</v>
      </c>
      <c r="F45" s="52" t="n">
        <v>0.116553195127514</v>
      </c>
      <c r="G45" s="52" t="n">
        <v>0.15</v>
      </c>
      <c r="H45" s="80" t="s">
        <v>77</v>
      </c>
      <c r="I45" s="131" t="n">
        <f aca="false">B45/$B$57</f>
        <v>0.000203318882391475</v>
      </c>
      <c r="J45" s="131" t="n">
        <f aca="false">I45*D45</f>
        <v>1.55558655337615E-005</v>
      </c>
      <c r="K45" s="131" t="n">
        <f aca="false">I45*E45</f>
        <v>3.2297854097641E-005</v>
      </c>
      <c r="L45" s="131" t="n">
        <f aca="false">I45*F45</f>
        <v>2.36974653724816E-005</v>
      </c>
      <c r="M45" s="131" t="n">
        <f aca="false">I45*G45</f>
        <v>3.04978323587212E-005</v>
      </c>
    </row>
    <row r="46" s="2" customFormat="true" ht="15.75" hidden="false" customHeight="false" outlineLevel="0" collapsed="false">
      <c r="A46" s="129" t="s">
        <v>226</v>
      </c>
      <c r="B46" s="127" t="n">
        <v>23794.5400245132</v>
      </c>
      <c r="C46" s="48" t="s">
        <v>116</v>
      </c>
      <c r="D46" s="49" t="n">
        <v>0.0382548471415703</v>
      </c>
      <c r="E46" s="130" t="n">
        <f aca="false">F46+4.23%</f>
        <v>0.100576597563757</v>
      </c>
      <c r="F46" s="52" t="n">
        <v>0.058276597563757</v>
      </c>
      <c r="G46" s="52" t="n">
        <v>0.25</v>
      </c>
      <c r="H46" s="80" t="s">
        <v>77</v>
      </c>
      <c r="I46" s="131" t="n">
        <f aca="false">B46/$B$57</f>
        <v>0.000685095958556216</v>
      </c>
      <c r="J46" s="131" t="n">
        <f aca="false">I46*D46</f>
        <v>2.62082411718756E-005</v>
      </c>
      <c r="K46" s="131" t="n">
        <f aca="false">I46*E46</f>
        <v>6.8904620516265E-005</v>
      </c>
      <c r="L46" s="131" t="n">
        <f aca="false">I46*F46</f>
        <v>3.9925061469337E-005</v>
      </c>
      <c r="M46" s="131" t="n">
        <f aca="false">I46*G46</f>
        <v>0.000171273989639054</v>
      </c>
    </row>
    <row r="47" s="2" customFormat="true" ht="15.75" hidden="false" customHeight="false" outlineLevel="0" collapsed="false">
      <c r="A47" s="129" t="s">
        <v>227</v>
      </c>
      <c r="B47" s="127" t="n">
        <v>42914.2682867109</v>
      </c>
      <c r="C47" s="48" t="s">
        <v>121</v>
      </c>
      <c r="D47" s="49" t="n">
        <v>0.0305639248702886</v>
      </c>
      <c r="E47" s="130" t="n">
        <f aca="false">F47+4.23%</f>
        <v>0.0888604147637328</v>
      </c>
      <c r="F47" s="52" t="n">
        <v>0.0465604147637328</v>
      </c>
      <c r="G47" s="52" t="n">
        <v>0.25</v>
      </c>
      <c r="H47" s="80" t="s">
        <v>77</v>
      </c>
      <c r="I47" s="131" t="n">
        <f aca="false">B47/$B$57</f>
        <v>0.00123559403700742</v>
      </c>
      <c r="J47" s="131" t="n">
        <f aca="false">I47*D47</f>
        <v>3.77646033172713E-005</v>
      </c>
      <c r="K47" s="131" t="n">
        <f aca="false">I47*E47</f>
        <v>0.000109795398608074</v>
      </c>
      <c r="L47" s="131" t="n">
        <f aca="false">I47*F47</f>
        <v>5.75297708426605E-005</v>
      </c>
      <c r="M47" s="131" t="n">
        <f aca="false">I47*G47</f>
        <v>0.000308898509251855</v>
      </c>
    </row>
    <row r="48" s="2" customFormat="true" ht="15.75" hidden="false" customHeight="false" outlineLevel="0" collapsed="false">
      <c r="A48" s="129" t="s">
        <v>228</v>
      </c>
      <c r="B48" s="127" t="n">
        <v>371570.000121266</v>
      </c>
      <c r="C48" s="48" t="s">
        <v>133</v>
      </c>
      <c r="D48" s="49" t="n">
        <v>0.0637247845334774</v>
      </c>
      <c r="E48" s="130" t="n">
        <f aca="false">F48+4.23%</f>
        <v>0.139376943200201</v>
      </c>
      <c r="F48" s="52" t="n">
        <v>0.097076943200201</v>
      </c>
      <c r="G48" s="52" t="n">
        <v>0.29</v>
      </c>
      <c r="H48" s="80" t="s">
        <v>77</v>
      </c>
      <c r="I48" s="131" t="n">
        <f aca="false">B48/$B$57</f>
        <v>0.0106982990695161</v>
      </c>
      <c r="J48" s="131" t="n">
        <f aca="false">I48*D48</f>
        <v>0.000681746803079613</v>
      </c>
      <c r="K48" s="131" t="n">
        <f aca="false">I48*E48</f>
        <v>0.0014910962217507</v>
      </c>
      <c r="L48" s="131" t="n">
        <f aca="false">I48*F48</f>
        <v>0.00103855817111017</v>
      </c>
      <c r="M48" s="131" t="n">
        <f aca="false">I48*G48</f>
        <v>0.00310250673015966</v>
      </c>
    </row>
    <row r="49" s="2" customFormat="true" ht="15.75" hidden="false" customHeight="false" outlineLevel="0" collapsed="false">
      <c r="A49" s="129" t="s">
        <v>229</v>
      </c>
      <c r="B49" s="127" t="n">
        <v>31800.4282655246</v>
      </c>
      <c r="C49" s="48" t="s">
        <v>117</v>
      </c>
      <c r="D49" s="49" t="n">
        <v>0.046744826272206</v>
      </c>
      <c r="E49" s="130" t="n">
        <f aca="false">F49+4.23%</f>
        <v>0.113510046109238</v>
      </c>
      <c r="F49" s="52" t="n">
        <v>0.0712100461092384</v>
      </c>
      <c r="G49" s="52" t="n">
        <v>0.3</v>
      </c>
      <c r="H49" s="80" t="s">
        <v>77</v>
      </c>
      <c r="I49" s="131" t="n">
        <f aca="false">B49/$B$57</f>
        <v>0.000915602691315885</v>
      </c>
      <c r="J49" s="131" t="n">
        <f aca="false">I49*D49</f>
        <v>4.27996887399253E-005</v>
      </c>
      <c r="K49" s="131" t="n">
        <f aca="false">I49*E49</f>
        <v>0.000103930103709009</v>
      </c>
      <c r="L49" s="131" t="n">
        <f aca="false">I49*F49</f>
        <v>6.52001098663469E-005</v>
      </c>
      <c r="M49" s="131" t="n">
        <f aca="false">I49*G49</f>
        <v>0.000274680807394765</v>
      </c>
    </row>
    <row r="50" s="2" customFormat="true" ht="15.75" hidden="false" customHeight="false" outlineLevel="0" collapsed="false">
      <c r="A50" s="129" t="s">
        <v>230</v>
      </c>
      <c r="B50" s="127" t="n">
        <v>461617.509782355</v>
      </c>
      <c r="C50" s="48" t="s">
        <v>123</v>
      </c>
      <c r="D50" s="49" t="n">
        <v>0.0161809014019175</v>
      </c>
      <c r="E50" s="130" t="n">
        <f aca="false">F50+4.23%</f>
        <v>0.0669496313455056</v>
      </c>
      <c r="F50" s="52" t="n">
        <v>0.0246496313455056</v>
      </c>
      <c r="G50" s="52" t="n">
        <v>0.25</v>
      </c>
      <c r="H50" s="80" t="s">
        <v>77</v>
      </c>
      <c r="I50" s="131" t="n">
        <f aca="false">B50/$B$57</f>
        <v>0.0132909604482739</v>
      </c>
      <c r="J50" s="131" t="n">
        <f aca="false">I50*D50</f>
        <v>0.000215059720550305</v>
      </c>
      <c r="K50" s="131" t="n">
        <f aca="false">I50*E50</f>
        <v>0.000889824902239636</v>
      </c>
      <c r="L50" s="131" t="n">
        <f aca="false">I50*F50</f>
        <v>0.000327617275277648</v>
      </c>
      <c r="M50" s="131" t="n">
        <f aca="false">I50*G50</f>
        <v>0.00332274011206849</v>
      </c>
    </row>
    <row r="51" s="2" customFormat="true" ht="15.75" hidden="false" customHeight="false" outlineLevel="0" collapsed="false">
      <c r="A51" s="129" t="s">
        <v>231</v>
      </c>
      <c r="B51" s="127" t="n">
        <v>547386.645891847</v>
      </c>
      <c r="C51" s="48" t="s">
        <v>115</v>
      </c>
      <c r="D51" s="49" t="n">
        <v>0</v>
      </c>
      <c r="E51" s="130" t="n">
        <f aca="false">F51+4.23%</f>
        <v>0.0423</v>
      </c>
      <c r="F51" s="52" t="n">
        <v>0</v>
      </c>
      <c r="G51" s="52" t="n">
        <v>0.17</v>
      </c>
      <c r="H51" s="80" t="s">
        <v>77</v>
      </c>
      <c r="I51" s="131" t="n">
        <f aca="false">B51/$B$57</f>
        <v>0.0157604382552387</v>
      </c>
      <c r="J51" s="131" t="n">
        <f aca="false">I51*D51</f>
        <v>0</v>
      </c>
      <c r="K51" s="131" t="n">
        <f aca="false">I51*E51</f>
        <v>0.000666666538196599</v>
      </c>
      <c r="L51" s="131" t="n">
        <f aca="false">I51*F51</f>
        <v>0</v>
      </c>
      <c r="M51" s="131" t="n">
        <f aca="false">I51*G51</f>
        <v>0.00267927450339059</v>
      </c>
    </row>
    <row r="52" s="2" customFormat="true" ht="15.75" hidden="false" customHeight="false" outlineLevel="0" collapsed="false">
      <c r="A52" s="129" t="s">
        <v>232</v>
      </c>
      <c r="B52" s="127" t="n">
        <v>1583.96470375061</v>
      </c>
      <c r="C52" s="48" t="s">
        <v>133</v>
      </c>
      <c r="D52" s="49" t="n">
        <v>0.0637247845334774</v>
      </c>
      <c r="E52" s="130" t="n">
        <f aca="false">F52+4.23%</f>
        <v>0.139376943200201</v>
      </c>
      <c r="F52" s="52" t="n">
        <v>0.097076943200201</v>
      </c>
      <c r="G52" s="52" t="n">
        <v>0.3</v>
      </c>
      <c r="H52" s="80" t="s">
        <v>77</v>
      </c>
      <c r="I52" s="131" t="n">
        <f aca="false">B52/$B$57</f>
        <v>4.56057488784106E-005</v>
      </c>
      <c r="J52" s="131" t="n">
        <f aca="false">I52*D52</f>
        <v>2.9062165207646E-006</v>
      </c>
      <c r="K52" s="131" t="n">
        <f aca="false">I52*E52</f>
        <v>6.35638987102887E-006</v>
      </c>
      <c r="L52" s="131" t="n">
        <f aca="false">I52*F52</f>
        <v>4.4272666934721E-006</v>
      </c>
      <c r="M52" s="131" t="n">
        <f aca="false">I52*G52</f>
        <v>1.36817246635232E-005</v>
      </c>
    </row>
    <row r="53" s="2" customFormat="true" ht="15.75" hidden="false" customHeight="false" outlineLevel="0" collapsed="false">
      <c r="A53" s="129" t="s">
        <v>233</v>
      </c>
      <c r="B53" s="127" t="n">
        <v>98963.18550965</v>
      </c>
      <c r="C53" s="48" t="s">
        <v>126</v>
      </c>
      <c r="D53" s="49" t="n">
        <v>0.101979631675048</v>
      </c>
      <c r="E53" s="130" t="n">
        <f aca="false">F53+4.23%</f>
        <v>0.197653540763958</v>
      </c>
      <c r="F53" s="52" t="n">
        <v>0.155353540763958</v>
      </c>
      <c r="G53" s="52" t="n">
        <v>0.3</v>
      </c>
      <c r="H53" s="80" t="s">
        <v>77</v>
      </c>
      <c r="I53" s="131" t="n">
        <f aca="false">B53/$B$57</f>
        <v>0.00284936285251421</v>
      </c>
      <c r="J53" s="131" t="n">
        <f aca="false">I53*D53</f>
        <v>0.000290576974207962</v>
      </c>
      <c r="K53" s="131" t="n">
        <f aca="false">I53*E53</f>
        <v>0.000563186656720725</v>
      </c>
      <c r="L53" s="131" t="n">
        <f aca="false">I53*F53</f>
        <v>0.000442658608059374</v>
      </c>
      <c r="M53" s="131" t="n">
        <f aca="false">I53*G53</f>
        <v>0.000854808855754262</v>
      </c>
    </row>
    <row r="54" s="2" customFormat="true" ht="15.75" hidden="false" customHeight="false" outlineLevel="0" collapsed="false">
      <c r="A54" s="129" t="s">
        <v>234</v>
      </c>
      <c r="B54" s="127" t="n">
        <v>791610</v>
      </c>
      <c r="C54" s="48" t="s">
        <v>114</v>
      </c>
      <c r="D54" s="49" t="n">
        <v>0.00509398747838143</v>
      </c>
      <c r="E54" s="130" t="n">
        <f aca="false">F54+4.23%</f>
        <v>0.0500600691272888</v>
      </c>
      <c r="F54" s="52" t="n">
        <v>0.0077600691272888</v>
      </c>
      <c r="G54" s="52" t="n">
        <v>0.2</v>
      </c>
      <c r="H54" s="80" t="s">
        <v>77</v>
      </c>
      <c r="I54" s="131" t="n">
        <f aca="false">B54/$B$57</f>
        <v>0.0227921536282684</v>
      </c>
      <c r="J54" s="131" t="n">
        <f aca="false">I54*D54</f>
        <v>0.000116102945187745</v>
      </c>
      <c r="K54" s="131" t="n">
        <f aca="false">I54*E54</f>
        <v>0.0011409767861909</v>
      </c>
      <c r="L54" s="131" t="n">
        <f aca="false">I54*F54</f>
        <v>0.000176868687715149</v>
      </c>
      <c r="M54" s="131" t="n">
        <f aca="false">I54*G54</f>
        <v>0.00455843072565369</v>
      </c>
    </row>
    <row r="55" s="2" customFormat="true" ht="15.75" hidden="false" customHeight="false" outlineLevel="0" collapsed="false">
      <c r="A55" s="129" t="s">
        <v>235</v>
      </c>
      <c r="B55" s="127" t="n">
        <v>526517.658841684</v>
      </c>
      <c r="C55" s="48" t="s">
        <v>122</v>
      </c>
      <c r="D55" s="49" t="n">
        <v>0.0135839666090171</v>
      </c>
      <c r="E55" s="130" t="n">
        <f aca="false">F55+4.23%</f>
        <v>0.0629935176727701</v>
      </c>
      <c r="F55" s="52" t="n">
        <v>0.0206935176727701</v>
      </c>
      <c r="G55" s="52" t="n">
        <v>0.2</v>
      </c>
      <c r="H55" s="80" t="s">
        <v>77</v>
      </c>
      <c r="I55" s="131" t="n">
        <f aca="false">B55/$B$57</f>
        <v>0.015159575255891</v>
      </c>
      <c r="J55" s="131" t="n">
        <f aca="false">I55*D55</f>
        <v>0.000205927164082906</v>
      </c>
      <c r="K55" s="131" t="n">
        <f aca="false">I55*E55</f>
        <v>0.000954954971793659</v>
      </c>
      <c r="L55" s="131" t="n">
        <f aca="false">I55*F55</f>
        <v>0.000313704938469469</v>
      </c>
      <c r="M55" s="131" t="n">
        <f aca="false">I55*G55</f>
        <v>0.0030319150511782</v>
      </c>
    </row>
    <row r="56" s="2" customFormat="true" ht="15.75" hidden="false" customHeight="false" outlineLevel="0" collapsed="false">
      <c r="A56" s="129" t="s">
        <v>236</v>
      </c>
      <c r="B56" s="127" t="n">
        <v>476388.230307175</v>
      </c>
      <c r="C56" s="48" t="s">
        <v>120</v>
      </c>
      <c r="D56" s="49" t="n">
        <v>0.0255698194993264</v>
      </c>
      <c r="E56" s="130" t="n">
        <f aca="false">F56+4.23%</f>
        <v>0.0812525038546261</v>
      </c>
      <c r="F56" s="52" t="n">
        <v>0.0389525038546261</v>
      </c>
      <c r="G56" s="52" t="n">
        <v>0.2</v>
      </c>
      <c r="H56" s="80" t="s">
        <v>77</v>
      </c>
      <c r="I56" s="131" t="n">
        <f aca="false">B56/$B$57</f>
        <v>0.0137162412448808</v>
      </c>
      <c r="J56" s="131" t="n">
        <f aca="false">I56*D56</f>
        <v>0.000350721812840817</v>
      </c>
      <c r="K56" s="131" t="n">
        <f aca="false">I56*E56</f>
        <v>0.00111447894462066</v>
      </c>
      <c r="L56" s="131" t="n">
        <f aca="false">I56*F56</f>
        <v>0.0005342819399622</v>
      </c>
      <c r="M56" s="131" t="n">
        <f aca="false">I56*G56</f>
        <v>0.00274324824897615</v>
      </c>
    </row>
    <row r="57" s="1" customFormat="true" ht="15.75" hidden="false" customHeight="false" outlineLevel="0" collapsed="false">
      <c r="A57" s="132" t="s">
        <v>77</v>
      </c>
      <c r="B57" s="133" t="n">
        <f aca="false">SUM(B33:B56)</f>
        <v>34731689.3748114</v>
      </c>
      <c r="C57" s="134"/>
      <c r="D57" s="135" t="n">
        <f aca="false">SUM(J33:J56)</f>
        <v>0.00979614669447029</v>
      </c>
      <c r="E57" s="130" t="n">
        <f aca="false">F57+4.23%</f>
        <v>0.0572232356484523</v>
      </c>
      <c r="F57" s="137" t="n">
        <f aca="false">SUM(L33:L56)</f>
        <v>0.0149232356484523</v>
      </c>
      <c r="G57" s="137" t="n">
        <f aca="false">SUM(M33:M56)</f>
        <v>0.256545347358525</v>
      </c>
      <c r="H57" s="132"/>
      <c r="I57" s="136" t="n">
        <f aca="false">SUM(I33:I56)</f>
        <v>1</v>
      </c>
    </row>
    <row r="58" s="2" customFormat="true" ht="15.75" hidden="false" customHeight="false" outlineLevel="0" collapsed="false">
      <c r="A58" s="129" t="s">
        <v>237</v>
      </c>
      <c r="B58" s="127" t="n">
        <v>1757022.45165283</v>
      </c>
      <c r="C58" s="48" t="s">
        <v>115</v>
      </c>
      <c r="D58" s="49" t="n">
        <v>0</v>
      </c>
      <c r="E58" s="130" t="n">
        <f aca="false">F58+4.23%</f>
        <v>0.0423</v>
      </c>
      <c r="F58" s="52" t="n">
        <v>0</v>
      </c>
      <c r="G58" s="52" t="n">
        <v>0.3</v>
      </c>
      <c r="H58" s="80" t="s">
        <v>166</v>
      </c>
      <c r="I58" s="131" t="n">
        <f aca="false">B58/$B$61</f>
        <v>0.870412543363915</v>
      </c>
      <c r="J58" s="131" t="n">
        <f aca="false">I58*D58</f>
        <v>0</v>
      </c>
      <c r="K58" s="131" t="n">
        <f aca="false">I58*E58</f>
        <v>0.0368184505842936</v>
      </c>
      <c r="L58" s="131" t="n">
        <f aca="false">I58*F58</f>
        <v>0</v>
      </c>
      <c r="M58" s="131" t="n">
        <f aca="false">I58*G58</f>
        <v>0.261123763009174</v>
      </c>
    </row>
    <row r="59" s="2" customFormat="true" ht="15.75" hidden="false" customHeight="false" outlineLevel="0" collapsed="false">
      <c r="A59" s="129" t="s">
        <v>238</v>
      </c>
      <c r="B59" s="127" t="n">
        <v>1414</v>
      </c>
      <c r="C59" s="48" t="s">
        <v>116</v>
      </c>
      <c r="D59" s="49" t="n">
        <v>0.0382548471415703</v>
      </c>
      <c r="E59" s="130" t="n">
        <f aca="false">F59+4.23%</f>
        <v>0.100576597563757</v>
      </c>
      <c r="F59" s="52" t="n">
        <v>0.058276597563757</v>
      </c>
      <c r="G59" s="52" t="n">
        <v>0.2</v>
      </c>
      <c r="H59" s="80" t="s">
        <v>166</v>
      </c>
      <c r="I59" s="131" t="n">
        <f aca="false">B59/$B$61</f>
        <v>0.00070048241851366</v>
      </c>
      <c r="J59" s="131" t="n">
        <f aca="false">I59*D59</f>
        <v>2.67968478455975E-005</v>
      </c>
      <c r="K59" s="131" t="n">
        <f aca="false">I59*E59</f>
        <v>7.04521383073356E-005</v>
      </c>
      <c r="L59" s="131" t="n">
        <f aca="false">I59*F59</f>
        <v>4.08217320042078E-005</v>
      </c>
      <c r="M59" s="131" t="n">
        <f aca="false">I59*G59</f>
        <v>0.000140096483702732</v>
      </c>
    </row>
    <row r="60" s="2" customFormat="true" ht="15.75" hidden="false" customHeight="false" outlineLevel="0" collapsed="false">
      <c r="A60" s="129" t="s">
        <v>239</v>
      </c>
      <c r="B60" s="127" t="n">
        <v>260172.385097616</v>
      </c>
      <c r="C60" s="48" t="s">
        <v>115</v>
      </c>
      <c r="D60" s="49" t="n">
        <v>0</v>
      </c>
      <c r="E60" s="130" t="n">
        <f aca="false">F60+4.23%</f>
        <v>0.0423</v>
      </c>
      <c r="F60" s="52" t="n">
        <v>0</v>
      </c>
      <c r="G60" s="52" t="n">
        <v>0.28</v>
      </c>
      <c r="H60" s="80" t="s">
        <v>166</v>
      </c>
      <c r="I60" s="131" t="n">
        <f aca="false">B60/$B$61</f>
        <v>0.128886974217571</v>
      </c>
      <c r="J60" s="131" t="n">
        <f aca="false">I60*D60</f>
        <v>0</v>
      </c>
      <c r="K60" s="131" t="n">
        <f aca="false">I60*E60</f>
        <v>0.00545191900940327</v>
      </c>
      <c r="L60" s="131" t="n">
        <f aca="false">I60*F60</f>
        <v>0</v>
      </c>
      <c r="M60" s="131" t="n">
        <f aca="false">I60*G60</f>
        <v>0.03608835278092</v>
      </c>
    </row>
    <row r="61" s="1" customFormat="true" ht="15.75" hidden="false" customHeight="false" outlineLevel="0" collapsed="false">
      <c r="A61" s="132" t="s">
        <v>166</v>
      </c>
      <c r="B61" s="134" t="n">
        <f aca="false">SUM(B58:B60)</f>
        <v>2018608.83675045</v>
      </c>
      <c r="C61" s="134"/>
      <c r="D61" s="135" t="n">
        <f aca="false">SUM(J58:J60)</f>
        <v>2.67968478455975E-005</v>
      </c>
      <c r="E61" s="130" t="n">
        <f aca="false">F61+4.23%</f>
        <v>0.0423408217320042</v>
      </c>
      <c r="F61" s="135" t="n">
        <f aca="false">SUM(L58:L60)</f>
        <v>4.08217320042078E-005</v>
      </c>
      <c r="G61" s="135" t="n">
        <f aca="false">SUM(M58:M60)</f>
        <v>0.297352212273797</v>
      </c>
      <c r="H61" s="132"/>
      <c r="I61" s="136" t="n">
        <f aca="false">SUM(I58:I60)</f>
        <v>1</v>
      </c>
    </row>
    <row r="62" s="2" customFormat="true" ht="15.75" hidden="false" customHeight="false" outlineLevel="0" collapsed="false">
      <c r="A62" s="129" t="s">
        <v>240</v>
      </c>
      <c r="B62" s="127" t="n">
        <v>4265.65067300236</v>
      </c>
      <c r="C62" s="48" t="s">
        <v>124</v>
      </c>
      <c r="D62" s="49" t="n">
        <v>0.0186779540873986</v>
      </c>
      <c r="E62" s="130" t="n">
        <f aca="false">F62+4.23%</f>
        <v>0.0707535868000589</v>
      </c>
      <c r="F62" s="52" t="n">
        <v>0.0284535868000589</v>
      </c>
      <c r="G62" s="52" t="n">
        <v>0.22</v>
      </c>
      <c r="H62" s="80" t="s">
        <v>167</v>
      </c>
      <c r="I62" s="131" t="n">
        <f aca="false">B62/$B$76</f>
        <v>0.0122641671938736</v>
      </c>
      <c r="J62" s="131" t="n">
        <f aca="false">I62*D62</f>
        <v>0.000229069551767352</v>
      </c>
      <c r="K62" s="131" t="n">
        <f aca="false">I62*E62</f>
        <v>0.000867733818082174</v>
      </c>
      <c r="L62" s="131" t="n">
        <f aca="false">I62*F62</f>
        <v>0.000348959545781319</v>
      </c>
      <c r="M62" s="131" t="n">
        <f aca="false">I62*G62</f>
        <v>0.0026981167826522</v>
      </c>
    </row>
    <row r="63" s="2" customFormat="true" ht="15.75" hidden="false" customHeight="false" outlineLevel="0" collapsed="false">
      <c r="A63" s="129" t="s">
        <v>241</v>
      </c>
      <c r="B63" s="127" t="n">
        <v>15832.8</v>
      </c>
      <c r="C63" s="48" t="s">
        <v>116</v>
      </c>
      <c r="D63" s="49" t="n">
        <v>0.0382548471415703</v>
      </c>
      <c r="E63" s="130" t="n">
        <f aca="false">F63+4.23%</f>
        <v>0.100576597563757</v>
      </c>
      <c r="F63" s="52" t="n">
        <v>0.058276597563757</v>
      </c>
      <c r="G63" s="52" t="n">
        <v>0</v>
      </c>
      <c r="H63" s="80" t="s">
        <v>167</v>
      </c>
      <c r="I63" s="131" t="n">
        <f aca="false">B63/$B$76</f>
        <v>0.0455208645133833</v>
      </c>
      <c r="J63" s="131" t="n">
        <f aca="false">I63*D63</f>
        <v>0.00174139371371161</v>
      </c>
      <c r="K63" s="131" t="n">
        <f aca="false">I63*E63</f>
        <v>0.00457833367091686</v>
      </c>
      <c r="L63" s="131" t="n">
        <f aca="false">I63*F63</f>
        <v>0.00265280110200075</v>
      </c>
      <c r="M63" s="131" t="n">
        <f aca="false">I63*G63</f>
        <v>0</v>
      </c>
    </row>
    <row r="64" s="2" customFormat="true" ht="15.75" hidden="false" customHeight="false" outlineLevel="0" collapsed="false">
      <c r="A64" s="129" t="s">
        <v>242</v>
      </c>
      <c r="B64" s="127" t="n">
        <v>7498.05</v>
      </c>
      <c r="C64" s="48" t="s">
        <v>117</v>
      </c>
      <c r="D64" s="49" t="n">
        <v>0.046744826272206</v>
      </c>
      <c r="E64" s="130" t="n">
        <f aca="false">F64+4.23%</f>
        <v>0.113510046109238</v>
      </c>
      <c r="F64" s="52" t="n">
        <v>0.0712100461092384</v>
      </c>
      <c r="G64" s="52" t="n">
        <v>0.09</v>
      </c>
      <c r="H64" s="80" t="s">
        <v>167</v>
      </c>
      <c r="I64" s="131" t="n">
        <f aca="false">B64/$B$76</f>
        <v>0.0215576346675619</v>
      </c>
      <c r="J64" s="131" t="n">
        <f aca="false">I64*D64</f>
        <v>0.00100770788737487</v>
      </c>
      <c r="K64" s="131" t="n">
        <f aca="false">I64*E64</f>
        <v>0.00244700810512106</v>
      </c>
      <c r="L64" s="131" t="n">
        <f aca="false">I64*F64</f>
        <v>0.0015351201586832</v>
      </c>
      <c r="M64" s="131" t="n">
        <f aca="false">I64*G64</f>
        <v>0.00194018712008057</v>
      </c>
    </row>
    <row r="65" s="2" customFormat="true" ht="15.75" hidden="false" customHeight="false" outlineLevel="0" collapsed="false">
      <c r="A65" s="129" t="s">
        <v>243</v>
      </c>
      <c r="B65" s="127" t="n">
        <v>9233.6</v>
      </c>
      <c r="C65" s="48" t="s">
        <v>110</v>
      </c>
      <c r="D65" s="49" t="n">
        <v>0.00719151173418554</v>
      </c>
      <c r="E65" s="130" t="n">
        <f aca="false">F65+4.23%</f>
        <v>0.0532553917091136</v>
      </c>
      <c r="F65" s="52" t="n">
        <v>0.0109553917091136</v>
      </c>
      <c r="G65" s="52" t="n">
        <v>0</v>
      </c>
      <c r="H65" s="80" t="s">
        <v>167</v>
      </c>
      <c r="I65" s="131" t="n">
        <f aca="false">B65/$B$76</f>
        <v>0.0265475124154146</v>
      </c>
      <c r="J65" s="131" t="n">
        <f aca="false">I65*D65</f>
        <v>0.00019091674704889</v>
      </c>
      <c r="K65" s="131" t="n">
        <f aca="false">I65*E65</f>
        <v>0.00141379817258546</v>
      </c>
      <c r="L65" s="131" t="n">
        <f aca="false">I65*F65</f>
        <v>0.000290838397413423</v>
      </c>
      <c r="M65" s="131" t="n">
        <f aca="false">I65*G65</f>
        <v>0</v>
      </c>
    </row>
    <row r="66" s="2" customFormat="true" ht="15.75" hidden="false" customHeight="false" outlineLevel="0" collapsed="false">
      <c r="A66" s="129" t="s">
        <v>244</v>
      </c>
      <c r="B66" s="127" t="n">
        <v>7241.24426945972</v>
      </c>
      <c r="C66" s="48" t="s">
        <v>114</v>
      </c>
      <c r="D66" s="49" t="n">
        <v>0.00509398747838143</v>
      </c>
      <c r="E66" s="130" t="n">
        <f aca="false">F66+4.23%</f>
        <v>0.0500600691272888</v>
      </c>
      <c r="F66" s="52" t="n">
        <v>0.0077600691272888</v>
      </c>
      <c r="G66" s="52" t="n">
        <v>0</v>
      </c>
      <c r="H66" s="80" t="s">
        <v>167</v>
      </c>
      <c r="I66" s="131" t="n">
        <f aca="false">B66/$B$76</f>
        <v>0.0208192928160773</v>
      </c>
      <c r="J66" s="131" t="n">
        <f aca="false">I66*D66</f>
        <v>0.000106053216913854</v>
      </c>
      <c r="K66" s="131" t="n">
        <f aca="false">I66*E66</f>
        <v>0.0010422152375541</v>
      </c>
      <c r="L66" s="131" t="n">
        <f aca="false">I66*F66</f>
        <v>0.000161559151434027</v>
      </c>
      <c r="M66" s="131" t="n">
        <f aca="false">I66*G66</f>
        <v>0</v>
      </c>
    </row>
    <row r="67" s="2" customFormat="true" ht="15.75" hidden="false" customHeight="false" outlineLevel="0" collapsed="false">
      <c r="A67" s="129" t="s">
        <v>245</v>
      </c>
      <c r="B67" s="127" t="n">
        <v>107352</v>
      </c>
      <c r="C67" s="48" t="s">
        <v>126</v>
      </c>
      <c r="D67" s="49" t="n">
        <v>0.101979631675048</v>
      </c>
      <c r="E67" s="130" t="n">
        <f aca="false">F67+4.23%</f>
        <v>0.197653540763958</v>
      </c>
      <c r="F67" s="52" t="n">
        <v>0.155353540763958</v>
      </c>
      <c r="G67" s="52" t="n">
        <v>0.35</v>
      </c>
      <c r="H67" s="80" t="s">
        <v>167</v>
      </c>
      <c r="I67" s="131" t="n">
        <f aca="false">B67/$B$76</f>
        <v>0.308647607955682</v>
      </c>
      <c r="J67" s="131" t="n">
        <f aca="false">I67*D67</f>
        <v>0.031475769376705</v>
      </c>
      <c r="K67" s="131" t="n">
        <f aca="false">I67*E67</f>
        <v>0.0610052925607666</v>
      </c>
      <c r="L67" s="131" t="n">
        <f aca="false">I67*F67</f>
        <v>0.0479494987442412</v>
      </c>
      <c r="M67" s="131" t="n">
        <f aca="false">I67*G67</f>
        <v>0.108026662784489</v>
      </c>
    </row>
    <row r="68" s="2" customFormat="true" ht="15.75" hidden="false" customHeight="false" outlineLevel="0" collapsed="false">
      <c r="A68" s="129" t="s">
        <v>246</v>
      </c>
      <c r="B68" s="127" t="n">
        <v>3561.17819620713</v>
      </c>
      <c r="C68" s="48" t="s">
        <v>124</v>
      </c>
      <c r="D68" s="49" t="n">
        <v>0.0186779540873986</v>
      </c>
      <c r="E68" s="130" t="n">
        <f aca="false">F68+4.23%</f>
        <v>0.0707535868000589</v>
      </c>
      <c r="F68" s="52" t="n">
        <v>0.0284535868000589</v>
      </c>
      <c r="G68" s="52" t="n">
        <v>0.22</v>
      </c>
      <c r="H68" s="80" t="s">
        <v>167</v>
      </c>
      <c r="I68" s="131" t="n">
        <f aca="false">B68/$B$76</f>
        <v>0.0102387392108509</v>
      </c>
      <c r="J68" s="131" t="n">
        <f aca="false">I68*D68</f>
        <v>0.00019123870089312</v>
      </c>
      <c r="K68" s="131" t="n">
        <f aca="false">I68*E68</f>
        <v>0.000724427523478104</v>
      </c>
      <c r="L68" s="131" t="n">
        <f aca="false">I68*F68</f>
        <v>0.000291328854859112</v>
      </c>
      <c r="M68" s="131" t="n">
        <f aca="false">I68*G68</f>
        <v>0.00225252262638719</v>
      </c>
    </row>
    <row r="69" s="2" customFormat="true" ht="15.75" hidden="false" customHeight="false" outlineLevel="0" collapsed="false">
      <c r="A69" s="129" t="s">
        <v>247</v>
      </c>
      <c r="B69" s="127" t="n">
        <v>124282.245638568</v>
      </c>
      <c r="C69" s="48" t="s">
        <v>120</v>
      </c>
      <c r="D69" s="49" t="n">
        <v>0.0255698194993264</v>
      </c>
      <c r="E69" s="130" t="n">
        <f aca="false">F69+4.23%</f>
        <v>0.0812525038546261</v>
      </c>
      <c r="F69" s="52" t="n">
        <v>0.0389525038546261</v>
      </c>
      <c r="G69" s="52" t="n">
        <v>0.27</v>
      </c>
      <c r="H69" s="80" t="s">
        <v>167</v>
      </c>
      <c r="I69" s="131" t="n">
        <f aca="false">B69/$B$76</f>
        <v>0.357323737123711</v>
      </c>
      <c r="J69" s="131" t="n">
        <f aca="false">I69*D69</f>
        <v>0.00913670346107804</v>
      </c>
      <c r="K69" s="131" t="n">
        <f aca="false">I69*E69</f>
        <v>0.0290334483279938</v>
      </c>
      <c r="L69" s="131" t="n">
        <f aca="false">I69*F69</f>
        <v>0.0139186542476608</v>
      </c>
      <c r="M69" s="131" t="n">
        <f aca="false">I69*G69</f>
        <v>0.0964774090234021</v>
      </c>
    </row>
    <row r="70" s="2" customFormat="true" ht="15.75" hidden="false" customHeight="false" outlineLevel="0" collapsed="false">
      <c r="A70" s="129" t="s">
        <v>248</v>
      </c>
      <c r="B70" s="127" t="n">
        <v>22014.3970897689</v>
      </c>
      <c r="C70" s="48" t="s">
        <v>121</v>
      </c>
      <c r="D70" s="49" t="n">
        <v>0.0305639248702886</v>
      </c>
      <c r="E70" s="130" t="n">
        <f aca="false">F70+4.23%</f>
        <v>0.0888604147637328</v>
      </c>
      <c r="F70" s="52" t="n">
        <v>0.0465604147637328</v>
      </c>
      <c r="G70" s="52" t="n">
        <v>0.25</v>
      </c>
      <c r="H70" s="80" t="s">
        <v>167</v>
      </c>
      <c r="I70" s="131" t="n">
        <f aca="false">B70/$B$76</f>
        <v>0.0632935669791312</v>
      </c>
      <c r="J70" s="131" t="n">
        <f aca="false">I70*D70</f>
        <v>0.00193449982592274</v>
      </c>
      <c r="K70" s="131" t="n">
        <f aca="false">I70*E70</f>
        <v>0.0056242926136417</v>
      </c>
      <c r="L70" s="131" t="n">
        <f aca="false">I70*F70</f>
        <v>0.00294697473042445</v>
      </c>
      <c r="M70" s="131" t="n">
        <f aca="false">I70*G70</f>
        <v>0.0158233917447828</v>
      </c>
    </row>
    <row r="71" s="2" customFormat="true" ht="15.75" hidden="false" customHeight="false" outlineLevel="0" collapsed="false">
      <c r="A71" s="129" t="s">
        <v>249</v>
      </c>
      <c r="B71" s="127" t="n">
        <v>16199</v>
      </c>
      <c r="C71" s="48" t="s">
        <v>124</v>
      </c>
      <c r="D71" s="49" t="n">
        <v>0.0186779540873986</v>
      </c>
      <c r="E71" s="130" t="n">
        <f aca="false">F71+4.23%</f>
        <v>0.0707535868000589</v>
      </c>
      <c r="F71" s="52" t="n">
        <v>0.0284535868000589</v>
      </c>
      <c r="G71" s="52" t="n">
        <v>0.3</v>
      </c>
      <c r="H71" s="80" t="s">
        <v>167</v>
      </c>
      <c r="I71" s="131" t="n">
        <f aca="false">B71/$B$76</f>
        <v>0.0465737256993265</v>
      </c>
      <c r="J71" s="131" t="n">
        <f aca="false">I71*D71</f>
        <v>0.000869901910291114</v>
      </c>
      <c r="K71" s="131" t="n">
        <f aca="false">I71*E71</f>
        <v>0.00329525814386943</v>
      </c>
      <c r="L71" s="131" t="n">
        <f aca="false">I71*F71</f>
        <v>0.00132518954678792</v>
      </c>
      <c r="M71" s="131" t="n">
        <f aca="false">I71*G71</f>
        <v>0.0139721177097979</v>
      </c>
    </row>
    <row r="72" s="2" customFormat="true" ht="15.75" hidden="false" customHeight="false" outlineLevel="0" collapsed="false">
      <c r="A72" s="129" t="s">
        <v>250</v>
      </c>
      <c r="B72" s="127" t="n">
        <v>1797.83666595136</v>
      </c>
      <c r="C72" s="48" t="s">
        <v>120</v>
      </c>
      <c r="D72" s="49" t="n">
        <v>0.0255698194993264</v>
      </c>
      <c r="E72" s="130" t="n">
        <f aca="false">F72+4.23%</f>
        <v>0.0812525038546261</v>
      </c>
      <c r="F72" s="52" t="n">
        <v>0.0389525038546261</v>
      </c>
      <c r="G72" s="52" t="n">
        <v>0.2</v>
      </c>
      <c r="H72" s="80" t="s">
        <v>167</v>
      </c>
      <c r="I72" s="131" t="n">
        <f aca="false">B72/$B$76</f>
        <v>0.00516895806730108</v>
      </c>
      <c r="J72" s="131" t="n">
        <f aca="false">I72*D72</f>
        <v>0.000132169324780475</v>
      </c>
      <c r="K72" s="131" t="n">
        <f aca="false">I72*E72</f>
        <v>0.000419990785287782</v>
      </c>
      <c r="L72" s="131" t="n">
        <f aca="false">I72*F72</f>
        <v>0.000201343859040946</v>
      </c>
      <c r="M72" s="131" t="n">
        <f aca="false">I72*G72</f>
        <v>0.00103379161346022</v>
      </c>
    </row>
    <row r="73" s="2" customFormat="true" ht="15.75" hidden="false" customHeight="false" outlineLevel="0" collapsed="false">
      <c r="A73" s="129" t="s">
        <v>251</v>
      </c>
      <c r="B73" s="127" t="n">
        <v>1157.20740740741</v>
      </c>
      <c r="C73" s="48" t="s">
        <v>118</v>
      </c>
      <c r="D73" s="49" t="n">
        <v>0.0552348054028417</v>
      </c>
      <c r="E73" s="130" t="n">
        <f aca="false">F73+4.23%</f>
        <v>0.12644349465472</v>
      </c>
      <c r="F73" s="52" t="n">
        <v>0.0841434946547197</v>
      </c>
      <c r="G73" s="52" t="n">
        <v>0.28</v>
      </c>
      <c r="H73" s="80" t="s">
        <v>167</v>
      </c>
      <c r="I73" s="131" t="n">
        <f aca="false">B73/$B$76</f>
        <v>0.00332708564539918</v>
      </c>
      <c r="J73" s="131" t="n">
        <f aca="false">I73*D73</f>
        <v>0.000183770928182212</v>
      </c>
      <c r="K73" s="131" t="n">
        <f aca="false">I73*E73</f>
        <v>0.000420688336019826</v>
      </c>
      <c r="L73" s="131" t="n">
        <f aca="false">I73*F73</f>
        <v>0.000279952613219441</v>
      </c>
      <c r="M73" s="131" t="n">
        <f aca="false">I73*G73</f>
        <v>0.000931583980711771</v>
      </c>
    </row>
    <row r="74" s="2" customFormat="true" ht="15.75" hidden="false" customHeight="false" outlineLevel="0" collapsed="false">
      <c r="A74" s="129" t="s">
        <v>252</v>
      </c>
      <c r="B74" s="127" t="n">
        <v>25633.5445294849</v>
      </c>
      <c r="C74" s="48" t="s">
        <v>120</v>
      </c>
      <c r="D74" s="49" t="n">
        <v>0.0255698194993264</v>
      </c>
      <c r="E74" s="130" t="n">
        <f aca="false">F74+4.23%</f>
        <v>0.0812525038546261</v>
      </c>
      <c r="F74" s="52" t="n">
        <v>0.0389525038546261</v>
      </c>
      <c r="G74" s="52" t="n">
        <v>0.3</v>
      </c>
      <c r="H74" s="80" t="s">
        <v>167</v>
      </c>
      <c r="I74" s="131" t="n">
        <f aca="false">B74/$B$76</f>
        <v>0.0736989734932835</v>
      </c>
      <c r="J74" s="131" t="n">
        <f aca="false">I74*D74</f>
        <v>0.0018844694495089</v>
      </c>
      <c r="K74" s="131" t="n">
        <f aca="false">I74*E74</f>
        <v>0.005988226127845</v>
      </c>
      <c r="L74" s="131" t="n">
        <f aca="false">I74*F74</f>
        <v>0.00287075954907911</v>
      </c>
      <c r="M74" s="131" t="n">
        <f aca="false">I74*G74</f>
        <v>0.022109692047985</v>
      </c>
    </row>
    <row r="75" s="2" customFormat="true" ht="15.75" hidden="false" customHeight="false" outlineLevel="0" collapsed="false">
      <c r="A75" s="129" t="s">
        <v>253</v>
      </c>
      <c r="B75" s="127" t="n">
        <v>1745.378</v>
      </c>
      <c r="C75" s="48" t="s">
        <v>122</v>
      </c>
      <c r="D75" s="49" t="n">
        <v>0.0135839666090171</v>
      </c>
      <c r="E75" s="130" t="n">
        <f aca="false">F75+4.23%</f>
        <v>0.0629935176727701</v>
      </c>
      <c r="F75" s="52" t="n">
        <v>0.0206935176727701</v>
      </c>
      <c r="G75" s="52" t="n">
        <v>0</v>
      </c>
      <c r="H75" s="80" t="s">
        <v>167</v>
      </c>
      <c r="I75" s="131" t="n">
        <f aca="false">B75/$B$76</f>
        <v>0.00501813421900358</v>
      </c>
      <c r="J75" s="131" t="n">
        <f aca="false">I75*D75</f>
        <v>6.81661676705109E-005</v>
      </c>
      <c r="K75" s="131" t="n">
        <f aca="false">I75*E75</f>
        <v>0.000316109926609135</v>
      </c>
      <c r="L75" s="131" t="n">
        <f aca="false">I75*F75</f>
        <v>0.000103842849145283</v>
      </c>
      <c r="M75" s="131" t="n">
        <f aca="false">I75*G75</f>
        <v>0</v>
      </c>
    </row>
    <row r="76" s="1" customFormat="true" ht="15.75" hidden="false" customHeight="false" outlineLevel="0" collapsed="false">
      <c r="A76" s="132" t="s">
        <v>167</v>
      </c>
      <c r="B76" s="134" t="n">
        <f aca="false">SUM(B62:B75)</f>
        <v>347814.13246985</v>
      </c>
      <c r="C76" s="134"/>
      <c r="D76" s="135" t="n">
        <f aca="false">SUM(J62:J75)</f>
        <v>0.0491518302618487</v>
      </c>
      <c r="E76" s="130" t="n">
        <f aca="false">F76+4.23%</f>
        <v>0.117176823349771</v>
      </c>
      <c r="F76" s="135" t="n">
        <f aca="false">SUM(L62:L75)</f>
        <v>0.074876823349771</v>
      </c>
      <c r="G76" s="135" t="n">
        <f aca="false">SUM(M62:M75)</f>
        <v>0.265265475433748</v>
      </c>
      <c r="H76" s="132"/>
      <c r="I76" s="136" t="n">
        <f aca="false">SUM(I62:I75)</f>
        <v>1</v>
      </c>
      <c r="J76" s="136"/>
      <c r="K76" s="136"/>
      <c r="L76" s="136" t="n">
        <f aca="false">SUM(L62:L75)</f>
        <v>0.074876823349771</v>
      </c>
    </row>
    <row r="77" s="2" customFormat="true" ht="15.75" hidden="false" customHeight="false" outlineLevel="0" collapsed="false">
      <c r="A77" s="129" t="s">
        <v>254</v>
      </c>
      <c r="B77" s="127" t="n">
        <v>638365.45534004</v>
      </c>
      <c r="C77" s="48" t="s">
        <v>133</v>
      </c>
      <c r="D77" s="49" t="n">
        <v>0.0637247845334774</v>
      </c>
      <c r="E77" s="130" t="n">
        <f aca="false">F77+4.23%</f>
        <v>0.139376943200201</v>
      </c>
      <c r="F77" s="52" t="n">
        <v>0.097076943200201</v>
      </c>
      <c r="G77" s="52" t="n">
        <v>0.35</v>
      </c>
      <c r="H77" s="80" t="s">
        <v>168</v>
      </c>
      <c r="I77" s="131" t="n">
        <f aca="false">B77/$B$96</f>
        <v>0.097631985719955</v>
      </c>
      <c r="J77" s="131" t="n">
        <f aca="false">I77*D77</f>
        <v>0.00622157725357968</v>
      </c>
      <c r="K77" s="131" t="n">
        <f aca="false">I77*E77</f>
        <v>0.013607647728213</v>
      </c>
      <c r="L77" s="131" t="n">
        <f aca="false">I77*F77</f>
        <v>0.00947781473225891</v>
      </c>
      <c r="M77" s="131" t="n">
        <f aca="false">I77*G77</f>
        <v>0.0341711950019842</v>
      </c>
    </row>
    <row r="78" s="2" customFormat="true" ht="15.75" hidden="false" customHeight="false" outlineLevel="0" collapsed="false">
      <c r="A78" s="129" t="s">
        <v>255</v>
      </c>
      <c r="B78" s="127" t="n">
        <v>3203.6318</v>
      </c>
      <c r="C78" s="48" t="s">
        <v>133</v>
      </c>
      <c r="D78" s="49" t="n">
        <v>0.0637247845334774</v>
      </c>
      <c r="E78" s="130" t="n">
        <f aca="false">F78+4.23%</f>
        <v>0.139376943200201</v>
      </c>
      <c r="F78" s="52" t="n">
        <v>0.097076943200201</v>
      </c>
      <c r="G78" s="52" t="n">
        <v>0</v>
      </c>
      <c r="H78" s="80" t="s">
        <v>168</v>
      </c>
      <c r="I78" s="131" t="n">
        <f aca="false">B78/$B$96</f>
        <v>0.00048996531929032</v>
      </c>
      <c r="J78" s="131" t="n">
        <f aca="false">I78*D78</f>
        <v>3.12229344006521E-005</v>
      </c>
      <c r="K78" s="131" t="n">
        <f aca="false">I78*E78</f>
        <v>6.82898684767954E-005</v>
      </c>
      <c r="L78" s="131" t="n">
        <f aca="false">I78*F78</f>
        <v>4.75643354708148E-005</v>
      </c>
      <c r="M78" s="131" t="n">
        <f aca="false">I78*G78</f>
        <v>0</v>
      </c>
    </row>
    <row r="79" s="2" customFormat="true" ht="15.75" hidden="false" customHeight="false" outlineLevel="0" collapsed="false">
      <c r="A79" s="129" t="s">
        <v>256</v>
      </c>
      <c r="B79" s="127" t="n">
        <v>54881.3274529667</v>
      </c>
      <c r="C79" s="48" t="s">
        <v>126</v>
      </c>
      <c r="D79" s="49" t="n">
        <v>0.101979631675048</v>
      </c>
      <c r="E79" s="130" t="n">
        <f aca="false">F79+4.23%</f>
        <v>0.197653540763958</v>
      </c>
      <c r="F79" s="52" t="n">
        <v>0.155353540763958</v>
      </c>
      <c r="G79" s="52" t="n">
        <v>0.25</v>
      </c>
      <c r="H79" s="80" t="s">
        <v>168</v>
      </c>
      <c r="I79" s="131" t="n">
        <f aca="false">B79/$B$96</f>
        <v>0.00839358228638181</v>
      </c>
      <c r="J79" s="131" t="n">
        <f aca="false">I79*D79</f>
        <v>0.000855974429999422</v>
      </c>
      <c r="K79" s="131" t="n">
        <f aca="false">I79*E79</f>
        <v>0.001659021258597</v>
      </c>
      <c r="L79" s="131" t="n">
        <f aca="false">I79*F79</f>
        <v>0.00130397272788305</v>
      </c>
      <c r="M79" s="131" t="n">
        <f aca="false">I79*G79</f>
        <v>0.00209839557159545</v>
      </c>
    </row>
    <row r="80" s="2" customFormat="true" ht="15.75" hidden="false" customHeight="false" outlineLevel="0" collapsed="false">
      <c r="A80" s="129" t="s">
        <v>257</v>
      </c>
      <c r="B80" s="127" t="n">
        <v>2185821.64894386</v>
      </c>
      <c r="C80" s="48" t="s">
        <v>119</v>
      </c>
      <c r="D80" s="49" t="n">
        <v>0.0212748888802989</v>
      </c>
      <c r="E80" s="130" t="n">
        <f aca="false">F80+4.23%</f>
        <v>0.0747097004727944</v>
      </c>
      <c r="F80" s="52" t="n">
        <v>0.0324097004727944</v>
      </c>
      <c r="G80" s="52" t="n">
        <v>0.34</v>
      </c>
      <c r="H80" s="80" t="s">
        <v>168</v>
      </c>
      <c r="I80" s="131" t="n">
        <f aca="false">B80/$B$96</f>
        <v>0.334300840107928</v>
      </c>
      <c r="J80" s="131" t="n">
        <f aca="false">I80*D80</f>
        <v>0.00711221322588674</v>
      </c>
      <c r="K80" s="131" t="n">
        <f aca="false">I80*E80</f>
        <v>0.0249755156322668</v>
      </c>
      <c r="L80" s="131" t="n">
        <f aca="false">I80*F80</f>
        <v>0.0108345900957015</v>
      </c>
      <c r="M80" s="131" t="n">
        <f aca="false">I80*G80</f>
        <v>0.113662285636696</v>
      </c>
    </row>
    <row r="81" s="2" customFormat="true" ht="15.75" hidden="false" customHeight="false" outlineLevel="0" collapsed="false">
      <c r="A81" s="129" t="s">
        <v>258</v>
      </c>
      <c r="B81" s="127" t="n">
        <v>330267.137371592</v>
      </c>
      <c r="C81" s="48" t="s">
        <v>110</v>
      </c>
      <c r="D81" s="49" t="n">
        <v>0.00719151173418554</v>
      </c>
      <c r="E81" s="130" t="n">
        <f aca="false">F81+4.23%</f>
        <v>0.0532553917091136</v>
      </c>
      <c r="F81" s="52" t="n">
        <v>0.0109553917091136</v>
      </c>
      <c r="G81" s="52" t="n">
        <v>0.27</v>
      </c>
      <c r="H81" s="80" t="s">
        <v>168</v>
      </c>
      <c r="I81" s="131" t="n">
        <f aca="false">B81/$B$96</f>
        <v>0.0505112489560668</v>
      </c>
      <c r="J81" s="131" t="n">
        <f aca="false">I81*D81</f>
        <v>0.000363252239575921</v>
      </c>
      <c r="K81" s="131" t="n">
        <f aca="false">I81*E81</f>
        <v>0.00268999634887189</v>
      </c>
      <c r="L81" s="131" t="n">
        <f aca="false">I81*F81</f>
        <v>0.000553370518030267</v>
      </c>
      <c r="M81" s="131" t="n">
        <f aca="false">I81*G81</f>
        <v>0.013638037218138</v>
      </c>
    </row>
    <row r="82" s="2" customFormat="true" ht="15.75" hidden="false" customHeight="false" outlineLevel="0" collapsed="false">
      <c r="A82" s="129" t="s">
        <v>259</v>
      </c>
      <c r="B82" s="127" t="n">
        <v>418818.154879271</v>
      </c>
      <c r="C82" s="48" t="s">
        <v>124</v>
      </c>
      <c r="D82" s="49" t="n">
        <v>0.0186779540873986</v>
      </c>
      <c r="E82" s="130" t="n">
        <f aca="false">F82+4.23%</f>
        <v>0.0707535868000589</v>
      </c>
      <c r="F82" s="52" t="n">
        <v>0.0284535868000589</v>
      </c>
      <c r="G82" s="52" t="n">
        <v>0.35</v>
      </c>
      <c r="H82" s="80" t="s">
        <v>168</v>
      </c>
      <c r="I82" s="131" t="n">
        <f aca="false">B82/$B$96</f>
        <v>0.0640542933117361</v>
      </c>
      <c r="J82" s="131" t="n">
        <f aca="false">I82*D82</f>
        <v>0.00119640314957737</v>
      </c>
      <c r="K82" s="131" t="n">
        <f aca="false">I82*E82</f>
        <v>0.00453207100174835</v>
      </c>
      <c r="L82" s="131" t="n">
        <f aca="false">I82*F82</f>
        <v>0.00182257439466192</v>
      </c>
      <c r="M82" s="131" t="n">
        <f aca="false">I82*G82</f>
        <v>0.0224190026591076</v>
      </c>
    </row>
    <row r="83" s="2" customFormat="true" ht="15.75" hidden="false" customHeight="false" outlineLevel="0" collapsed="false">
      <c r="A83" s="129" t="s">
        <v>260</v>
      </c>
      <c r="B83" s="127" t="n">
        <v>95350.4231765962</v>
      </c>
      <c r="C83" s="48" t="s">
        <v>120</v>
      </c>
      <c r="D83" s="49" t="n">
        <v>0.0255698194993264</v>
      </c>
      <c r="E83" s="130" t="n">
        <f aca="false">F83+4.23%</f>
        <v>0.0812525038546261</v>
      </c>
      <c r="F83" s="52" t="n">
        <v>0.0389525038546261</v>
      </c>
      <c r="G83" s="52" t="n">
        <v>0.3</v>
      </c>
      <c r="H83" s="80" t="s">
        <v>168</v>
      </c>
      <c r="I83" s="131" t="n">
        <f aca="false">B83/$B$96</f>
        <v>0.0145829494313885</v>
      </c>
      <c r="J83" s="131" t="n">
        <f aca="false">I83*D83</f>
        <v>0.000372883384728408</v>
      </c>
      <c r="K83" s="131" t="n">
        <f aca="false">I83*E83</f>
        <v>0.00118490115488571</v>
      </c>
      <c r="L83" s="131" t="n">
        <f aca="false">I83*F83</f>
        <v>0.000568042393937979</v>
      </c>
      <c r="M83" s="131" t="n">
        <f aca="false">I83*G83</f>
        <v>0.00437488482941655</v>
      </c>
    </row>
    <row r="84" s="2" customFormat="true" ht="15.75" hidden="false" customHeight="false" outlineLevel="0" collapsed="false">
      <c r="A84" s="129" t="s">
        <v>261</v>
      </c>
      <c r="B84" s="127" t="n">
        <v>124676.0747</v>
      </c>
      <c r="C84" s="48" t="s">
        <v>135</v>
      </c>
      <c r="D84" s="49" t="n">
        <v>0.0849996734137763</v>
      </c>
      <c r="E84" s="130" t="n">
        <f aca="false">F84+4.23%</f>
        <v>0.171786643672995</v>
      </c>
      <c r="F84" s="52" t="n">
        <v>0.129486643672995</v>
      </c>
      <c r="G84" s="52" t="n">
        <v>0.25</v>
      </c>
      <c r="H84" s="80" t="s">
        <v>168</v>
      </c>
      <c r="I84" s="131" t="n">
        <f aca="false">B84/$B$96</f>
        <v>0.0190680317095895</v>
      </c>
      <c r="J84" s="131" t="n">
        <f aca="false">I84*D84</f>
        <v>0.00162077646795864</v>
      </c>
      <c r="K84" s="131" t="n">
        <f aca="false">I84*E84</f>
        <v>0.00327563316884063</v>
      </c>
      <c r="L84" s="131" t="n">
        <f aca="false">I84*F84</f>
        <v>0.002469055427525</v>
      </c>
      <c r="M84" s="131" t="n">
        <f aca="false">I84*G84</f>
        <v>0.00476700792739738</v>
      </c>
    </row>
    <row r="85" s="2" customFormat="true" ht="15.75" hidden="false" customHeight="false" outlineLevel="0" collapsed="false">
      <c r="A85" s="129" t="s">
        <v>262</v>
      </c>
      <c r="B85" s="127" t="n">
        <v>35364.96</v>
      </c>
      <c r="C85" s="48" t="s">
        <v>118</v>
      </c>
      <c r="D85" s="49" t="n">
        <v>0.0552348054028417</v>
      </c>
      <c r="E85" s="130" t="n">
        <f aca="false">F85+4.23%</f>
        <v>0.12644349465472</v>
      </c>
      <c r="F85" s="52" t="n">
        <v>0.0841434946547197</v>
      </c>
      <c r="G85" s="52" t="n">
        <v>0.3</v>
      </c>
      <c r="H85" s="80" t="s">
        <v>168</v>
      </c>
      <c r="I85" s="131" t="n">
        <f aca="false">B85/$B$96</f>
        <v>0.00540873764522172</v>
      </c>
      <c r="J85" s="131" t="n">
        <f aca="false">I85*D85</f>
        <v>0.000298750571308846</v>
      </c>
      <c r="K85" s="131" t="n">
        <f aca="false">I85*E85</f>
        <v>0.000683899689532373</v>
      </c>
      <c r="L85" s="131" t="n">
        <f aca="false">I85*F85</f>
        <v>0.000455110087139495</v>
      </c>
      <c r="M85" s="131" t="n">
        <f aca="false">I85*G85</f>
        <v>0.00162262129356651</v>
      </c>
    </row>
    <row r="86" s="2" customFormat="true" ht="15.75" hidden="false" customHeight="false" outlineLevel="0" collapsed="false">
      <c r="A86" s="129" t="s">
        <v>263</v>
      </c>
      <c r="B86" s="127" t="n">
        <v>113199.581158203</v>
      </c>
      <c r="C86" s="48" t="s">
        <v>119</v>
      </c>
      <c r="D86" s="49" t="n">
        <v>0.0212748888802989</v>
      </c>
      <c r="E86" s="130" t="n">
        <f aca="false">F86+4.23%</f>
        <v>0.0747097004727944</v>
      </c>
      <c r="F86" s="52" t="n">
        <v>0.0324097004727944</v>
      </c>
      <c r="G86" s="52" t="n">
        <v>0.25</v>
      </c>
      <c r="H86" s="80" t="s">
        <v>168</v>
      </c>
      <c r="I86" s="131" t="n">
        <f aca="false">B86/$B$96</f>
        <v>0.0173128100818919</v>
      </c>
      <c r="J86" s="131" t="n">
        <f aca="false">I86*D86</f>
        <v>0.000368328110697968</v>
      </c>
      <c r="K86" s="131" t="n">
        <f aca="false">I86*E86</f>
        <v>0.00129343485556052</v>
      </c>
      <c r="L86" s="131" t="n">
        <f aca="false">I86*F86</f>
        <v>0.00056110298909649</v>
      </c>
      <c r="M86" s="131" t="n">
        <f aca="false">I86*G86</f>
        <v>0.00432820252047296</v>
      </c>
    </row>
    <row r="87" s="2" customFormat="true" ht="15.75" hidden="false" customHeight="false" outlineLevel="0" collapsed="false">
      <c r="A87" s="129" t="s">
        <v>264</v>
      </c>
      <c r="B87" s="127" t="n">
        <v>37093.5658540437</v>
      </c>
      <c r="C87" s="48" t="s">
        <v>116</v>
      </c>
      <c r="D87" s="49" t="n">
        <v>0.0382548471415703</v>
      </c>
      <c r="E87" s="130" t="n">
        <f aca="false">F87+4.23%</f>
        <v>0.100576597563757</v>
      </c>
      <c r="F87" s="52" t="n">
        <v>0.058276597563757</v>
      </c>
      <c r="G87" s="52" t="n">
        <v>0.3</v>
      </c>
      <c r="H87" s="80" t="s">
        <v>168</v>
      </c>
      <c r="I87" s="131" t="n">
        <f aca="false">B87/$B$96</f>
        <v>0.00567311163451837</v>
      </c>
      <c r="J87" s="131" t="n">
        <f aca="false">I87*D87</f>
        <v>0.000217024018395564</v>
      </c>
      <c r="K87" s="131" t="n">
        <f aca="false">I87*E87</f>
        <v>0.000570582265799222</v>
      </c>
      <c r="L87" s="131" t="n">
        <f aca="false">I87*F87</f>
        <v>0.000330609643659095</v>
      </c>
      <c r="M87" s="131" t="n">
        <f aca="false">I87*G87</f>
        <v>0.00170193349035551</v>
      </c>
    </row>
    <row r="88" s="2" customFormat="true" ht="15.75" hidden="false" customHeight="false" outlineLevel="0" collapsed="false">
      <c r="A88" s="129" t="s">
        <v>265</v>
      </c>
      <c r="B88" s="127" t="n">
        <v>1856365.61616594</v>
      </c>
      <c r="C88" s="48" t="s">
        <v>123</v>
      </c>
      <c r="D88" s="49" t="n">
        <v>0.0161809014019175</v>
      </c>
      <c r="E88" s="130" t="n">
        <f aca="false">F88+4.23%</f>
        <v>0.0669496313455056</v>
      </c>
      <c r="F88" s="52" t="n">
        <v>0.0246496313455056</v>
      </c>
      <c r="G88" s="52" t="n">
        <v>0.3</v>
      </c>
      <c r="H88" s="80" t="s">
        <v>168</v>
      </c>
      <c r="I88" s="131" t="n">
        <f aca="false">B88/$B$96</f>
        <v>0.283913641962324</v>
      </c>
      <c r="J88" s="131" t="n">
        <f aca="false">I88*D88</f>
        <v>0.00459397864725167</v>
      </c>
      <c r="K88" s="131" t="n">
        <f aca="false">I88*E88</f>
        <v>0.0190079136633375</v>
      </c>
      <c r="L88" s="131" t="n">
        <f aca="false">I88*F88</f>
        <v>0.00699836660833116</v>
      </c>
      <c r="M88" s="131" t="n">
        <f aca="false">I88*G88</f>
        <v>0.0851740925886973</v>
      </c>
    </row>
    <row r="89" s="2" customFormat="true" ht="15.75" hidden="false" customHeight="false" outlineLevel="0" collapsed="false">
      <c r="A89" s="129" t="s">
        <v>266</v>
      </c>
      <c r="B89" s="127" t="n">
        <v>19693.9829675926</v>
      </c>
      <c r="C89" s="48" t="s">
        <v>117</v>
      </c>
      <c r="D89" s="49" t="n">
        <v>0.046744826272206</v>
      </c>
      <c r="E89" s="130" t="n">
        <f aca="false">F89+4.23%</f>
        <v>0.113510046109238</v>
      </c>
      <c r="F89" s="52" t="n">
        <v>0.0712100461092384</v>
      </c>
      <c r="G89" s="52" t="n">
        <v>0.3</v>
      </c>
      <c r="H89" s="80" t="s">
        <v>168</v>
      </c>
      <c r="I89" s="131" t="n">
        <f aca="false">B89/$B$96</f>
        <v>0.00301200926174307</v>
      </c>
      <c r="J89" s="131" t="n">
        <f aca="false">I89*D89</f>
        <v>0.000140795849670455</v>
      </c>
      <c r="K89" s="131" t="n">
        <f aca="false">I89*E89</f>
        <v>0.000341893310181909</v>
      </c>
      <c r="L89" s="131" t="n">
        <f aca="false">I89*F89</f>
        <v>0.000214485318410177</v>
      </c>
      <c r="M89" s="131" t="n">
        <f aca="false">I89*G89</f>
        <v>0.000903602778522921</v>
      </c>
    </row>
    <row r="90" s="2" customFormat="true" ht="15.75" hidden="false" customHeight="false" outlineLevel="0" collapsed="false">
      <c r="A90" s="129" t="s">
        <v>267</v>
      </c>
      <c r="B90" s="127" t="n">
        <v>86523.9591317472</v>
      </c>
      <c r="C90" s="48" t="s">
        <v>124</v>
      </c>
      <c r="D90" s="49" t="n">
        <v>0.0186779540873986</v>
      </c>
      <c r="E90" s="130" t="n">
        <f aca="false">F90+4.23%</f>
        <v>0.0707535868000589</v>
      </c>
      <c r="F90" s="52" t="n">
        <v>0.0284535868000589</v>
      </c>
      <c r="G90" s="52" t="n">
        <v>0.25</v>
      </c>
      <c r="H90" s="80" t="s">
        <v>168</v>
      </c>
      <c r="I90" s="131" t="n">
        <f aca="false">B90/$B$96</f>
        <v>0.0132330248632971</v>
      </c>
      <c r="J90" s="131" t="n">
        <f aca="false">I90*D90</f>
        <v>0.000247165830834066</v>
      </c>
      <c r="K90" s="131" t="n">
        <f aca="false">I90*E90</f>
        <v>0.000936283973292627</v>
      </c>
      <c r="L90" s="131" t="n">
        <f aca="false">I90*F90</f>
        <v>0.000376527021575161</v>
      </c>
      <c r="M90" s="131" t="n">
        <f aca="false">I90*G90</f>
        <v>0.00330825621582427</v>
      </c>
    </row>
    <row r="91" s="2" customFormat="true" ht="15.75" hidden="false" customHeight="false" outlineLevel="0" collapsed="false">
      <c r="A91" s="129" t="s">
        <v>268</v>
      </c>
      <c r="B91" s="127" t="n">
        <v>44458.1183974445</v>
      </c>
      <c r="C91" s="48" t="s">
        <v>124</v>
      </c>
      <c r="D91" s="49" t="n">
        <v>0.0186779540873986</v>
      </c>
      <c r="E91" s="130" t="n">
        <f aca="false">F91+4.23%</f>
        <v>0.0707535868000589</v>
      </c>
      <c r="F91" s="52" t="n">
        <v>0.0284535868000589</v>
      </c>
      <c r="G91" s="52" t="n">
        <v>0.1</v>
      </c>
      <c r="H91" s="80" t="s">
        <v>168</v>
      </c>
      <c r="I91" s="131" t="n">
        <f aca="false">B91/$B$96</f>
        <v>0.00679945060342165</v>
      </c>
      <c r="J91" s="131" t="n">
        <f aca="false">I91*D91</f>
        <v>0.000126999826190244</v>
      </c>
      <c r="K91" s="131" t="n">
        <f aca="false">I91*E91</f>
        <v>0.000481085518461907</v>
      </c>
      <c r="L91" s="131" t="n">
        <f aca="false">I91*F91</f>
        <v>0.000193468757937171</v>
      </c>
      <c r="M91" s="131" t="n">
        <f aca="false">I91*G91</f>
        <v>0.000679945060342165</v>
      </c>
    </row>
    <row r="92" s="2" customFormat="true" ht="15.75" hidden="false" customHeight="false" outlineLevel="0" collapsed="false">
      <c r="A92" s="129" t="s">
        <v>269</v>
      </c>
      <c r="B92" s="127" t="n">
        <v>289221.969062941</v>
      </c>
      <c r="C92" s="48" t="s">
        <v>122</v>
      </c>
      <c r="D92" s="49" t="n">
        <v>0.0135839666090171</v>
      </c>
      <c r="E92" s="130" t="n">
        <f aca="false">F92+4.23%</f>
        <v>0.0629935176727701</v>
      </c>
      <c r="F92" s="52" t="n">
        <v>0.0206935176727701</v>
      </c>
      <c r="G92" s="52" t="n">
        <v>0.295</v>
      </c>
      <c r="H92" s="80" t="s">
        <v>168</v>
      </c>
      <c r="I92" s="131" t="n">
        <f aca="false">B92/$B$96</f>
        <v>0.0442337769333227</v>
      </c>
      <c r="J92" s="131" t="n">
        <f aca="false">I92*D92</f>
        <v>0.000600870148852967</v>
      </c>
      <c r="K92" s="131" t="n">
        <f aca="false">I92*E92</f>
        <v>0.00278644120898263</v>
      </c>
      <c r="L92" s="131" t="n">
        <f aca="false">I92*F92</f>
        <v>0.000915352444703084</v>
      </c>
      <c r="M92" s="131" t="n">
        <f aca="false">I92*G92</f>
        <v>0.0130489641953302</v>
      </c>
    </row>
    <row r="93" s="2" customFormat="true" ht="15.75" hidden="false" customHeight="false" outlineLevel="0" collapsed="false">
      <c r="A93" s="129" t="s">
        <v>270</v>
      </c>
      <c r="B93" s="127" t="n">
        <v>4416.77511209627</v>
      </c>
      <c r="C93" s="48" t="s">
        <v>133</v>
      </c>
      <c r="D93" s="49" t="n">
        <v>0.0637247845334774</v>
      </c>
      <c r="E93" s="130" t="n">
        <f aca="false">F93+4.23%</f>
        <v>0.139376943200201</v>
      </c>
      <c r="F93" s="52" t="n">
        <v>0.097076943200201</v>
      </c>
      <c r="G93" s="52" t="n">
        <v>0.36</v>
      </c>
      <c r="H93" s="80" t="s">
        <v>168</v>
      </c>
      <c r="I93" s="131" t="n">
        <f aca="false">B93/$B$96</f>
        <v>0.00067550416625025</v>
      </c>
      <c r="J93" s="131" t="n">
        <f aca="false">I93*D93</f>
        <v>4.30463574457635E-005</v>
      </c>
      <c r="K93" s="131" t="n">
        <f aca="false">I93*E93</f>
        <v>9.41497058109603E-005</v>
      </c>
      <c r="L93" s="131" t="n">
        <f aca="false">I93*F93</f>
        <v>6.55758795785747E-005</v>
      </c>
      <c r="M93" s="131" t="n">
        <f aca="false">I93*G93</f>
        <v>0.00024318149985009</v>
      </c>
    </row>
    <row r="94" s="2" customFormat="true" ht="15.75" hidden="false" customHeight="false" outlineLevel="0" collapsed="false">
      <c r="A94" s="129" t="s">
        <v>271</v>
      </c>
      <c r="B94" s="127" t="n">
        <v>80961.5110735797</v>
      </c>
      <c r="C94" s="48" t="s">
        <v>122</v>
      </c>
      <c r="D94" s="49" t="n">
        <v>0.0135839666090171</v>
      </c>
      <c r="E94" s="130" t="n">
        <f aca="false">F94+4.23%</f>
        <v>0.0629935176727701</v>
      </c>
      <c r="F94" s="52" t="n">
        <v>0.0206935176727701</v>
      </c>
      <c r="G94" s="52" t="n">
        <v>0.25</v>
      </c>
      <c r="H94" s="80" t="s">
        <v>168</v>
      </c>
      <c r="I94" s="131" t="n">
        <f aca="false">B94/$B$96</f>
        <v>0.0123823008072879</v>
      </c>
      <c r="J94" s="131" t="n">
        <f aca="false">I94*D94</f>
        <v>0.000168200760709005</v>
      </c>
      <c r="K94" s="131" t="n">
        <f aca="false">I94*E94</f>
        <v>0.000780004684733448</v>
      </c>
      <c r="L94" s="131" t="n">
        <f aca="false">I94*F94</f>
        <v>0.000256233360585168</v>
      </c>
      <c r="M94" s="131" t="n">
        <f aca="false">I94*G94</f>
        <v>0.00309557520182198</v>
      </c>
    </row>
    <row r="95" s="2" customFormat="true" ht="15.75" hidden="false" customHeight="false" outlineLevel="0" collapsed="false">
      <c r="A95" s="129" t="s">
        <v>272</v>
      </c>
      <c r="B95" s="127" t="n">
        <v>119802.963257783</v>
      </c>
      <c r="C95" s="48" t="s">
        <v>125</v>
      </c>
      <c r="D95" s="49" t="n">
        <v>0.175</v>
      </c>
      <c r="E95" s="130" t="n">
        <f aca="false">F95+4.23%</f>
        <v>0.30889117303269</v>
      </c>
      <c r="F95" s="52" t="n">
        <v>0.26659117303269</v>
      </c>
      <c r="G95" s="52" t="n">
        <v>0.34</v>
      </c>
      <c r="H95" s="80" t="s">
        <v>168</v>
      </c>
      <c r="I95" s="131" t="n">
        <f aca="false">B95/$B$96</f>
        <v>0.0183227351983852</v>
      </c>
      <c r="J95" s="131" t="n">
        <f aca="false">I95*D95</f>
        <v>0.0032064786597174</v>
      </c>
      <c r="K95" s="131" t="n">
        <f aca="false">I95*E95</f>
        <v>0.00565973116859655</v>
      </c>
      <c r="L95" s="131" t="n">
        <f aca="false">I95*F95</f>
        <v>0.00488467946970486</v>
      </c>
      <c r="M95" s="131" t="n">
        <f aca="false">I95*G95</f>
        <v>0.00622972996745096</v>
      </c>
    </row>
    <row r="96" s="1" customFormat="true" ht="15.75" hidden="false" customHeight="false" outlineLevel="0" collapsed="false">
      <c r="A96" s="132" t="s">
        <v>168</v>
      </c>
      <c r="B96" s="134" t="n">
        <f aca="false">SUM(B77:B95)</f>
        <v>6538486.8558457</v>
      </c>
      <c r="C96" s="134"/>
      <c r="D96" s="135" t="n">
        <f aca="false">SUM(J77:J95)</f>
        <v>0.0277859418667808</v>
      </c>
      <c r="E96" s="130" t="n">
        <f aca="false">F96+4.23%</f>
        <v>0.0846284962061898</v>
      </c>
      <c r="F96" s="135" t="n">
        <f aca="false">SUM(L77:L95)</f>
        <v>0.0423284962061898</v>
      </c>
      <c r="G96" s="135" t="n">
        <f aca="false">SUM(M77:M95)</f>
        <v>0.31546691365657</v>
      </c>
      <c r="H96" s="132"/>
      <c r="I96" s="136" t="n">
        <f aca="false">SUM(I77:I95)</f>
        <v>1</v>
      </c>
    </row>
    <row r="97" s="2" customFormat="true" ht="15.75" hidden="false" customHeight="false" outlineLevel="0" collapsed="false">
      <c r="A97" s="129" t="s">
        <v>273</v>
      </c>
      <c r="B97" s="127" t="n">
        <v>27046.4292966673</v>
      </c>
      <c r="C97" s="48" t="s">
        <v>121</v>
      </c>
      <c r="D97" s="49" t="n">
        <v>0.0305639248702886</v>
      </c>
      <c r="E97" s="130" t="n">
        <f aca="false">F97+4.23%</f>
        <v>0.0888604147637328</v>
      </c>
      <c r="F97" s="52" t="n">
        <v>0.0465604147637328</v>
      </c>
      <c r="G97" s="52" t="n">
        <v>0.15</v>
      </c>
      <c r="H97" s="80" t="s">
        <v>169</v>
      </c>
      <c r="I97" s="131" t="n">
        <f aca="false">B97/$B$123</f>
        <v>0.00774641442590781</v>
      </c>
      <c r="J97" s="131" t="n">
        <f aca="false">I97*D97</f>
        <v>0.000236760828527566</v>
      </c>
      <c r="K97" s="131" t="n">
        <f aca="false">I97*E97</f>
        <v>0.000688349598817931</v>
      </c>
      <c r="L97" s="131" t="n">
        <f aca="false">I97*F97</f>
        <v>0.000360676268602031</v>
      </c>
      <c r="M97" s="131" t="n">
        <f aca="false">I97*G97</f>
        <v>0.00116196216388617</v>
      </c>
    </row>
    <row r="98" s="2" customFormat="true" ht="15.75" hidden="false" customHeight="false" outlineLevel="0" collapsed="false">
      <c r="A98" s="129" t="s">
        <v>274</v>
      </c>
      <c r="B98" s="127" t="n">
        <v>25955.2753800321</v>
      </c>
      <c r="C98" s="48" t="s">
        <v>121</v>
      </c>
      <c r="D98" s="49" t="n">
        <v>0.0305639248702886</v>
      </c>
      <c r="E98" s="130" t="n">
        <f aca="false">F98+4.23%</f>
        <v>0.0888604147637328</v>
      </c>
      <c r="F98" s="52" t="n">
        <v>0.0465604147637328</v>
      </c>
      <c r="G98" s="52" t="n">
        <v>0.18</v>
      </c>
      <c r="H98" s="80" t="s">
        <v>169</v>
      </c>
      <c r="I98" s="131" t="n">
        <f aca="false">B98/$B$123</f>
        <v>0.0074338951521806</v>
      </c>
      <c r="J98" s="131" t="n">
        <f aca="false">I98*D98</f>
        <v>0.00022720901292485</v>
      </c>
      <c r="K98" s="131" t="n">
        <f aca="false">I98*E98</f>
        <v>0.00066057900653287</v>
      </c>
      <c r="L98" s="131" t="n">
        <f aca="false">I98*F98</f>
        <v>0.000346125241595631</v>
      </c>
      <c r="M98" s="131" t="n">
        <f aca="false">I98*G98</f>
        <v>0.00133810112739251</v>
      </c>
    </row>
    <row r="99" s="2" customFormat="true" ht="15.75" hidden="false" customHeight="false" outlineLevel="0" collapsed="false">
      <c r="A99" s="129" t="s">
        <v>275</v>
      </c>
      <c r="B99" s="127" t="n">
        <v>74315.8823529412</v>
      </c>
      <c r="C99" s="48" t="s">
        <v>124</v>
      </c>
      <c r="D99" s="49" t="n">
        <v>0.0186779540873986</v>
      </c>
      <c r="E99" s="130" t="n">
        <f aca="false">F99+4.23%</f>
        <v>0.0707535868000589</v>
      </c>
      <c r="F99" s="52" t="n">
        <v>0.0284535868000589</v>
      </c>
      <c r="G99" s="52" t="n">
        <v>0.2</v>
      </c>
      <c r="H99" s="80" t="s">
        <v>169</v>
      </c>
      <c r="I99" s="131" t="n">
        <f aca="false">B99/$B$123</f>
        <v>0.0212849399385902</v>
      </c>
      <c r="J99" s="131" t="n">
        <f aca="false">I99*D99</f>
        <v>0.000397559130926025</v>
      </c>
      <c r="K99" s="131" t="n">
        <f aca="false">I99*E99</f>
        <v>0.00150598584547909</v>
      </c>
      <c r="L99" s="131" t="n">
        <f aca="false">I99*F99</f>
        <v>0.000605632886076719</v>
      </c>
      <c r="M99" s="131" t="n">
        <f aca="false">I99*G99</f>
        <v>0.00425698798771805</v>
      </c>
    </row>
    <row r="100" s="2" customFormat="true" ht="15.75" hidden="false" customHeight="false" outlineLevel="0" collapsed="false">
      <c r="A100" s="129" t="s">
        <v>276</v>
      </c>
      <c r="B100" s="127" t="n">
        <v>75961.8654719129</v>
      </c>
      <c r="C100" s="48" t="s">
        <v>125</v>
      </c>
      <c r="D100" s="49" t="n">
        <v>0.175</v>
      </c>
      <c r="E100" s="130" t="n">
        <f aca="false">F100+4.23%</f>
        <v>0.30889117303269</v>
      </c>
      <c r="F100" s="52" t="n">
        <v>0.26659117303269</v>
      </c>
      <c r="G100" s="52" t="n">
        <v>0.25</v>
      </c>
      <c r="H100" s="80" t="s">
        <v>169</v>
      </c>
      <c r="I100" s="131" t="n">
        <f aca="false">B100/$B$123</f>
        <v>0.0217563688003356</v>
      </c>
      <c r="J100" s="131" t="n">
        <f aca="false">I100*D100</f>
        <v>0.00380736454005873</v>
      </c>
      <c r="K100" s="131" t="n">
        <f aca="false">I100*E100</f>
        <v>0.00672035027966748</v>
      </c>
      <c r="L100" s="131" t="n">
        <f aca="false">I100*F100</f>
        <v>0.00580005587941328</v>
      </c>
      <c r="M100" s="131" t="n">
        <f aca="false">I100*G100</f>
        <v>0.0054390922000839</v>
      </c>
    </row>
    <row r="101" s="2" customFormat="true" ht="15.75" hidden="false" customHeight="false" outlineLevel="0" collapsed="false">
      <c r="A101" s="129" t="s">
        <v>277</v>
      </c>
      <c r="B101" s="127" t="n">
        <v>29613.5720228993</v>
      </c>
      <c r="C101" s="48" t="s">
        <v>118</v>
      </c>
      <c r="D101" s="49" t="n">
        <v>0.0552348054028417</v>
      </c>
      <c r="E101" s="130" t="n">
        <f aca="false">F101+4.23%</f>
        <v>0.12644349465472</v>
      </c>
      <c r="F101" s="52" t="n">
        <v>0.0841434946547197</v>
      </c>
      <c r="G101" s="52" t="n">
        <v>0.1</v>
      </c>
      <c r="H101" s="80" t="s">
        <v>169</v>
      </c>
      <c r="I101" s="131" t="n">
        <f aca="false">B101/$B$123</f>
        <v>0.00848167419826891</v>
      </c>
      <c r="J101" s="131" t="n">
        <f aca="false">I101*D101</f>
        <v>0.000468483623831687</v>
      </c>
      <c r="K101" s="131" t="n">
        <f aca="false">I101*E101</f>
        <v>0.00107245252615189</v>
      </c>
      <c r="L101" s="131" t="n">
        <f aca="false">I101*F101</f>
        <v>0.000713677707565114</v>
      </c>
      <c r="M101" s="131" t="n">
        <f aca="false">I101*G101</f>
        <v>0.000848167419826891</v>
      </c>
    </row>
    <row r="102" s="2" customFormat="true" ht="15.75" hidden="false" customHeight="false" outlineLevel="0" collapsed="false">
      <c r="A102" s="129" t="s">
        <v>278</v>
      </c>
      <c r="B102" s="127" t="n">
        <v>113343.355779985</v>
      </c>
      <c r="C102" s="48" t="s">
        <v>122</v>
      </c>
      <c r="D102" s="49" t="n">
        <v>0.0135839666090171</v>
      </c>
      <c r="E102" s="130" t="n">
        <f aca="false">F102+4.23%</f>
        <v>0.0629935176727701</v>
      </c>
      <c r="F102" s="52" t="n">
        <v>0.0206935176727701</v>
      </c>
      <c r="G102" s="52" t="n">
        <v>0.1</v>
      </c>
      <c r="H102" s="80" t="s">
        <v>169</v>
      </c>
      <c r="I102" s="131" t="n">
        <f aca="false">B102/$B$123</f>
        <v>0.032462865861671</v>
      </c>
      <c r="J102" s="131" t="n">
        <f aca="false">I102*D102</f>
        <v>0.000440974485897941</v>
      </c>
      <c r="K102" s="131" t="n">
        <f aca="false">I102*E102</f>
        <v>0.00204495011436594</v>
      </c>
      <c r="L102" s="131" t="n">
        <f aca="false">I102*F102</f>
        <v>0.000671770888417254</v>
      </c>
      <c r="M102" s="131" t="n">
        <f aca="false">I102*G102</f>
        <v>0.0032462865861671</v>
      </c>
    </row>
    <row r="103" s="2" customFormat="true" ht="15.75" hidden="false" customHeight="false" outlineLevel="0" collapsed="false">
      <c r="A103" s="129" t="s">
        <v>279</v>
      </c>
      <c r="B103" s="127" t="n">
        <v>92983.8103289088</v>
      </c>
      <c r="C103" s="48" t="s">
        <v>111</v>
      </c>
      <c r="D103" s="49" t="n">
        <v>0.0101879749567629</v>
      </c>
      <c r="E103" s="130" t="n">
        <f aca="false">F103+4.23%</f>
        <v>0.0578201382545776</v>
      </c>
      <c r="F103" s="52" t="n">
        <v>0.0155201382545776</v>
      </c>
      <c r="G103" s="52" t="n">
        <v>0.18</v>
      </c>
      <c r="H103" s="80" t="s">
        <v>169</v>
      </c>
      <c r="I103" s="131" t="n">
        <f aca="false">B103/$B$123</f>
        <v>0.0266316533619649</v>
      </c>
      <c r="J103" s="131" t="n">
        <f aca="false">I103*D103</f>
        <v>0.000271322617508887</v>
      </c>
      <c r="K103" s="131" t="n">
        <f aca="false">I103*E103</f>
        <v>0.0015398458793368</v>
      </c>
      <c r="L103" s="131" t="n">
        <f aca="false">I103*F103</f>
        <v>0.000413326942125681</v>
      </c>
      <c r="M103" s="131" t="n">
        <f aca="false">I103*G103</f>
        <v>0.00479369760515368</v>
      </c>
    </row>
    <row r="104" s="2" customFormat="true" ht="15.75" hidden="false" customHeight="false" outlineLevel="0" collapsed="false">
      <c r="A104" s="129" t="s">
        <v>280</v>
      </c>
      <c r="B104" s="127" t="n">
        <v>347034.062928479</v>
      </c>
      <c r="C104" s="48" t="s">
        <v>114</v>
      </c>
      <c r="D104" s="49" t="n">
        <v>0.00509398747838143</v>
      </c>
      <c r="E104" s="130" t="n">
        <f aca="false">F104+4.23%</f>
        <v>0.0500600691272888</v>
      </c>
      <c r="F104" s="52" t="n">
        <v>0.0077600691272888</v>
      </c>
      <c r="G104" s="52" t="n">
        <v>0.21</v>
      </c>
      <c r="H104" s="80" t="s">
        <v>169</v>
      </c>
      <c r="I104" s="131" t="n">
        <f aca="false">B104/$B$123</f>
        <v>0.0993946240320093</v>
      </c>
      <c r="J104" s="131" t="n">
        <f aca="false">I104*D104</f>
        <v>0.000506314970237485</v>
      </c>
      <c r="K104" s="131" t="n">
        <f aca="false">I104*E104</f>
        <v>0.00497570174992327</v>
      </c>
      <c r="L104" s="131" t="n">
        <f aca="false">I104*F104</f>
        <v>0.000771309153369273</v>
      </c>
      <c r="M104" s="131" t="n">
        <f aca="false">I104*G104</f>
        <v>0.020872871046722</v>
      </c>
    </row>
    <row r="105" s="2" customFormat="true" ht="15.75" hidden="false" customHeight="false" outlineLevel="0" collapsed="false">
      <c r="A105" s="129" t="s">
        <v>281</v>
      </c>
      <c r="B105" s="127" t="n">
        <v>43130.41982935</v>
      </c>
      <c r="C105" s="48" t="s">
        <v>109</v>
      </c>
      <c r="D105" s="49" t="n">
        <v>0.00599292644515462</v>
      </c>
      <c r="E105" s="130" t="n">
        <f aca="false">F105+4.23%</f>
        <v>0.051429493090928</v>
      </c>
      <c r="F105" s="52" t="n">
        <v>0.009129493090928</v>
      </c>
      <c r="G105" s="52" t="n">
        <v>0.2</v>
      </c>
      <c r="H105" s="80" t="s">
        <v>169</v>
      </c>
      <c r="I105" s="131" t="n">
        <f aca="false">B105/$B$123</f>
        <v>0.0123530578730667</v>
      </c>
      <c r="J105" s="131" t="n">
        <f aca="false">I105*D105</f>
        <v>7.40309672060267E-005</v>
      </c>
      <c r="K105" s="131" t="n">
        <f aca="false">I105*E105</f>
        <v>0.000635311504534716</v>
      </c>
      <c r="L105" s="131" t="n">
        <f aca="false">I105*F105</f>
        <v>0.000112777156503996</v>
      </c>
      <c r="M105" s="131" t="n">
        <f aca="false">I105*G105</f>
        <v>0.00247061157461333</v>
      </c>
    </row>
    <row r="106" s="2" customFormat="true" ht="15.75" hidden="false" customHeight="false" outlineLevel="0" collapsed="false">
      <c r="A106" s="129" t="s">
        <v>282</v>
      </c>
      <c r="B106" s="127" t="n">
        <v>34189.4235449955</v>
      </c>
      <c r="C106" s="48" t="s">
        <v>120</v>
      </c>
      <c r="D106" s="49" t="n">
        <v>0.0255698194993264</v>
      </c>
      <c r="E106" s="130" t="n">
        <f aca="false">F106+4.23%</f>
        <v>0.0812525038546261</v>
      </c>
      <c r="F106" s="52" t="n">
        <v>0.0389525038546261</v>
      </c>
      <c r="G106" s="52" t="n">
        <v>0.15</v>
      </c>
      <c r="H106" s="80" t="s">
        <v>169</v>
      </c>
      <c r="I106" s="131" t="n">
        <f aca="false">B106/$B$123</f>
        <v>0.00979225171860524</v>
      </c>
      <c r="J106" s="131" t="n">
        <f aca="false">I106*D106</f>
        <v>0.000250386108936704</v>
      </c>
      <c r="K106" s="131" t="n">
        <f aca="false">I106*E106</f>
        <v>0.000795644970511442</v>
      </c>
      <c r="L106" s="131" t="n">
        <f aca="false">I106*F106</f>
        <v>0.00038143272281444</v>
      </c>
      <c r="M106" s="131" t="n">
        <f aca="false">I106*G106</f>
        <v>0.00146883775779079</v>
      </c>
    </row>
    <row r="107" s="2" customFormat="true" ht="15.75" hidden="false" customHeight="false" outlineLevel="0" collapsed="false">
      <c r="A107" s="129" t="s">
        <v>283</v>
      </c>
      <c r="B107" s="127" t="n">
        <v>222722.738925641</v>
      </c>
      <c r="C107" s="48" t="s">
        <v>123</v>
      </c>
      <c r="D107" s="49" t="n">
        <v>0.0161809014019175</v>
      </c>
      <c r="E107" s="130" t="n">
        <f aca="false">F107+4.23%</f>
        <v>0.0669496313455056</v>
      </c>
      <c r="F107" s="52" t="n">
        <v>0.0246496313455056</v>
      </c>
      <c r="G107" s="52" t="n">
        <v>0.09</v>
      </c>
      <c r="H107" s="80" t="s">
        <v>169</v>
      </c>
      <c r="I107" s="131" t="n">
        <f aca="false">B107/$B$123</f>
        <v>0.0637904034897456</v>
      </c>
      <c r="J107" s="131" t="n">
        <f aca="false">I107*D107</f>
        <v>0.00103218622925611</v>
      </c>
      <c r="K107" s="131" t="n">
        <f aca="false">I107*E107</f>
        <v>0.00427074399701952</v>
      </c>
      <c r="L107" s="131" t="n">
        <f aca="false">I107*F107</f>
        <v>0.00157240992940328</v>
      </c>
      <c r="M107" s="131" t="n">
        <f aca="false">I107*G107</f>
        <v>0.00574113631407711</v>
      </c>
    </row>
    <row r="108" s="2" customFormat="true" ht="15.75" hidden="false" customHeight="false" outlineLevel="0" collapsed="false">
      <c r="A108" s="129" t="s">
        <v>284</v>
      </c>
      <c r="B108" s="127" t="n">
        <v>291480.274648826</v>
      </c>
      <c r="C108" s="48" t="s">
        <v>122</v>
      </c>
      <c r="D108" s="49" t="n">
        <v>0.0135839666090171</v>
      </c>
      <c r="E108" s="130" t="n">
        <f aca="false">F108+4.23%</f>
        <v>0.0629935176727701</v>
      </c>
      <c r="F108" s="52" t="n">
        <v>0.0206935176727701</v>
      </c>
      <c r="G108" s="52" t="n">
        <v>0.2</v>
      </c>
      <c r="H108" s="80" t="s">
        <v>169</v>
      </c>
      <c r="I108" s="131" t="n">
        <f aca="false">B108/$B$123</f>
        <v>0.0834833677910104</v>
      </c>
      <c r="J108" s="131" t="n">
        <f aca="false">I108*D108</f>
        <v>0.00113403528048138</v>
      </c>
      <c r="K108" s="131" t="n">
        <f aca="false">I108*E108</f>
        <v>0.00525891100432538</v>
      </c>
      <c r="L108" s="131" t="n">
        <f aca="false">I108*F108</f>
        <v>0.00172756454676564</v>
      </c>
      <c r="M108" s="131" t="n">
        <f aca="false">I108*G108</f>
        <v>0.0166966735582021</v>
      </c>
    </row>
    <row r="109" s="2" customFormat="true" ht="15.75" hidden="false" customHeight="false" outlineLevel="0" collapsed="false">
      <c r="A109" s="129" t="s">
        <v>285</v>
      </c>
      <c r="B109" s="127" t="n">
        <v>17478.2596592625</v>
      </c>
      <c r="C109" s="48" t="s">
        <v>118</v>
      </c>
      <c r="D109" s="49" t="n">
        <v>0.0552348054028417</v>
      </c>
      <c r="E109" s="130" t="n">
        <f aca="false">F109+4.23%</f>
        <v>0.12644349465472</v>
      </c>
      <c r="F109" s="52" t="n">
        <v>0.0841434946547197</v>
      </c>
      <c r="G109" s="52" t="n">
        <v>0.1</v>
      </c>
      <c r="H109" s="80" t="s">
        <v>169</v>
      </c>
      <c r="I109" s="131" t="n">
        <f aca="false">B109/$B$123</f>
        <v>0.00500597847054646</v>
      </c>
      <c r="J109" s="131" t="n">
        <f aca="false">I109*D109</f>
        <v>0.000276504246671449</v>
      </c>
      <c r="K109" s="131" t="n">
        <f aca="false">I109*E109</f>
        <v>0.000632973411982183</v>
      </c>
      <c r="L109" s="131" t="n">
        <f aca="false">I109*F109</f>
        <v>0.000421220522678068</v>
      </c>
      <c r="M109" s="131" t="n">
        <f aca="false">I109*G109</f>
        <v>0.000500597847054646</v>
      </c>
    </row>
    <row r="110" s="2" customFormat="true" ht="15.75" hidden="false" customHeight="false" outlineLevel="0" collapsed="false">
      <c r="A110" s="129" t="s">
        <v>286</v>
      </c>
      <c r="B110" s="127" t="n">
        <v>43684.2544323609</v>
      </c>
      <c r="C110" s="48" t="s">
        <v>111</v>
      </c>
      <c r="D110" s="49" t="n">
        <v>0.0101879749567629</v>
      </c>
      <c r="E110" s="130" t="n">
        <f aca="false">F110+4.23%</f>
        <v>0.0578201382545776</v>
      </c>
      <c r="F110" s="52" t="n">
        <v>0.0155201382545776</v>
      </c>
      <c r="G110" s="52" t="n">
        <v>0.2</v>
      </c>
      <c r="H110" s="80" t="s">
        <v>169</v>
      </c>
      <c r="I110" s="131" t="n">
        <f aca="false">B110/$B$123</f>
        <v>0.0125116825961779</v>
      </c>
      <c r="J110" s="131" t="n">
        <f aca="false">I110*D110</f>
        <v>0.000127468708956826</v>
      </c>
      <c r="K110" s="131" t="n">
        <f aca="false">I110*E110</f>
        <v>0.000723427217508398</v>
      </c>
      <c r="L110" s="131" t="n">
        <f aca="false">I110*F110</f>
        <v>0.000194183043690073</v>
      </c>
      <c r="M110" s="131" t="n">
        <f aca="false">I110*G110</f>
        <v>0.00250233651923558</v>
      </c>
    </row>
    <row r="111" s="2" customFormat="true" ht="15.75" hidden="false" customHeight="false" outlineLevel="0" collapsed="false">
      <c r="A111" s="129" t="s">
        <v>287</v>
      </c>
      <c r="B111" s="127" t="n">
        <v>84869.2155133648</v>
      </c>
      <c r="C111" s="48" t="s">
        <v>110</v>
      </c>
      <c r="D111" s="49" t="n">
        <v>0.00719151173418554</v>
      </c>
      <c r="E111" s="130" t="n">
        <f aca="false">F111+4.23%</f>
        <v>0.0532553917091136</v>
      </c>
      <c r="F111" s="52" t="n">
        <v>0.0109553917091136</v>
      </c>
      <c r="G111" s="52" t="n">
        <v>0.15</v>
      </c>
      <c r="H111" s="80" t="s">
        <v>169</v>
      </c>
      <c r="I111" s="131" t="n">
        <f aca="false">B111/$B$123</f>
        <v>0.0243075382763823</v>
      </c>
      <c r="J111" s="131" t="n">
        <f aca="false">I111*D111</f>
        <v>0.000174807946743768</v>
      </c>
      <c r="K111" s="131" t="n">
        <f aca="false">I111*E111</f>
        <v>0.00129450747239301</v>
      </c>
      <c r="L111" s="131" t="n">
        <f aca="false">I111*F111</f>
        <v>0.00026629860330204</v>
      </c>
      <c r="M111" s="131" t="n">
        <f aca="false">I111*G111</f>
        <v>0.00364613074145735</v>
      </c>
    </row>
    <row r="112" s="2" customFormat="true" ht="15.75" hidden="false" customHeight="false" outlineLevel="0" collapsed="false">
      <c r="A112" s="129" t="s">
        <v>288</v>
      </c>
      <c r="B112" s="127" t="n">
        <v>16951.6822454202</v>
      </c>
      <c r="C112" s="48" t="s">
        <v>121</v>
      </c>
      <c r="D112" s="49" t="n">
        <v>0.0305639248702886</v>
      </c>
      <c r="E112" s="130" t="n">
        <f aca="false">F112+4.23%</f>
        <v>0.0888604147637328</v>
      </c>
      <c r="F112" s="52" t="n">
        <v>0.0465604147637328</v>
      </c>
      <c r="G112" s="52" t="n">
        <v>0.1</v>
      </c>
      <c r="H112" s="80" t="s">
        <v>169</v>
      </c>
      <c r="I112" s="131" t="n">
        <f aca="false">B112/$B$123</f>
        <v>0.0048551605259593</v>
      </c>
      <c r="J112" s="131" t="n">
        <f aca="false">I112*D112</f>
        <v>0.000148392761548611</v>
      </c>
      <c r="K112" s="131" t="n">
        <f aca="false">I112*E112</f>
        <v>0.000431431578081247</v>
      </c>
      <c r="L112" s="131" t="n">
        <f aca="false">I112*F112</f>
        <v>0.000226058287833168</v>
      </c>
      <c r="M112" s="131" t="n">
        <f aca="false">I112*G112</f>
        <v>0.00048551605259593</v>
      </c>
    </row>
    <row r="113" s="2" customFormat="true" ht="15.75" hidden="false" customHeight="false" outlineLevel="0" collapsed="false">
      <c r="A113" s="129" t="s">
        <v>289</v>
      </c>
      <c r="B113" s="127" t="n">
        <v>18200.3408536517</v>
      </c>
      <c r="C113" s="48" t="s">
        <v>118</v>
      </c>
      <c r="D113" s="49" t="n">
        <v>0.0552348054028417</v>
      </c>
      <c r="E113" s="130" t="n">
        <f aca="false">F113+4.23%</f>
        <v>0.12644349465472</v>
      </c>
      <c r="F113" s="52" t="n">
        <v>0.0841434946547197</v>
      </c>
      <c r="G113" s="52" t="n">
        <v>0.12</v>
      </c>
      <c r="H113" s="80" t="s">
        <v>169</v>
      </c>
      <c r="I113" s="131" t="n">
        <f aca="false">B113/$B$123</f>
        <v>0.00521279098984572</v>
      </c>
      <c r="J113" s="131" t="n">
        <f aca="false">I113*D113</f>
        <v>0.000287927495929815</v>
      </c>
      <c r="K113" s="131" t="n">
        <f aca="false">I113*E113</f>
        <v>0.000659123509660729</v>
      </c>
      <c r="L113" s="131" t="n">
        <f aca="false">I113*F113</f>
        <v>0.000438622450790255</v>
      </c>
      <c r="M113" s="131" t="n">
        <f aca="false">I113*G113</f>
        <v>0.000625534918781487</v>
      </c>
    </row>
    <row r="114" s="2" customFormat="true" ht="15.75" hidden="false" customHeight="false" outlineLevel="0" collapsed="false">
      <c r="A114" s="129" t="s">
        <v>290</v>
      </c>
      <c r="B114" s="127" t="n">
        <v>8270.01667086774</v>
      </c>
      <c r="C114" s="48" t="s">
        <v>116</v>
      </c>
      <c r="D114" s="49" t="n">
        <v>0.0382548471415703</v>
      </c>
      <c r="E114" s="130" t="n">
        <f aca="false">F114+4.23%</f>
        <v>0.100576597563757</v>
      </c>
      <c r="F114" s="52" t="n">
        <v>0.058276597563757</v>
      </c>
      <c r="G114" s="52" t="n">
        <v>0.15</v>
      </c>
      <c r="H114" s="80" t="s">
        <v>169</v>
      </c>
      <c r="I114" s="131" t="n">
        <f aca="false">B114/$B$123</f>
        <v>0.00236862972701546</v>
      </c>
      <c r="J114" s="131" t="n">
        <f aca="false">I114*D114</f>
        <v>9.06115681419557E-005</v>
      </c>
      <c r="K114" s="131" t="n">
        <f aca="false">I114*E114</f>
        <v>0.000238228718831585</v>
      </c>
      <c r="L114" s="131" t="n">
        <f aca="false">I114*F114</f>
        <v>0.000138035681378831</v>
      </c>
      <c r="M114" s="131" t="n">
        <f aca="false">I114*G114</f>
        <v>0.000355294459052319</v>
      </c>
    </row>
    <row r="115" s="2" customFormat="true" ht="15.75" hidden="false" customHeight="false" outlineLevel="0" collapsed="false">
      <c r="A115" s="129" t="s">
        <v>291</v>
      </c>
      <c r="B115" s="127" t="n">
        <v>917767.106146762</v>
      </c>
      <c r="C115" s="48" t="s">
        <v>110</v>
      </c>
      <c r="D115" s="49" t="n">
        <v>0.00719151173418554</v>
      </c>
      <c r="E115" s="130" t="n">
        <f aca="false">F115+4.23%</f>
        <v>0.0532553917091136</v>
      </c>
      <c r="F115" s="52" t="n">
        <v>0.0109553917091136</v>
      </c>
      <c r="G115" s="52" t="n">
        <v>0.19</v>
      </c>
      <c r="H115" s="80" t="s">
        <v>169</v>
      </c>
      <c r="I115" s="131" t="n">
        <f aca="false">B115/$B$123</f>
        <v>0.262859258525301</v>
      </c>
      <c r="J115" s="131" t="n">
        <f aca="false">I115*D115</f>
        <v>0.00189035544212401</v>
      </c>
      <c r="K115" s="131" t="n">
        <f aca="false">I115*E115</f>
        <v>0.013998672777132</v>
      </c>
      <c r="L115" s="131" t="n">
        <f aca="false">I115*F115</f>
        <v>0.00287972614151183</v>
      </c>
      <c r="M115" s="131" t="n">
        <f aca="false">I115*G115</f>
        <v>0.0499432591198071</v>
      </c>
    </row>
    <row r="116" s="2" customFormat="true" ht="15.75" hidden="false" customHeight="false" outlineLevel="0" collapsed="false">
      <c r="A116" s="129" t="s">
        <v>292</v>
      </c>
      <c r="B116" s="127" t="n">
        <v>382564.217988866</v>
      </c>
      <c r="C116" s="48" t="s">
        <v>124</v>
      </c>
      <c r="D116" s="49" t="n">
        <v>0.0186779540873986</v>
      </c>
      <c r="E116" s="130" t="n">
        <f aca="false">F116+4.23%</f>
        <v>0.0707535868000589</v>
      </c>
      <c r="F116" s="52" t="n">
        <v>0.0284535868000589</v>
      </c>
      <c r="G116" s="52" t="n">
        <v>0.16</v>
      </c>
      <c r="H116" s="80" t="s">
        <v>169</v>
      </c>
      <c r="I116" s="131" t="n">
        <f aca="false">B116/$B$123</f>
        <v>0.109570876974516</v>
      </c>
      <c r="J116" s="131" t="n">
        <f aca="false">I116*D116</f>
        <v>0.00204655980944601</v>
      </c>
      <c r="K116" s="131" t="n">
        <f aca="false">I116*E116</f>
        <v>0.00775253255477503</v>
      </c>
      <c r="L116" s="131" t="n">
        <f aca="false">I116*F116</f>
        <v>0.00311768445875298</v>
      </c>
      <c r="M116" s="131" t="n">
        <f aca="false">I116*G116</f>
        <v>0.0175313403159226</v>
      </c>
    </row>
    <row r="117" s="2" customFormat="true" ht="15.75" hidden="false" customHeight="false" outlineLevel="0" collapsed="false">
      <c r="A117" s="129" t="s">
        <v>293</v>
      </c>
      <c r="B117" s="127" t="n">
        <v>90097.7659591114</v>
      </c>
      <c r="C117" s="48" t="s">
        <v>120</v>
      </c>
      <c r="D117" s="49" t="n">
        <v>0.0255698194993264</v>
      </c>
      <c r="E117" s="130" t="n">
        <f aca="false">F117+4.23%</f>
        <v>0.0812525038546261</v>
      </c>
      <c r="F117" s="52" t="n">
        <v>0.0389525038546261</v>
      </c>
      <c r="G117" s="52" t="n">
        <v>0.15</v>
      </c>
      <c r="H117" s="80" t="s">
        <v>169</v>
      </c>
      <c r="I117" s="131" t="n">
        <f aca="false">B117/$B$123</f>
        <v>0.0258050564202842</v>
      </c>
      <c r="J117" s="131" t="n">
        <f aca="false">I117*D117</f>
        <v>0.000659830634836599</v>
      </c>
      <c r="K117" s="131" t="n">
        <f aca="false">I117*E117</f>
        <v>0.00209672544625798</v>
      </c>
      <c r="L117" s="131" t="n">
        <f aca="false">I117*F117</f>
        <v>0.00100517155967996</v>
      </c>
      <c r="M117" s="131" t="n">
        <f aca="false">I117*G117</f>
        <v>0.00387075846304263</v>
      </c>
    </row>
    <row r="118" s="2" customFormat="true" ht="15.75" hidden="false" customHeight="false" outlineLevel="0" collapsed="false">
      <c r="A118" s="129" t="s">
        <v>294</v>
      </c>
      <c r="B118" s="127" t="n">
        <v>140934.076532375</v>
      </c>
      <c r="C118" s="48" t="s">
        <v>111</v>
      </c>
      <c r="D118" s="49" t="n">
        <v>0.0101879749567629</v>
      </c>
      <c r="E118" s="130" t="n">
        <f aca="false">F118+4.23%</f>
        <v>0.0578201382545776</v>
      </c>
      <c r="F118" s="52" t="n">
        <v>0.0155201382545776</v>
      </c>
      <c r="G118" s="52" t="n">
        <v>0.21</v>
      </c>
      <c r="H118" s="80" t="s">
        <v>169</v>
      </c>
      <c r="I118" s="131" t="n">
        <f aca="false">B118/$B$123</f>
        <v>0.0403651717414287</v>
      </c>
      <c r="J118" s="131" t="n">
        <f aca="false">I118*D118</f>
        <v>0.000411239358827107</v>
      </c>
      <c r="K118" s="131" t="n">
        <f aca="false">I118*E118</f>
        <v>0.00233391981075918</v>
      </c>
      <c r="L118" s="131" t="n">
        <f aca="false">I118*F118</f>
        <v>0.000626473046096743</v>
      </c>
      <c r="M118" s="131" t="n">
        <f aca="false">I118*G118</f>
        <v>0.00847668606570003</v>
      </c>
    </row>
    <row r="119" s="2" customFormat="true" ht="15.75" hidden="false" customHeight="false" outlineLevel="0" collapsed="false">
      <c r="A119" s="129" t="s">
        <v>295</v>
      </c>
      <c r="B119" s="127" t="n">
        <v>72972.0151973859</v>
      </c>
      <c r="C119" s="48" t="s">
        <v>111</v>
      </c>
      <c r="D119" s="49" t="n">
        <v>0.0101879749567629</v>
      </c>
      <c r="E119" s="130" t="n">
        <f aca="false">F119+4.23%</f>
        <v>0.0578201382545776</v>
      </c>
      <c r="F119" s="52" t="n">
        <v>0.0155201382545776</v>
      </c>
      <c r="G119" s="52" t="n">
        <v>0.22</v>
      </c>
      <c r="H119" s="80" t="s">
        <v>169</v>
      </c>
      <c r="I119" s="131" t="n">
        <f aca="false">B119/$B$123</f>
        <v>0.0209000406305851</v>
      </c>
      <c r="J119" s="131" t="n">
        <f aca="false">I119*D119</f>
        <v>0.000212929090539727</v>
      </c>
      <c r="K119" s="131" t="n">
        <f aca="false">I119*E119</f>
        <v>0.00120844323878672</v>
      </c>
      <c r="L119" s="131" t="n">
        <f aca="false">I119*F119</f>
        <v>0.00032437152011297</v>
      </c>
      <c r="M119" s="131" t="n">
        <f aca="false">I119*G119</f>
        <v>0.00459800893872873</v>
      </c>
    </row>
    <row r="120" s="2" customFormat="true" ht="15.75" hidden="false" customHeight="false" outlineLevel="0" collapsed="false">
      <c r="A120" s="129" t="s">
        <v>296</v>
      </c>
      <c r="B120" s="127" t="n">
        <v>14204.5755485536</v>
      </c>
      <c r="C120" s="48" t="s">
        <v>118</v>
      </c>
      <c r="D120" s="49" t="n">
        <v>0.0552348054028417</v>
      </c>
      <c r="E120" s="130" t="n">
        <f aca="false">F120+4.23%</f>
        <v>0.12644349465472</v>
      </c>
      <c r="F120" s="52" t="n">
        <v>0.0841434946547197</v>
      </c>
      <c r="G120" s="52" t="n">
        <v>0.18</v>
      </c>
      <c r="H120" s="80" t="s">
        <v>169</v>
      </c>
      <c r="I120" s="131" t="n">
        <f aca="false">B120/$B$123</f>
        <v>0.00406835696262395</v>
      </c>
      <c r="J120" s="131" t="n">
        <f aca="false">I120*D120</f>
        <v>0.00022471490513983</v>
      </c>
      <c r="K120" s="131" t="n">
        <f aca="false">I120*E120</f>
        <v>0.000514417271857033</v>
      </c>
      <c r="L120" s="131" t="n">
        <f aca="false">I120*F120</f>
        <v>0.00034232577233804</v>
      </c>
      <c r="M120" s="131" t="n">
        <f aca="false">I120*G120</f>
        <v>0.000732304253272311</v>
      </c>
    </row>
    <row r="121" s="2" customFormat="true" ht="15.75" hidden="false" customHeight="false" outlineLevel="0" collapsed="false">
      <c r="A121" s="129" t="s">
        <v>297</v>
      </c>
      <c r="B121" s="127" t="n">
        <v>190741.262414705</v>
      </c>
      <c r="C121" s="48" t="s">
        <v>126</v>
      </c>
      <c r="D121" s="49" t="n">
        <v>0.101979631675048</v>
      </c>
      <c r="E121" s="130" t="n">
        <f aca="false">F121+4.23%</f>
        <v>0.197653540763958</v>
      </c>
      <c r="F121" s="52" t="n">
        <v>0.155353540763958</v>
      </c>
      <c r="G121" s="52" t="n">
        <v>0.18</v>
      </c>
      <c r="H121" s="80" t="s">
        <v>169</v>
      </c>
      <c r="I121" s="131" t="n">
        <f aca="false">B121/$B$123</f>
        <v>0.0546305336862786</v>
      </c>
      <c r="J121" s="131" t="n">
        <f aca="false">I121*D121</f>
        <v>0.00557120170353798</v>
      </c>
      <c r="K121" s="131" t="n">
        <f aca="false">I121*E121</f>
        <v>0.0107979184169177</v>
      </c>
      <c r="L121" s="131" t="n">
        <f aca="false">I121*F121</f>
        <v>0.00848704684198807</v>
      </c>
      <c r="M121" s="131" t="n">
        <f aca="false">I121*G121</f>
        <v>0.00983349606353015</v>
      </c>
    </row>
    <row r="122" s="2" customFormat="true" ht="15.75" hidden="false" customHeight="false" outlineLevel="0" collapsed="false">
      <c r="A122" s="129" t="s">
        <v>298</v>
      </c>
      <c r="B122" s="127" t="n">
        <v>114965.293466611</v>
      </c>
      <c r="C122" s="48" t="s">
        <v>121</v>
      </c>
      <c r="D122" s="49" t="n">
        <v>0.0305639248702886</v>
      </c>
      <c r="E122" s="130" t="n">
        <f aca="false">F122+4.23%</f>
        <v>0.0888604147637328</v>
      </c>
      <c r="F122" s="52" t="n">
        <v>0.0465604147637328</v>
      </c>
      <c r="G122" s="52" t="n">
        <v>0.15</v>
      </c>
      <c r="H122" s="80" t="s">
        <v>169</v>
      </c>
      <c r="I122" s="131" t="n">
        <f aca="false">B122/$B$123</f>
        <v>0.0329274078296989</v>
      </c>
      <c r="J122" s="131" t="n">
        <f aca="false">I122*D122</f>
        <v>0.00100639081908027</v>
      </c>
      <c r="K122" s="131" t="n">
        <f aca="false">I122*E122</f>
        <v>0.00292594311684163</v>
      </c>
      <c r="L122" s="131" t="n">
        <f aca="false">I122*F122</f>
        <v>0.00153311376564536</v>
      </c>
      <c r="M122" s="131" t="n">
        <f aca="false">I122*G122</f>
        <v>0.00493911117445483</v>
      </c>
    </row>
    <row r="123" s="1" customFormat="true" ht="15.75" hidden="false" customHeight="false" outlineLevel="0" collapsed="false">
      <c r="A123" s="132" t="s">
        <v>299</v>
      </c>
      <c r="B123" s="133" t="n">
        <f aca="false">SUM(B97:B122)</f>
        <v>3491477.19313993</v>
      </c>
      <c r="C123" s="134"/>
      <c r="D123" s="135" t="n">
        <f aca="false">SUM(J97:J122)</f>
        <v>0.0219755622873173</v>
      </c>
      <c r="E123" s="130" t="n">
        <f aca="false">F123+4.23%</f>
        <v>0.0757770910184508</v>
      </c>
      <c r="F123" s="135" t="n">
        <f aca="false">SUM(L97:L122)</f>
        <v>0.0334770910184507</v>
      </c>
      <c r="G123" s="135" t="n">
        <f aca="false">SUM(M97:M122)</f>
        <v>0.176374800274269</v>
      </c>
      <c r="H123" s="132"/>
      <c r="I123" s="136" t="n">
        <f aca="false">SUM(I97:I122)</f>
        <v>1</v>
      </c>
    </row>
    <row r="124" s="2" customFormat="true" ht="15.75" hidden="false" customHeight="false" outlineLevel="0" collapsed="false">
      <c r="A124" s="129" t="s">
        <v>300</v>
      </c>
      <c r="B124" s="127" t="n">
        <v>310000</v>
      </c>
      <c r="C124" s="48" t="s">
        <v>113</v>
      </c>
      <c r="D124" s="49" t="n">
        <v>0.00419504851160823</v>
      </c>
      <c r="E124" s="130" t="n">
        <f aca="false">F124+4.23%</f>
        <v>0.0486906451636496</v>
      </c>
      <c r="F124" s="52" t="n">
        <v>0.0063906451636496</v>
      </c>
      <c r="G124" s="52" t="n">
        <v>0.09</v>
      </c>
      <c r="H124" s="80" t="s">
        <v>170</v>
      </c>
      <c r="I124" s="131" t="n">
        <f aca="false">B124/$B$137</f>
        <v>0.0869560750684981</v>
      </c>
      <c r="J124" s="131" t="n">
        <f aca="false">I124*D124</f>
        <v>0.000364784953291397</v>
      </c>
      <c r="K124" s="131" t="n">
        <f aca="false">I124*E124</f>
        <v>0.00423394739598392</v>
      </c>
      <c r="L124" s="131" t="n">
        <f aca="false">I124*F124</f>
        <v>0.000555705420586449</v>
      </c>
      <c r="M124" s="131" t="n">
        <f aca="false">I124*G124</f>
        <v>0.00782604675616483</v>
      </c>
    </row>
    <row r="125" s="2" customFormat="true" ht="15.75" hidden="false" customHeight="false" outlineLevel="0" collapsed="false">
      <c r="A125" s="129" t="s">
        <v>301</v>
      </c>
      <c r="B125" s="127" t="n">
        <v>47109.7343085106</v>
      </c>
      <c r="C125" s="48" t="s">
        <v>117</v>
      </c>
      <c r="D125" s="49" t="n">
        <v>0.046744826272206</v>
      </c>
      <c r="E125" s="130" t="n">
        <f aca="false">F125+4.23%</f>
        <v>0.113510046109238</v>
      </c>
      <c r="F125" s="52" t="n">
        <v>0.0712100461092384</v>
      </c>
      <c r="G125" s="52" t="n">
        <v>0</v>
      </c>
      <c r="H125" s="80" t="s">
        <v>170</v>
      </c>
      <c r="I125" s="131" t="n">
        <f aca="false">B125/$B$137</f>
        <v>0.0132144438483479</v>
      </c>
      <c r="J125" s="131" t="n">
        <f aca="false">I125*D125</f>
        <v>0.000617706881974845</v>
      </c>
      <c r="K125" s="131" t="n">
        <f aca="false">I125*E125</f>
        <v>0.00149997213053391</v>
      </c>
      <c r="L125" s="131" t="n">
        <f aca="false">I125*F125</f>
        <v>0.000941001155748796</v>
      </c>
      <c r="M125" s="131" t="n">
        <f aca="false">I125*G125</f>
        <v>0</v>
      </c>
    </row>
    <row r="126" s="2" customFormat="true" ht="15.75" hidden="false" customHeight="false" outlineLevel="0" collapsed="false">
      <c r="A126" s="129" t="s">
        <v>302</v>
      </c>
      <c r="B126" s="127" t="n">
        <v>279641.257615385</v>
      </c>
      <c r="C126" s="48" t="s">
        <v>133</v>
      </c>
      <c r="D126" s="49" t="n">
        <v>0.0637247845334774</v>
      </c>
      <c r="E126" s="130" t="n">
        <f aca="false">F126+4.23%</f>
        <v>0.139376943200201</v>
      </c>
      <c r="F126" s="52" t="n">
        <v>0.097076943200201</v>
      </c>
      <c r="G126" s="52" t="n">
        <v>0.15</v>
      </c>
      <c r="H126" s="80" t="s">
        <v>170</v>
      </c>
      <c r="I126" s="131" t="n">
        <f aca="false">B126/$B$137</f>
        <v>0.0784403425466213</v>
      </c>
      <c r="J126" s="131" t="n">
        <f aca="false">I126*D126</f>
        <v>0.00499859392751561</v>
      </c>
      <c r="K126" s="131" t="n">
        <f aca="false">I126*E126</f>
        <v>0.0109327751677248</v>
      </c>
      <c r="L126" s="131" t="n">
        <f aca="false">I126*F126</f>
        <v>0.00761474867800267</v>
      </c>
      <c r="M126" s="131" t="n">
        <f aca="false">I126*G126</f>
        <v>0.0117660513819932</v>
      </c>
    </row>
    <row r="127" s="2" customFormat="true" ht="15.75" hidden="false" customHeight="false" outlineLevel="0" collapsed="false">
      <c r="A127" s="129" t="s">
        <v>303</v>
      </c>
      <c r="B127" s="127" t="n">
        <v>540379.921261681</v>
      </c>
      <c r="C127" s="48" t="s">
        <v>122</v>
      </c>
      <c r="D127" s="49" t="n">
        <v>0.0135839666090171</v>
      </c>
      <c r="E127" s="130" t="n">
        <f aca="false">F127+4.23%</f>
        <v>0.0629935176727701</v>
      </c>
      <c r="F127" s="52" t="n">
        <v>0.0206935176727701</v>
      </c>
      <c r="G127" s="52" t="n">
        <v>0.23</v>
      </c>
      <c r="H127" s="80" t="s">
        <v>170</v>
      </c>
      <c r="I127" s="131" t="n">
        <f aca="false">B127/$B$137</f>
        <v>0.151578441931419</v>
      </c>
      <c r="J127" s="131" t="n">
        <f aca="false">I127*D127</f>
        <v>0.00205903649384324</v>
      </c>
      <c r="K127" s="131" t="n">
        <f aca="false">I127*E127</f>
        <v>0.0095484592606178</v>
      </c>
      <c r="L127" s="131" t="n">
        <f aca="false">I127*F127</f>
        <v>0.00313669116691878</v>
      </c>
      <c r="M127" s="131" t="n">
        <f aca="false">I127*G127</f>
        <v>0.0348630416442264</v>
      </c>
    </row>
    <row r="128" s="2" customFormat="true" ht="15.75" hidden="false" customHeight="false" outlineLevel="0" collapsed="false">
      <c r="A128" s="129" t="s">
        <v>304</v>
      </c>
      <c r="B128" s="127" t="n">
        <v>53352.2895774648</v>
      </c>
      <c r="C128" s="48" t="s">
        <v>121</v>
      </c>
      <c r="D128" s="49" t="n">
        <v>0.0305639248702886</v>
      </c>
      <c r="E128" s="130" t="n">
        <f aca="false">F128+4.23%</f>
        <v>0.0888604147637328</v>
      </c>
      <c r="F128" s="52" t="n">
        <v>0.0465604147637328</v>
      </c>
      <c r="G128" s="52" t="n">
        <v>0.2</v>
      </c>
      <c r="H128" s="80" t="s">
        <v>170</v>
      </c>
      <c r="I128" s="131" t="n">
        <f aca="false">B128/$B$137</f>
        <v>0.0149655022502396</v>
      </c>
      <c r="J128" s="131" t="n">
        <f aca="false">I128*D128</f>
        <v>0.000457404486422458</v>
      </c>
      <c r="K128" s="131" t="n">
        <f aca="false">I128*E128</f>
        <v>0.00132984073710387</v>
      </c>
      <c r="L128" s="131" t="n">
        <f aca="false">I128*F128</f>
        <v>0.000696799991918733</v>
      </c>
      <c r="M128" s="131" t="n">
        <f aca="false">I128*G128</f>
        <v>0.00299310045004792</v>
      </c>
    </row>
    <row r="129" s="2" customFormat="true" ht="15.75" hidden="false" customHeight="false" outlineLevel="0" collapsed="false">
      <c r="A129" s="129" t="s">
        <v>305</v>
      </c>
      <c r="B129" s="127" t="n">
        <v>160227.273053334</v>
      </c>
      <c r="C129" s="48" t="s">
        <v>109</v>
      </c>
      <c r="D129" s="49" t="n">
        <v>0.00599292644515462</v>
      </c>
      <c r="E129" s="130" t="n">
        <f aca="false">F129+4.23%</f>
        <v>0.051429493090928</v>
      </c>
      <c r="F129" s="52" t="n">
        <v>0.009129493090928</v>
      </c>
      <c r="G129" s="52" t="n">
        <v>0.15</v>
      </c>
      <c r="H129" s="80" t="s">
        <v>170</v>
      </c>
      <c r="I129" s="131" t="n">
        <f aca="false">B129/$B$137</f>
        <v>0.0449443057536982</v>
      </c>
      <c r="J129" s="131" t="n">
        <f aca="false">I129*D129</f>
        <v>0.000269347918510453</v>
      </c>
      <c r="K129" s="131" t="n">
        <f aca="false">I129*E129</f>
        <v>0.00231146286223638</v>
      </c>
      <c r="L129" s="131" t="n">
        <f aca="false">I129*F129</f>
        <v>0.000410318728854943</v>
      </c>
      <c r="M129" s="131" t="n">
        <f aca="false">I129*G129</f>
        <v>0.00674164586305473</v>
      </c>
    </row>
    <row r="130" s="2" customFormat="true" ht="15.75" hidden="false" customHeight="false" outlineLevel="0" collapsed="false">
      <c r="A130" s="129" t="s">
        <v>306</v>
      </c>
      <c r="B130" s="127" t="n">
        <v>20078.620357</v>
      </c>
      <c r="C130" s="48" t="s">
        <v>125</v>
      </c>
      <c r="D130" s="49" t="n">
        <v>0.175</v>
      </c>
      <c r="E130" s="130" t="n">
        <f aca="false">F130+4.23%</f>
        <v>0.30889117303269</v>
      </c>
      <c r="F130" s="52" t="n">
        <v>0.26659117303269</v>
      </c>
      <c r="G130" s="52" t="n">
        <v>0.17</v>
      </c>
      <c r="H130" s="80" t="s">
        <v>170</v>
      </c>
      <c r="I130" s="131" t="n">
        <f aca="false">B130/$B$137</f>
        <v>0.00563212264204893</v>
      </c>
      <c r="J130" s="131" t="n">
        <f aca="false">I130*D130</f>
        <v>0.000985621462358562</v>
      </c>
      <c r="K130" s="131" t="n">
        <f aca="false">I130*E130</f>
        <v>0.00173971296956647</v>
      </c>
      <c r="L130" s="131" t="n">
        <f aca="false">I130*F130</f>
        <v>0.0015014741818078</v>
      </c>
      <c r="M130" s="131" t="n">
        <f aca="false">I130*G130</f>
        <v>0.000957460849148317</v>
      </c>
    </row>
    <row r="131" s="2" customFormat="true" ht="15.75" hidden="false" customHeight="false" outlineLevel="0" collapsed="false">
      <c r="A131" s="129" t="s">
        <v>307</v>
      </c>
      <c r="B131" s="127" t="n">
        <v>107137.198769386</v>
      </c>
      <c r="C131" s="48" t="s">
        <v>124</v>
      </c>
      <c r="D131" s="49" t="n">
        <v>0.0186779540873986</v>
      </c>
      <c r="E131" s="130" t="n">
        <f aca="false">F131+4.23%</f>
        <v>0.0707535868000589</v>
      </c>
      <c r="F131" s="52" t="n">
        <v>0.0284535868000589</v>
      </c>
      <c r="G131" s="52" t="n">
        <v>0.15</v>
      </c>
      <c r="H131" s="80" t="s">
        <v>170</v>
      </c>
      <c r="I131" s="131" t="n">
        <f aca="false">B131/$B$137</f>
        <v>0.0300523558026432</v>
      </c>
      <c r="J131" s="131" t="n">
        <f aca="false">I131*D131</f>
        <v>0.000561316521899935</v>
      </c>
      <c r="K131" s="131" t="n">
        <f aca="false">I131*E131</f>
        <v>0.00212631196482857</v>
      </c>
      <c r="L131" s="131" t="n">
        <f aca="false">I131*F131</f>
        <v>0.000855097314376762</v>
      </c>
      <c r="M131" s="131" t="n">
        <f aca="false">I131*G131</f>
        <v>0.00450785337039647</v>
      </c>
    </row>
    <row r="132" s="2" customFormat="true" ht="15.75" hidden="false" customHeight="false" outlineLevel="0" collapsed="false">
      <c r="A132" s="129" t="s">
        <v>308</v>
      </c>
      <c r="B132" s="127" t="n">
        <v>219162.637362637</v>
      </c>
      <c r="C132" s="48" t="s">
        <v>113</v>
      </c>
      <c r="D132" s="49" t="n">
        <v>0.00419504851160823</v>
      </c>
      <c r="E132" s="130" t="n">
        <f aca="false">F132+4.23%</f>
        <v>0.0486906451636496</v>
      </c>
      <c r="F132" s="52" t="n">
        <v>0.0063906451636496</v>
      </c>
      <c r="G132" s="52" t="n">
        <v>0.1</v>
      </c>
      <c r="H132" s="80" t="s">
        <v>170</v>
      </c>
      <c r="I132" s="131" t="n">
        <f aca="false">B132/$B$137</f>
        <v>0.0614758798281146</v>
      </c>
      <c r="J132" s="131" t="n">
        <f aca="false">I132*D132</f>
        <v>0.000257894298172739</v>
      </c>
      <c r="K132" s="131" t="n">
        <f aca="false">I132*E132</f>
        <v>0.00299330025083389</v>
      </c>
      <c r="L132" s="131" t="n">
        <f aca="false">I132*F132</f>
        <v>0.000392870534104645</v>
      </c>
      <c r="M132" s="131" t="n">
        <f aca="false">I132*G132</f>
        <v>0.00614758798281146</v>
      </c>
    </row>
    <row r="133" s="2" customFormat="true" ht="15.75" hidden="false" customHeight="false" outlineLevel="0" collapsed="false">
      <c r="A133" s="129" t="s">
        <v>309</v>
      </c>
      <c r="B133" s="127" t="n">
        <v>11000</v>
      </c>
      <c r="C133" s="48" t="s">
        <v>111</v>
      </c>
      <c r="D133" s="49" t="n">
        <v>0.0101879749567629</v>
      </c>
      <c r="E133" s="130" t="n">
        <f aca="false">F133+4.23%</f>
        <v>0.0578201382545776</v>
      </c>
      <c r="F133" s="52" t="n">
        <v>0.0155201382545776</v>
      </c>
      <c r="G133" s="52" t="n">
        <v>0.1894</v>
      </c>
      <c r="H133" s="80" t="s">
        <v>170</v>
      </c>
      <c r="I133" s="131" t="n">
        <f aca="false">B133/$B$137</f>
        <v>0.00308553814759187</v>
      </c>
      <c r="J133" s="131" t="n">
        <f aca="false">I133*D133</f>
        <v>3.14353853758024E-005</v>
      </c>
      <c r="K133" s="131" t="n">
        <f aca="false">I133*E133</f>
        <v>0.000178406242283535</v>
      </c>
      <c r="L133" s="131" t="n">
        <f aca="false">I133*F133</f>
        <v>4.78879786403991E-005</v>
      </c>
      <c r="M133" s="131" t="n">
        <f aca="false">I133*G133</f>
        <v>0.0005844009251539</v>
      </c>
    </row>
    <row r="134" s="2" customFormat="true" ht="15.75" hidden="false" customHeight="false" outlineLevel="0" collapsed="false">
      <c r="A134" s="129" t="s">
        <v>310</v>
      </c>
      <c r="B134" s="127" t="n">
        <v>1239804.53333333</v>
      </c>
      <c r="C134" s="48" t="s">
        <v>114</v>
      </c>
      <c r="D134" s="49" t="n">
        <v>0.00509398747838143</v>
      </c>
      <c r="E134" s="130" t="n">
        <f aca="false">F134+4.23%</f>
        <v>0.0500600691272888</v>
      </c>
      <c r="F134" s="52" t="n">
        <v>0.0077600691272888</v>
      </c>
      <c r="G134" s="52" t="n">
        <v>0.2</v>
      </c>
      <c r="H134" s="80" t="s">
        <v>170</v>
      </c>
      <c r="I134" s="131" t="n">
        <f aca="false">B134/$B$137</f>
        <v>0.347769471196121</v>
      </c>
      <c r="J134" s="131" t="n">
        <f aca="false">I134*D134</f>
        <v>0.00177153333163637</v>
      </c>
      <c r="K134" s="131" t="n">
        <f aca="false">I134*E134</f>
        <v>0.0174093637684385</v>
      </c>
      <c r="L134" s="131" t="n">
        <f aca="false">I134*F134</f>
        <v>0.00269871513684257</v>
      </c>
      <c r="M134" s="131" t="n">
        <f aca="false">I134*G134</f>
        <v>0.0695538942392243</v>
      </c>
    </row>
    <row r="135" s="2" customFormat="true" ht="15.75" hidden="false" customHeight="false" outlineLevel="0" collapsed="false">
      <c r="A135" s="129" t="s">
        <v>311</v>
      </c>
      <c r="B135" s="127" t="n">
        <v>24800</v>
      </c>
      <c r="C135" s="48" t="s">
        <v>119</v>
      </c>
      <c r="D135" s="49" t="n">
        <v>0.0212748888802989</v>
      </c>
      <c r="E135" s="130" t="n">
        <f aca="false">F135+4.23%</f>
        <v>0.0747097004727944</v>
      </c>
      <c r="F135" s="52" t="n">
        <v>0.0324097004727944</v>
      </c>
      <c r="G135" s="52" t="n">
        <v>0.1894</v>
      </c>
      <c r="H135" s="80" t="s">
        <v>170</v>
      </c>
      <c r="I135" s="131" t="n">
        <f aca="false">B135/$B$137</f>
        <v>0.00695648600547985</v>
      </c>
      <c r="J135" s="131" t="n">
        <f aca="false">I135*D135</f>
        <v>0.000147998466763938</v>
      </c>
      <c r="K135" s="131" t="n">
        <f aca="false">I135*E135</f>
        <v>0.000519716985812586</v>
      </c>
      <c r="L135" s="131" t="n">
        <f aca="false">I135*F135</f>
        <v>0.000225457627780788</v>
      </c>
      <c r="M135" s="131" t="n">
        <f aca="false">I135*G135</f>
        <v>0.00131755844943788</v>
      </c>
    </row>
    <row r="136" s="2" customFormat="true" ht="15.75" hidden="false" customHeight="false" outlineLevel="0" collapsed="false">
      <c r="A136" s="129" t="s">
        <v>312</v>
      </c>
      <c r="B136" s="127" t="n">
        <v>552324.846834581</v>
      </c>
      <c r="C136" s="48" t="s">
        <v>113</v>
      </c>
      <c r="D136" s="49" t="n">
        <v>0.00419504851160823</v>
      </c>
      <c r="E136" s="130" t="n">
        <f aca="false">F136+4.23%</f>
        <v>0.0486906451636496</v>
      </c>
      <c r="F136" s="52" t="n">
        <v>0.0063906451636496</v>
      </c>
      <c r="G136" s="52" t="n">
        <v>0.09</v>
      </c>
      <c r="H136" s="80" t="s">
        <v>170</v>
      </c>
      <c r="I136" s="131" t="n">
        <f aca="false">B136/$B$137</f>
        <v>0.154929034979176</v>
      </c>
      <c r="J136" s="131" t="n">
        <f aca="false">I136*D136</f>
        <v>0.000649934817594293</v>
      </c>
      <c r="K136" s="131" t="n">
        <f aca="false">I136*E136</f>
        <v>0.00754359466771772</v>
      </c>
      <c r="L136" s="131" t="n">
        <f aca="false">I136*F136</f>
        <v>0.000990096488098572</v>
      </c>
      <c r="M136" s="131" t="n">
        <f aca="false">I136*G136</f>
        <v>0.0139436131481259</v>
      </c>
    </row>
    <row r="137" s="1" customFormat="true" ht="15.75" hidden="false" customHeight="false" outlineLevel="0" collapsed="false">
      <c r="A137" s="132" t="s">
        <v>170</v>
      </c>
      <c r="B137" s="133" t="n">
        <f aca="false">SUM(B124:B136)</f>
        <v>3565018.31247331</v>
      </c>
      <c r="C137" s="134"/>
      <c r="D137" s="135" t="n">
        <f aca="false">SUM(J124:J136)</f>
        <v>0.0131726089453596</v>
      </c>
      <c r="E137" s="130" t="n">
        <f aca="false">F137+4.23%</f>
        <v>0.0623668644036819</v>
      </c>
      <c r="F137" s="135" t="n">
        <f aca="false">SUM(L124:L136)</f>
        <v>0.0200668644036819</v>
      </c>
      <c r="G137" s="137" t="n">
        <f aca="false">SUM(M124:M136)</f>
        <v>0.161202255059785</v>
      </c>
      <c r="H137" s="132"/>
      <c r="I137" s="136" t="n">
        <f aca="false">SUM(I124:I136)</f>
        <v>1</v>
      </c>
    </row>
    <row r="138" s="2" customFormat="true" ht="15.75" hidden="false" customHeight="false" outlineLevel="0" collapsed="false">
      <c r="A138" s="129" t="s">
        <v>313</v>
      </c>
      <c r="B138" s="127" t="n">
        <v>2243636.82663376</v>
      </c>
      <c r="C138" s="48" t="s">
        <v>115</v>
      </c>
      <c r="D138" s="49" t="n">
        <v>0</v>
      </c>
      <c r="E138" s="130" t="n">
        <f aca="false">F138+4.23%</f>
        <v>0.0423</v>
      </c>
      <c r="F138" s="52" t="n">
        <v>0</v>
      </c>
      <c r="G138" s="52" t="n">
        <v>0.2614</v>
      </c>
      <c r="H138" s="80" t="s">
        <v>171</v>
      </c>
      <c r="I138" s="131" t="n">
        <f aca="false">B138/B140</f>
        <v>0.0723880074734334</v>
      </c>
      <c r="J138" s="131" t="n">
        <f aca="false">I138*D138</f>
        <v>0</v>
      </c>
      <c r="K138" s="131" t="n">
        <f aca="false">I138*E138</f>
        <v>0.00306201271612623</v>
      </c>
      <c r="L138" s="131" t="n">
        <f aca="false">I138*F138</f>
        <v>0</v>
      </c>
      <c r="M138" s="131" t="n">
        <f aca="false">I138*G138</f>
        <v>0.0189222251535555</v>
      </c>
    </row>
    <row r="139" s="2" customFormat="true" ht="15.75" hidden="false" customHeight="false" outlineLevel="0" collapsed="false">
      <c r="A139" s="129" t="s">
        <v>314</v>
      </c>
      <c r="B139" s="127" t="n">
        <v>28750956.1307312</v>
      </c>
      <c r="C139" s="48" t="s">
        <v>112</v>
      </c>
      <c r="D139" s="49" t="n">
        <v>0.00233367916999202</v>
      </c>
      <c r="E139" s="130" t="n">
        <f aca="false">F139+4.23%</f>
        <v>0.044633679169992</v>
      </c>
      <c r="F139" s="52" t="n">
        <v>0.00233367916999202</v>
      </c>
      <c r="G139" s="52" t="n">
        <v>0.25</v>
      </c>
      <c r="H139" s="80" t="s">
        <v>171</v>
      </c>
      <c r="I139" s="131" t="n">
        <f aca="false">B139/B140</f>
        <v>0.927611992526566</v>
      </c>
      <c r="J139" s="131" t="n">
        <f aca="false">I139*D139</f>
        <v>0.00216474878479404</v>
      </c>
      <c r="K139" s="131" t="n">
        <f aca="false">I139*E139</f>
        <v>0.0414027360686678</v>
      </c>
      <c r="L139" s="131" t="n">
        <f aca="false">I139*F139</f>
        <v>0.00216474878479404</v>
      </c>
      <c r="M139" s="131" t="n">
        <f aca="false">I139*G139</f>
        <v>0.231902998131642</v>
      </c>
    </row>
    <row r="140" s="1" customFormat="true" ht="15.75" hidden="false" customHeight="false" outlineLevel="0" collapsed="false">
      <c r="A140" s="132" t="s">
        <v>171</v>
      </c>
      <c r="B140" s="134" t="n">
        <f aca="false">SUM(B138:B139)</f>
        <v>30994592.957365</v>
      </c>
      <c r="C140" s="134"/>
      <c r="D140" s="135" t="n">
        <f aca="false">SUM(J138:J139)</f>
        <v>0.00216474878479404</v>
      </c>
      <c r="E140" s="130" t="n">
        <f aca="false">F140+4.23%</f>
        <v>0.0444647487847941</v>
      </c>
      <c r="F140" s="135" t="n">
        <f aca="false">SUM(L138:L139)</f>
        <v>0.00216474878479404</v>
      </c>
      <c r="G140" s="137" t="n">
        <f aca="false">SUM(M138:M139)</f>
        <v>0.250825223285197</v>
      </c>
      <c r="H140" s="132"/>
      <c r="I140" s="136" t="n">
        <f aca="false">SUM(I138:I139)</f>
        <v>1</v>
      </c>
    </row>
    <row r="141" s="2" customFormat="true" ht="15.75" hidden="false" customHeight="false" outlineLevel="0" collapsed="false">
      <c r="A141" s="129" t="s">
        <v>315</v>
      </c>
      <c r="B141" s="127" t="n">
        <v>4039.84240548117</v>
      </c>
      <c r="C141" s="48" t="s">
        <v>122</v>
      </c>
      <c r="D141" s="49" t="n">
        <v>0.0135839666090171</v>
      </c>
      <c r="E141" s="130" t="n">
        <f aca="false">F141+4.23%</f>
        <v>0.0629935176727701</v>
      </c>
      <c r="F141" s="52" t="n">
        <v>0.0206935176727701</v>
      </c>
      <c r="G141" s="52" t="n">
        <v>0.1</v>
      </c>
      <c r="H141" s="80" t="s">
        <v>172</v>
      </c>
      <c r="I141" s="131" t="n">
        <f aca="false">B141/$B$167</f>
        <v>0.000171457832420178</v>
      </c>
      <c r="J141" s="131" t="n">
        <f aca="false">I141*D141</f>
        <v>2.32907747045016E-006</v>
      </c>
      <c r="K141" s="131" t="n">
        <f aca="false">I141*E141</f>
        <v>1.08007319966954E-005</v>
      </c>
      <c r="L141" s="131" t="n">
        <f aca="false">I141*F141</f>
        <v>3.54806568532182E-006</v>
      </c>
      <c r="M141" s="131" t="n">
        <f aca="false">I141*G141</f>
        <v>1.71457832420178E-005</v>
      </c>
    </row>
    <row r="142" s="2" customFormat="true" ht="15.75" hidden="false" customHeight="false" outlineLevel="0" collapsed="false">
      <c r="A142" s="129" t="s">
        <v>316</v>
      </c>
      <c r="B142" s="127" t="n">
        <v>534790.720466822</v>
      </c>
      <c r="C142" s="48" t="s">
        <v>112</v>
      </c>
      <c r="D142" s="49" t="n">
        <v>0.00233367916999202</v>
      </c>
      <c r="E142" s="130" t="n">
        <f aca="false">F142+4.23%</f>
        <v>0.0458550758137722</v>
      </c>
      <c r="F142" s="52" t="n">
        <v>0.00355507581377215</v>
      </c>
      <c r="G142" s="52" t="n">
        <v>0.23</v>
      </c>
      <c r="H142" s="80" t="s">
        <v>172</v>
      </c>
      <c r="I142" s="131" t="n">
        <f aca="false">B142/$B$167</f>
        <v>0.0226974343368588</v>
      </c>
      <c r="J142" s="131" t="n">
        <f aca="false">I142*D142</f>
        <v>5.29685297241891E-005</v>
      </c>
      <c r="K142" s="131" t="n">
        <f aca="false">I142*E142</f>
        <v>0.00104079257229478</v>
      </c>
      <c r="L142" s="131" t="n">
        <f aca="false">I142*F142</f>
        <v>8.06910998456485E-005</v>
      </c>
      <c r="M142" s="131" t="n">
        <f aca="false">I142*G142</f>
        <v>0.00522040989747753</v>
      </c>
    </row>
    <row r="143" s="2" customFormat="true" ht="15.75" hidden="false" customHeight="false" outlineLevel="0" collapsed="false">
      <c r="A143" s="129" t="s">
        <v>317</v>
      </c>
      <c r="B143" s="127" t="n">
        <v>671370.081636406</v>
      </c>
      <c r="C143" s="48" t="s">
        <v>114</v>
      </c>
      <c r="D143" s="49" t="n">
        <v>0.00509398747838143</v>
      </c>
      <c r="E143" s="130" t="n">
        <f aca="false">F143+4.23%</f>
        <v>0.0500600691272888</v>
      </c>
      <c r="F143" s="52" t="n">
        <v>0.0077600691272888</v>
      </c>
      <c r="G143" s="52" t="n">
        <v>0.25</v>
      </c>
      <c r="H143" s="80" t="s">
        <v>172</v>
      </c>
      <c r="I143" s="131" t="n">
        <f aca="false">B143/$B$167</f>
        <v>0.0284940964016209</v>
      </c>
      <c r="J143" s="131" t="n">
        <f aca="false">I143*D143</f>
        <v>0.00014514857027765</v>
      </c>
      <c r="K143" s="131" t="n">
        <f aca="false">I143*E143</f>
        <v>0.00142641643558477</v>
      </c>
      <c r="L143" s="131" t="n">
        <f aca="false">I143*F143</f>
        <v>0.000221116157796209</v>
      </c>
      <c r="M143" s="131" t="n">
        <f aca="false">I143*G143</f>
        <v>0.00712352410040521</v>
      </c>
    </row>
    <row r="144" s="2" customFormat="true" ht="15.75" hidden="false" customHeight="false" outlineLevel="0" collapsed="false">
      <c r="A144" s="129" t="s">
        <v>318</v>
      </c>
      <c r="B144" s="127" t="n">
        <v>37634.5333318902</v>
      </c>
      <c r="C144" s="48" t="s">
        <v>111</v>
      </c>
      <c r="D144" s="49" t="n">
        <v>0.0101879749567629</v>
      </c>
      <c r="E144" s="130" t="n">
        <f aca="false">F144+4.23%</f>
        <v>0.0578201382545776</v>
      </c>
      <c r="F144" s="52" t="n">
        <v>0.0155201382545776</v>
      </c>
      <c r="G144" s="52" t="n">
        <v>0.125</v>
      </c>
      <c r="H144" s="80" t="s">
        <v>172</v>
      </c>
      <c r="I144" s="131" t="n">
        <f aca="false">B144/$B$167</f>
        <v>0.00159727406704675</v>
      </c>
      <c r="J144" s="131" t="n">
        <f aca="false">I144*D144</f>
        <v>1.6272988194159E-005</v>
      </c>
      <c r="K144" s="131" t="n">
        <f aca="false">I144*E144</f>
        <v>9.23546073870946E-005</v>
      </c>
      <c r="L144" s="131" t="n">
        <f aca="false">I144*F144</f>
        <v>2.4789914351017E-005</v>
      </c>
      <c r="M144" s="131" t="n">
        <f aca="false">I144*G144</f>
        <v>0.000199659258380844</v>
      </c>
    </row>
    <row r="145" s="2" customFormat="true" ht="15.75" hidden="false" customHeight="false" outlineLevel="0" collapsed="false">
      <c r="A145" s="129" t="s">
        <v>319</v>
      </c>
      <c r="B145" s="127" t="n">
        <v>424524.722037047</v>
      </c>
      <c r="C145" s="48" t="s">
        <v>115</v>
      </c>
      <c r="D145" s="49" t="n">
        <v>0</v>
      </c>
      <c r="E145" s="130" t="n">
        <f aca="false">F145+4.23%</f>
        <v>0.0423</v>
      </c>
      <c r="F145" s="52" t="n">
        <v>0</v>
      </c>
      <c r="G145" s="52" t="n">
        <v>0.22</v>
      </c>
      <c r="H145" s="80" t="s">
        <v>172</v>
      </c>
      <c r="I145" s="131" t="n">
        <f aca="false">B145/$B$167</f>
        <v>0.0180175564647011</v>
      </c>
      <c r="J145" s="131" t="n">
        <f aca="false">I145*D145</f>
        <v>0</v>
      </c>
      <c r="K145" s="131" t="n">
        <f aca="false">I145*E145</f>
        <v>0.000762142638456855</v>
      </c>
      <c r="L145" s="131" t="n">
        <f aca="false">I145*F145</f>
        <v>0</v>
      </c>
      <c r="M145" s="131" t="n">
        <f aca="false">I145*G145</f>
        <v>0.00396386242223424</v>
      </c>
    </row>
    <row r="146" s="2" customFormat="true" ht="15.75" hidden="false" customHeight="false" outlineLevel="0" collapsed="false">
      <c r="A146" s="129" t="s">
        <v>320</v>
      </c>
      <c r="B146" s="127" t="n">
        <v>298696.961297656</v>
      </c>
      <c r="C146" s="48" t="s">
        <v>112</v>
      </c>
      <c r="D146" s="49" t="n">
        <v>0.00233367916999202</v>
      </c>
      <c r="E146" s="130" t="n">
        <f aca="false">F146+4.23%</f>
        <v>0.0458550758137722</v>
      </c>
      <c r="F146" s="52" t="n">
        <v>0.00355507581377215</v>
      </c>
      <c r="G146" s="52" t="n">
        <v>0.2</v>
      </c>
      <c r="H146" s="80" t="s">
        <v>172</v>
      </c>
      <c r="I146" s="131" t="n">
        <f aca="false">B146/$B$167</f>
        <v>0.0126772107409695</v>
      </c>
      <c r="J146" s="131" t="n">
        <f aca="false">I146*D146</f>
        <v>2.95845426397996E-005</v>
      </c>
      <c r="K146" s="131" t="n">
        <f aca="false">I146*E146</f>
        <v>0.000581314459634324</v>
      </c>
      <c r="L146" s="131" t="n">
        <f aca="false">I146*F146</f>
        <v>4.50684452913133E-005</v>
      </c>
      <c r="M146" s="131" t="n">
        <f aca="false">I146*G146</f>
        <v>0.0025354421481939</v>
      </c>
    </row>
    <row r="147" s="2" customFormat="true" ht="15.75" hidden="false" customHeight="false" outlineLevel="0" collapsed="false">
      <c r="A147" s="129" t="s">
        <v>321</v>
      </c>
      <c r="B147" s="127" t="n">
        <v>3160442.62246508</v>
      </c>
      <c r="C147" s="48" t="s">
        <v>114</v>
      </c>
      <c r="D147" s="49" t="n">
        <v>0.00509398747838143</v>
      </c>
      <c r="E147" s="130" t="n">
        <f aca="false">F147+4.23%</f>
        <v>0.0500600691272888</v>
      </c>
      <c r="F147" s="52" t="n">
        <v>0.0077600691272888</v>
      </c>
      <c r="G147" s="52" t="n">
        <v>0.2583</v>
      </c>
      <c r="H147" s="80" t="s">
        <v>172</v>
      </c>
      <c r="I147" s="131" t="n">
        <f aca="false">B147/$B$167</f>
        <v>0.13413459911233</v>
      </c>
      <c r="J147" s="131" t="n">
        <f aca="false">I147*D147</f>
        <v>0.000683279968295919</v>
      </c>
      <c r="K147" s="131" t="n">
        <f aca="false">I147*E147</f>
        <v>0.00671478730392439</v>
      </c>
      <c r="L147" s="131" t="n">
        <f aca="false">I147*F147</f>
        <v>0.00104089376147285</v>
      </c>
      <c r="M147" s="131" t="n">
        <f aca="false">I147*G147</f>
        <v>0.0346469669507147</v>
      </c>
    </row>
    <row r="148" s="2" customFormat="true" ht="15.75" hidden="false" customHeight="false" outlineLevel="0" collapsed="false">
      <c r="A148" s="129" t="s">
        <v>322</v>
      </c>
      <c r="B148" s="127" t="n">
        <v>4685592.57780469</v>
      </c>
      <c r="C148" s="48" t="s">
        <v>115</v>
      </c>
      <c r="D148" s="49" t="n">
        <v>0</v>
      </c>
      <c r="E148" s="130" t="n">
        <f aca="false">F148+4.23%</f>
        <v>0.0423</v>
      </c>
      <c r="F148" s="52" t="n">
        <v>0</v>
      </c>
      <c r="G148" s="52" t="n">
        <v>0.2993</v>
      </c>
      <c r="H148" s="80" t="s">
        <v>172</v>
      </c>
      <c r="I148" s="131" t="n">
        <f aca="false">B148/$B$167</f>
        <v>0.198864575980602</v>
      </c>
      <c r="J148" s="131" t="n">
        <f aca="false">I148*D148</f>
        <v>0</v>
      </c>
      <c r="K148" s="131" t="n">
        <f aca="false">I148*E148</f>
        <v>0.00841197156397946</v>
      </c>
      <c r="L148" s="131" t="n">
        <f aca="false">I148*F148</f>
        <v>0</v>
      </c>
      <c r="M148" s="131" t="n">
        <f aca="false">I148*G148</f>
        <v>0.0595201675909941</v>
      </c>
    </row>
    <row r="149" s="2" customFormat="true" ht="15.75" hidden="false" customHeight="false" outlineLevel="0" collapsed="false">
      <c r="A149" s="129" t="s">
        <v>323</v>
      </c>
      <c r="B149" s="127" t="n">
        <v>256238.371778118</v>
      </c>
      <c r="C149" s="48" t="s">
        <v>124</v>
      </c>
      <c r="D149" s="49" t="n">
        <v>0.0186779540873986</v>
      </c>
      <c r="E149" s="130" t="n">
        <f aca="false">F149+4.23%</f>
        <v>0.0707535868000589</v>
      </c>
      <c r="F149" s="52" t="n">
        <v>0.0284535868000589</v>
      </c>
      <c r="G149" s="52" t="n">
        <v>0.22</v>
      </c>
      <c r="H149" s="80" t="s">
        <v>172</v>
      </c>
      <c r="I149" s="131" t="n">
        <f aca="false">B149/$B$167</f>
        <v>0.0108751954651357</v>
      </c>
      <c r="J149" s="131" t="n">
        <f aca="false">I149*D149</f>
        <v>0.00020312640158929</v>
      </c>
      <c r="K149" s="131" t="n">
        <f aca="false">I149*E149</f>
        <v>0.000769459086310089</v>
      </c>
      <c r="L149" s="131" t="n">
        <f aca="false">I149*F149</f>
        <v>0.000309438318134847</v>
      </c>
      <c r="M149" s="131" t="n">
        <f aca="false">I149*G149</f>
        <v>0.00239254300232986</v>
      </c>
    </row>
    <row r="150" s="2" customFormat="true" ht="15.75" hidden="false" customHeight="false" outlineLevel="0" collapsed="false">
      <c r="A150" s="129" t="s">
        <v>324</v>
      </c>
      <c r="B150" s="127" t="n">
        <v>3446</v>
      </c>
      <c r="C150" s="48" t="s">
        <v>109</v>
      </c>
      <c r="D150" s="49" t="n">
        <v>0.00599292644515462</v>
      </c>
      <c r="E150" s="130" t="n">
        <f aca="false">F150+4.23%</f>
        <v>0.051429493090928</v>
      </c>
      <c r="F150" s="52" t="n">
        <v>0.009129493090928</v>
      </c>
      <c r="G150" s="52" t="n">
        <v>0</v>
      </c>
      <c r="H150" s="80" t="s">
        <v>172</v>
      </c>
      <c r="I150" s="131" t="n">
        <f aca="false">B150/$B$167</f>
        <v>0.000146254143408736</v>
      </c>
      <c r="J150" s="131" t="n">
        <f aca="false">I150*D150</f>
        <v>8.76490323747648E-007</v>
      </c>
      <c r="K150" s="131" t="n">
        <f aca="false">I150*E150</f>
        <v>7.52177645795916E-006</v>
      </c>
      <c r="L150" s="131" t="n">
        <f aca="false">I150*F150</f>
        <v>1.33522619176964E-006</v>
      </c>
      <c r="M150" s="131" t="n">
        <f aca="false">I150*G150</f>
        <v>0</v>
      </c>
    </row>
    <row r="151" s="2" customFormat="true" ht="15.75" hidden="false" customHeight="false" outlineLevel="0" collapsed="false">
      <c r="A151" s="129" t="s">
        <v>325</v>
      </c>
      <c r="B151" s="127" t="n">
        <v>33255.1814689382</v>
      </c>
      <c r="C151" s="48" t="s">
        <v>109</v>
      </c>
      <c r="D151" s="49" t="n">
        <v>0.00599292644515462</v>
      </c>
      <c r="E151" s="130" t="n">
        <f aca="false">F151+4.23%</f>
        <v>0.051429493090928</v>
      </c>
      <c r="F151" s="52" t="n">
        <v>0.009129493090928</v>
      </c>
      <c r="G151" s="52" t="n">
        <v>0.21</v>
      </c>
      <c r="H151" s="80" t="s">
        <v>172</v>
      </c>
      <c r="I151" s="131" t="n">
        <f aca="false">B151/$B$167</f>
        <v>0.00141140687163134</v>
      </c>
      <c r="J151" s="131" t="n">
        <f aca="false">I151*D151</f>
        <v>8.45845756587244E-006</v>
      </c>
      <c r="K151" s="131" t="n">
        <f aca="false">I151*E151</f>
        <v>7.25879399530525E-005</v>
      </c>
      <c r="L151" s="131" t="n">
        <f aca="false">I151*F151</f>
        <v>1.28854292830467E-005</v>
      </c>
      <c r="M151" s="131" t="n">
        <f aca="false">I151*G151</f>
        <v>0.000296395443042582</v>
      </c>
    </row>
    <row r="152" s="2" customFormat="true" ht="15.75" hidden="false" customHeight="false" outlineLevel="0" collapsed="false">
      <c r="A152" s="129" t="s">
        <v>326</v>
      </c>
      <c r="B152" s="127" t="n">
        <v>609157.459747205</v>
      </c>
      <c r="C152" s="48" t="s">
        <v>114</v>
      </c>
      <c r="D152" s="49" t="n">
        <v>0.00509398747838143</v>
      </c>
      <c r="E152" s="130" t="n">
        <f aca="false">F152+4.23%</f>
        <v>0.0500600691272888</v>
      </c>
      <c r="F152" s="52" t="n">
        <v>0.0077600691272888</v>
      </c>
      <c r="G152" s="52" t="n">
        <v>0.125</v>
      </c>
      <c r="H152" s="80" t="s">
        <v>172</v>
      </c>
      <c r="I152" s="131" t="n">
        <f aca="false">B152/$B$167</f>
        <v>0.0258536861510066</v>
      </c>
      <c r="J152" s="131" t="n">
        <f aca="false">I152*D152</f>
        <v>0.000131698353523231</v>
      </c>
      <c r="K152" s="131" t="n">
        <f aca="false">I152*E152</f>
        <v>0.00129423731591462</v>
      </c>
      <c r="L152" s="131" t="n">
        <f aca="false">I152*F152</f>
        <v>0.00020062639172704</v>
      </c>
      <c r="M152" s="131" t="n">
        <f aca="false">I152*G152</f>
        <v>0.00323171076887583</v>
      </c>
    </row>
    <row r="153" s="2" customFormat="true" ht="15.75" hidden="false" customHeight="false" outlineLevel="0" collapsed="false">
      <c r="A153" s="129" t="s">
        <v>327</v>
      </c>
      <c r="B153" s="127" t="n">
        <v>7431.25741092713</v>
      </c>
      <c r="C153" s="48" t="s">
        <v>114</v>
      </c>
      <c r="D153" s="49" t="n">
        <v>0.00509398747838143</v>
      </c>
      <c r="E153" s="130" t="n">
        <f aca="false">F153+4.23%</f>
        <v>0.0500600691272888</v>
      </c>
      <c r="F153" s="52" t="n">
        <v>0.0077600691272888</v>
      </c>
      <c r="G153" s="52" t="n">
        <v>0</v>
      </c>
      <c r="H153" s="80" t="s">
        <v>172</v>
      </c>
      <c r="I153" s="131" t="n">
        <f aca="false">B153/$B$167</f>
        <v>0.000315395295149439</v>
      </c>
      <c r="J153" s="131" t="n">
        <f aca="false">I153*D153</f>
        <v>1.60661968423165E-006</v>
      </c>
      <c r="K153" s="131" t="n">
        <f aca="false">I153*E153</f>
        <v>1.57887102776026E-005</v>
      </c>
      <c r="L153" s="131" t="n">
        <f aca="false">I153*F153</f>
        <v>2.4474892927813E-006</v>
      </c>
      <c r="M153" s="131" t="n">
        <f aca="false">I153*G153</f>
        <v>0</v>
      </c>
    </row>
    <row r="154" s="2" customFormat="true" ht="15.75" hidden="false" customHeight="false" outlineLevel="0" collapsed="false">
      <c r="A154" s="129" t="s">
        <v>328</v>
      </c>
      <c r="B154" s="127" t="n">
        <v>2380825.07724359</v>
      </c>
      <c r="C154" s="48" t="s">
        <v>123</v>
      </c>
      <c r="D154" s="49" t="n">
        <v>0.0161809014019175</v>
      </c>
      <c r="E154" s="130" t="n">
        <f aca="false">F154+4.23%</f>
        <v>0.0669496313455056</v>
      </c>
      <c r="F154" s="52" t="n">
        <v>0.0246496313455056</v>
      </c>
      <c r="G154" s="52" t="n">
        <v>0.2781</v>
      </c>
      <c r="H154" s="80" t="s">
        <v>172</v>
      </c>
      <c r="I154" s="131" t="n">
        <f aca="false">B154/$B$167</f>
        <v>0.101046294915351</v>
      </c>
      <c r="J154" s="131" t="n">
        <f aca="false">I154*D154</f>
        <v>0.00163502013505436</v>
      </c>
      <c r="K154" s="131" t="n">
        <f aca="false">I154*E154</f>
        <v>0.00676501219341197</v>
      </c>
      <c r="L154" s="131" t="n">
        <f aca="false">I154*F154</f>
        <v>0.00249075391849263</v>
      </c>
      <c r="M154" s="131" t="n">
        <f aca="false">I154*G154</f>
        <v>0.028100974615959</v>
      </c>
    </row>
    <row r="155" s="2" customFormat="true" ht="15.75" hidden="false" customHeight="false" outlineLevel="0" collapsed="false">
      <c r="A155" s="129" t="s">
        <v>329</v>
      </c>
      <c r="B155" s="127" t="n">
        <v>4890</v>
      </c>
      <c r="C155" s="48" t="s">
        <v>114</v>
      </c>
      <c r="D155" s="49" t="n">
        <v>0.00509398747838143</v>
      </c>
      <c r="E155" s="130" t="n">
        <f aca="false">F155+4.23%</f>
        <v>0.0500600691272888</v>
      </c>
      <c r="F155" s="52" t="n">
        <v>0.0077600691272888</v>
      </c>
      <c r="G155" s="52" t="n">
        <v>0</v>
      </c>
      <c r="H155" s="80" t="s">
        <v>172</v>
      </c>
      <c r="I155" s="131" t="n">
        <f aca="false">B155/$B$167</f>
        <v>0.000207539977152849</v>
      </c>
      <c r="J155" s="131" t="n">
        <f aca="false">I155*D155</f>
        <v>1.05720604488018E-006</v>
      </c>
      <c r="K155" s="131" t="n">
        <f aca="false">I155*E155</f>
        <v>1.03894656029476E-005</v>
      </c>
      <c r="L155" s="131" t="n">
        <f aca="false">I155*F155</f>
        <v>1.61052456938204E-006</v>
      </c>
      <c r="M155" s="131" t="n">
        <f aca="false">I155*G155</f>
        <v>0</v>
      </c>
    </row>
    <row r="156" s="2" customFormat="true" ht="15.75" hidden="false" customHeight="false" outlineLevel="0" collapsed="false">
      <c r="A156" s="129" t="s">
        <v>330</v>
      </c>
      <c r="B156" s="127" t="n">
        <v>8239.379403</v>
      </c>
      <c r="C156" s="48" t="s">
        <v>115</v>
      </c>
      <c r="D156" s="49" t="n">
        <v>0</v>
      </c>
      <c r="E156" s="130" t="n">
        <f aca="false">F156+4.23%</f>
        <v>0.0423</v>
      </c>
      <c r="F156" s="52" t="n">
        <v>0</v>
      </c>
      <c r="G156" s="52" t="n">
        <v>0.125</v>
      </c>
      <c r="H156" s="80" t="s">
        <v>172</v>
      </c>
      <c r="I156" s="131" t="n">
        <f aca="false">B156/$B$167</f>
        <v>0.000349693376902305</v>
      </c>
      <c r="J156" s="131" t="n">
        <f aca="false">I156*D156</f>
        <v>0</v>
      </c>
      <c r="K156" s="131" t="n">
        <f aca="false">I156*E156</f>
        <v>1.47920298429675E-005</v>
      </c>
      <c r="L156" s="131" t="n">
        <f aca="false">I156*F156</f>
        <v>0</v>
      </c>
      <c r="M156" s="131" t="n">
        <f aca="false">I156*G156</f>
        <v>4.37116721127882E-005</v>
      </c>
    </row>
    <row r="157" s="2" customFormat="true" ht="15.75" hidden="false" customHeight="false" outlineLevel="0" collapsed="false">
      <c r="A157" s="129" t="s">
        <v>331</v>
      </c>
      <c r="B157" s="127" t="n">
        <v>93279.8518634062</v>
      </c>
      <c r="C157" s="48" t="s">
        <v>115</v>
      </c>
      <c r="D157" s="49" t="n">
        <v>0</v>
      </c>
      <c r="E157" s="130" t="n">
        <f aca="false">F157+4.23%</f>
        <v>0.0423</v>
      </c>
      <c r="F157" s="52" t="n">
        <v>0</v>
      </c>
      <c r="G157" s="52" t="n">
        <v>0.2494</v>
      </c>
      <c r="H157" s="80" t="s">
        <v>172</v>
      </c>
      <c r="I157" s="131" t="n">
        <f aca="false">B157/$B$167</f>
        <v>0.00395895671258741</v>
      </c>
      <c r="J157" s="131" t="n">
        <f aca="false">I157*D157</f>
        <v>0</v>
      </c>
      <c r="K157" s="131" t="n">
        <f aca="false">I157*E157</f>
        <v>0.000167463868942448</v>
      </c>
      <c r="L157" s="131" t="n">
        <f aca="false">I157*F157</f>
        <v>0</v>
      </c>
      <c r="M157" s="131" t="n">
        <f aca="false">I157*G157</f>
        <v>0.000987363804119301</v>
      </c>
    </row>
    <row r="158" s="2" customFormat="true" ht="15.75" hidden="false" customHeight="false" outlineLevel="0" collapsed="false">
      <c r="A158" s="129" t="s">
        <v>332</v>
      </c>
      <c r="B158" s="127" t="n">
        <v>24971.5745024475</v>
      </c>
      <c r="C158" s="48" t="s">
        <v>110</v>
      </c>
      <c r="D158" s="49" t="n">
        <v>0.00719151173418554</v>
      </c>
      <c r="E158" s="130" t="n">
        <f aca="false">F158+4.23%</f>
        <v>0.0532553917091136</v>
      </c>
      <c r="F158" s="52" t="n">
        <v>0.0109553917091136</v>
      </c>
      <c r="G158" s="52" t="n">
        <v>0.35</v>
      </c>
      <c r="H158" s="80" t="s">
        <v>172</v>
      </c>
      <c r="I158" s="131" t="n">
        <f aca="false">B158/$B$167</f>
        <v>0.00105983640116741</v>
      </c>
      <c r="J158" s="131" t="n">
        <f aca="false">I158*D158</f>
        <v>7.62182591531237E-006</v>
      </c>
      <c r="K158" s="131" t="n">
        <f aca="false">I158*E158</f>
        <v>5.64420026917474E-005</v>
      </c>
      <c r="L158" s="131" t="n">
        <f aca="false">I158*F158</f>
        <v>1.16109229223662E-005</v>
      </c>
      <c r="M158" s="131" t="n">
        <f aca="false">I158*G158</f>
        <v>0.000370942740408592</v>
      </c>
    </row>
    <row r="159" s="2" customFormat="true" ht="15.75" hidden="false" customHeight="false" outlineLevel="0" collapsed="false">
      <c r="A159" s="129" t="s">
        <v>333</v>
      </c>
      <c r="B159" s="127" t="n">
        <v>1214927.69857266</v>
      </c>
      <c r="C159" s="48" t="s">
        <v>115</v>
      </c>
      <c r="D159" s="49" t="n">
        <v>0</v>
      </c>
      <c r="E159" s="130" t="n">
        <f aca="false">F159+4.23%</f>
        <v>0.0423</v>
      </c>
      <c r="F159" s="52" t="n">
        <v>0</v>
      </c>
      <c r="G159" s="52" t="n">
        <v>0.258</v>
      </c>
      <c r="H159" s="80" t="s">
        <v>172</v>
      </c>
      <c r="I159" s="131" t="n">
        <f aca="false">B159/$B$167</f>
        <v>0.0515636128433808</v>
      </c>
      <c r="J159" s="131" t="n">
        <f aca="false">I159*D159</f>
        <v>0</v>
      </c>
      <c r="K159" s="131" t="n">
        <f aca="false">I159*E159</f>
        <v>0.00218114082327501</v>
      </c>
      <c r="L159" s="131" t="n">
        <f aca="false">I159*F159</f>
        <v>0</v>
      </c>
      <c r="M159" s="131" t="n">
        <f aca="false">I159*G159</f>
        <v>0.0133034121135923</v>
      </c>
    </row>
    <row r="160" s="2" customFormat="true" ht="15.75" hidden="false" customHeight="false" outlineLevel="0" collapsed="false">
      <c r="A160" s="129" t="s">
        <v>334</v>
      </c>
      <c r="B160" s="127" t="n">
        <v>483592.648313301</v>
      </c>
      <c r="C160" s="48" t="s">
        <v>115</v>
      </c>
      <c r="D160" s="49" t="n">
        <v>0</v>
      </c>
      <c r="E160" s="130" t="n">
        <f aca="false">F160+4.23%</f>
        <v>0.0423</v>
      </c>
      <c r="F160" s="52" t="n">
        <v>0</v>
      </c>
      <c r="G160" s="52" t="n">
        <v>0.22</v>
      </c>
      <c r="H160" s="80" t="s">
        <v>172</v>
      </c>
      <c r="I160" s="131" t="n">
        <f aca="false">B160/$B$167</f>
        <v>0.0205245004462634</v>
      </c>
      <c r="J160" s="131" t="n">
        <f aca="false">I160*D160</f>
        <v>0</v>
      </c>
      <c r="K160" s="131" t="n">
        <f aca="false">I160*E160</f>
        <v>0.000868186368876943</v>
      </c>
      <c r="L160" s="131" t="n">
        <f aca="false">I160*F160</f>
        <v>0</v>
      </c>
      <c r="M160" s="131" t="n">
        <f aca="false">I160*G160</f>
        <v>0.00451539009817796</v>
      </c>
    </row>
    <row r="161" s="2" customFormat="true" ht="15.75" hidden="false" customHeight="false" outlineLevel="0" collapsed="false">
      <c r="A161" s="129" t="s">
        <v>335</v>
      </c>
      <c r="B161" s="127" t="n">
        <v>313271.185085102</v>
      </c>
      <c r="C161" s="48" t="s">
        <v>111</v>
      </c>
      <c r="D161" s="49" t="n">
        <v>0.0101879749567629</v>
      </c>
      <c r="E161" s="130" t="n">
        <f aca="false">F161+4.23%</f>
        <v>0.0578201382545776</v>
      </c>
      <c r="F161" s="52" t="n">
        <v>0.0155201382545776</v>
      </c>
      <c r="G161" s="52" t="n">
        <v>0.315</v>
      </c>
      <c r="H161" s="80" t="s">
        <v>172</v>
      </c>
      <c r="I161" s="131" t="n">
        <f aca="false">B161/$B$167</f>
        <v>0.0132957657658912</v>
      </c>
      <c r="J161" s="131" t="n">
        <f aca="false">I161*D161</f>
        <v>0.000135456928653884</v>
      </c>
      <c r="K161" s="131" t="n">
        <f aca="false">I161*E161</f>
        <v>0.000768763014784309</v>
      </c>
      <c r="L161" s="131" t="n">
        <f aca="false">I161*F161</f>
        <v>0.000206352122887111</v>
      </c>
      <c r="M161" s="131" t="n">
        <f aca="false">I161*G161</f>
        <v>0.00418816621625573</v>
      </c>
    </row>
    <row r="162" s="2" customFormat="true" ht="15.75" hidden="false" customHeight="false" outlineLevel="0" collapsed="false">
      <c r="A162" s="129" t="s">
        <v>336</v>
      </c>
      <c r="B162" s="127" t="n">
        <v>1725671.65274219</v>
      </c>
      <c r="C162" s="48" t="s">
        <v>111</v>
      </c>
      <c r="D162" s="49" t="n">
        <v>0.0101879749567629</v>
      </c>
      <c r="E162" s="130" t="n">
        <f aca="false">F162+4.23%</f>
        <v>0.0578201382545776</v>
      </c>
      <c r="F162" s="52" t="n">
        <v>0.0155201382545776</v>
      </c>
      <c r="G162" s="52" t="n">
        <v>0.25</v>
      </c>
      <c r="H162" s="80" t="s">
        <v>172</v>
      </c>
      <c r="I162" s="131" t="n">
        <f aca="false">B162/$B$167</f>
        <v>0.0732404612236058</v>
      </c>
      <c r="J162" s="131" t="n">
        <f aca="false">I162*D162</f>
        <v>0.000746171984767857</v>
      </c>
      <c r="K162" s="131" t="n">
        <f aca="false">I162*E162</f>
        <v>0.00423477359377792</v>
      </c>
      <c r="L162" s="131" t="n">
        <f aca="false">I162*F162</f>
        <v>0.00113670208401939</v>
      </c>
      <c r="M162" s="131" t="n">
        <f aca="false">I162*G162</f>
        <v>0.0183101153059015</v>
      </c>
    </row>
    <row r="163" s="2" customFormat="true" ht="15.75" hidden="false" customHeight="false" outlineLevel="0" collapsed="false">
      <c r="A163" s="129" t="s">
        <v>337</v>
      </c>
      <c r="B163" s="127" t="n">
        <v>603715.224265798</v>
      </c>
      <c r="C163" s="48" t="s">
        <v>115</v>
      </c>
      <c r="D163" s="49" t="n">
        <v>0</v>
      </c>
      <c r="E163" s="130" t="n">
        <f aca="false">F163+4.23%</f>
        <v>0.0423</v>
      </c>
      <c r="F163" s="52" t="n">
        <v>0</v>
      </c>
      <c r="G163" s="52" t="n">
        <v>0.206</v>
      </c>
      <c r="H163" s="80" t="s">
        <v>172</v>
      </c>
      <c r="I163" s="131" t="n">
        <f aca="false">B163/$B$167</f>
        <v>0.0256227083539776</v>
      </c>
      <c r="J163" s="131" t="n">
        <f aca="false">I163*D163</f>
        <v>0</v>
      </c>
      <c r="K163" s="131" t="n">
        <f aca="false">I163*E163</f>
        <v>0.00108384056337325</v>
      </c>
      <c r="L163" s="131" t="n">
        <f aca="false">I163*F163</f>
        <v>0</v>
      </c>
      <c r="M163" s="131" t="n">
        <f aca="false">I163*G163</f>
        <v>0.0052782779209194</v>
      </c>
    </row>
    <row r="164" s="2" customFormat="true" ht="15.75" hidden="false" customHeight="false" outlineLevel="0" collapsed="false">
      <c r="A164" s="129" t="s">
        <v>338</v>
      </c>
      <c r="B164" s="127" t="n">
        <v>936564.198048516</v>
      </c>
      <c r="C164" s="48" t="s">
        <v>115</v>
      </c>
      <c r="D164" s="49" t="n">
        <v>0</v>
      </c>
      <c r="E164" s="130" t="n">
        <f aca="false">F164+4.23%</f>
        <v>0.0423</v>
      </c>
      <c r="F164" s="52" t="n">
        <v>0</v>
      </c>
      <c r="G164" s="52" t="n">
        <v>0.1961</v>
      </c>
      <c r="H164" s="80" t="s">
        <v>172</v>
      </c>
      <c r="I164" s="131" t="n">
        <f aca="false">B164/$B$167</f>
        <v>0.0397493890112812</v>
      </c>
      <c r="J164" s="131" t="n">
        <f aca="false">I164*D164</f>
        <v>0</v>
      </c>
      <c r="K164" s="131" t="n">
        <f aca="false">I164*E164</f>
        <v>0.0016813991551772</v>
      </c>
      <c r="L164" s="131" t="n">
        <f aca="false">I164*F164</f>
        <v>0</v>
      </c>
      <c r="M164" s="131" t="n">
        <f aca="false">I164*G164</f>
        <v>0.00779485518511225</v>
      </c>
    </row>
    <row r="165" s="2" customFormat="true" ht="15.75" hidden="false" customHeight="false" outlineLevel="0" collapsed="false">
      <c r="A165" s="129" t="s">
        <v>62</v>
      </c>
      <c r="B165" s="127" t="n">
        <v>1359123.76877412</v>
      </c>
      <c r="C165" s="48" t="s">
        <v>116</v>
      </c>
      <c r="D165" s="49" t="n">
        <v>0.0382548471415703</v>
      </c>
      <c r="E165" s="130" t="n">
        <f aca="false">F165+4.23%</f>
        <v>0.100576597563757</v>
      </c>
      <c r="F165" s="52" t="n">
        <v>0.058276597563757</v>
      </c>
      <c r="G165" s="52" t="n">
        <v>0.25</v>
      </c>
      <c r="H165" s="80" t="s">
        <v>172</v>
      </c>
      <c r="I165" s="131" t="n">
        <f aca="false">B165/$B$167</f>
        <v>0.0576835410877863</v>
      </c>
      <c r="J165" s="131" t="n">
        <f aca="false">I165*D165</f>
        <v>0.00220667504689776</v>
      </c>
      <c r="K165" s="131" t="n">
        <f aca="false">I165*E165</f>
        <v>0.00580161429803873</v>
      </c>
      <c r="L165" s="131" t="n">
        <f aca="false">I165*F165</f>
        <v>0.00336160051002537</v>
      </c>
      <c r="M165" s="131" t="n">
        <f aca="false">I165*G165</f>
        <v>0.0144208852719466</v>
      </c>
    </row>
    <row r="166" s="2" customFormat="true" ht="15.75" hidden="false" customHeight="false" outlineLevel="0" collapsed="false">
      <c r="A166" s="129" t="s">
        <v>339</v>
      </c>
      <c r="B166" s="127" t="n">
        <v>3686033.04448213</v>
      </c>
      <c r="C166" s="48" t="s">
        <v>114</v>
      </c>
      <c r="D166" s="49" t="n">
        <v>0.00509398747838143</v>
      </c>
      <c r="E166" s="130" t="n">
        <f aca="false">F166+4.23%</f>
        <v>0.0500600691272888</v>
      </c>
      <c r="F166" s="52" t="n">
        <v>0.0077600691272888</v>
      </c>
      <c r="G166" s="52" t="n">
        <v>0.25</v>
      </c>
      <c r="H166" s="80" t="s">
        <v>172</v>
      </c>
      <c r="I166" s="131" t="n">
        <f aca="false">B166/$B$167</f>
        <v>0.156441557021772</v>
      </c>
      <c r="J166" s="131" t="n">
        <f aca="false">I166*D166</f>
        <v>0.000796911332567402</v>
      </c>
      <c r="K166" s="131" t="n">
        <f aca="false">I166*E166</f>
        <v>0.00783147515889061</v>
      </c>
      <c r="L166" s="131" t="n">
        <f aca="false">I166*F166</f>
        <v>0.00121399729686965</v>
      </c>
      <c r="M166" s="131" t="n">
        <f aca="false">I166*G166</f>
        <v>0.0391103892554431</v>
      </c>
    </row>
    <row r="167" s="1" customFormat="true" ht="15.75" hidden="false" customHeight="false" outlineLevel="0" collapsed="false">
      <c r="A167" s="132" t="s">
        <v>172</v>
      </c>
      <c r="B167" s="134" t="n">
        <f aca="false">SUM(B141:B166)</f>
        <v>23561725.6351465</v>
      </c>
      <c r="C167" s="134"/>
      <c r="D167" s="138" t="n">
        <f aca="false">SUM(J141:J166)</f>
        <v>0.00680426445919</v>
      </c>
      <c r="E167" s="130" t="n">
        <f aca="false">F167+4.23%</f>
        <v>0.0526654676788577</v>
      </c>
      <c r="F167" s="138" t="n">
        <f aca="false">SUM(L141:L166)</f>
        <v>0.0103654676788577</v>
      </c>
      <c r="G167" s="137" t="n">
        <f aca="false">SUM(M141:M166)</f>
        <v>0.255572311565839</v>
      </c>
      <c r="H167" s="132"/>
      <c r="I167" s="136" t="n">
        <f aca="false">SUM(I141:I166)</f>
        <v>1</v>
      </c>
    </row>
    <row r="170" customFormat="false" ht="12.75" hidden="false" customHeight="false" outlineLevel="0" collapsed="false">
      <c r="A170" s="139" t="s">
        <v>76</v>
      </c>
      <c r="B170" s="53" t="s">
        <v>340</v>
      </c>
      <c r="C170" s="53" t="s">
        <v>341</v>
      </c>
      <c r="D170" s="53" t="s">
        <v>342</v>
      </c>
      <c r="E170" s="53" t="s">
        <v>343</v>
      </c>
      <c r="F170" s="140" t="s">
        <v>344</v>
      </c>
      <c r="G170" s="140" t="s">
        <v>345</v>
      </c>
      <c r="H170" s="98" t="s">
        <v>346</v>
      </c>
      <c r="I170" s="98" t="s">
        <v>181</v>
      </c>
      <c r="J170" s="98" t="s">
        <v>179</v>
      </c>
      <c r="K170" s="98" t="s">
        <v>347</v>
      </c>
    </row>
    <row r="171" customFormat="false" ht="12.75" hidden="false" customHeight="false" outlineLevel="0" collapsed="false">
      <c r="A171" s="80" t="str">
        <f aca="false">A32</f>
        <v>Africa</v>
      </c>
      <c r="B171" s="141" t="n">
        <f aca="false">E32</f>
        <v>0.119493080505368</v>
      </c>
      <c r="C171" s="141" t="n">
        <f aca="false">F32</f>
        <v>0.0771930805053684</v>
      </c>
      <c r="D171" s="141" t="n">
        <f aca="false">D32</f>
        <v>0.0506723044681715</v>
      </c>
      <c r="E171" s="141" t="n">
        <f aca="false">G32</f>
        <v>0.273901739052763</v>
      </c>
      <c r="F171" s="140" t="n">
        <f aca="false">B32</f>
        <v>2340875.22920722</v>
      </c>
      <c r="G171" s="142" t="n">
        <f aca="false">F171/$F$180</f>
        <v>0.0217573097093723</v>
      </c>
      <c r="H171" s="91" t="n">
        <f aca="false">G171*B171</f>
        <v>0.00259984796068226</v>
      </c>
      <c r="I171" s="91" t="n">
        <f aca="false">G171*C171</f>
        <v>0.00167951375997581</v>
      </c>
      <c r="J171" s="91" t="n">
        <f aca="false">G171*D171</f>
        <v>0.00110249302200162</v>
      </c>
      <c r="K171" s="91" t="n">
        <f aca="false">G171*E171</f>
        <v>0.00595936496650664</v>
      </c>
    </row>
    <row r="172" customFormat="false" ht="12.75" hidden="false" customHeight="false" outlineLevel="0" collapsed="false">
      <c r="A172" s="80" t="str">
        <f aca="false">A57</f>
        <v>Asia</v>
      </c>
      <c r="B172" s="141" t="n">
        <f aca="false">E57</f>
        <v>0.0572232356484523</v>
      </c>
      <c r="C172" s="141" t="n">
        <f aca="false">F57</f>
        <v>0.0149232356484523</v>
      </c>
      <c r="D172" s="141" t="n">
        <f aca="false">D57</f>
        <v>0.00979614669447029</v>
      </c>
      <c r="E172" s="141" t="n">
        <f aca="false">G57</f>
        <v>0.256545347358525</v>
      </c>
      <c r="F172" s="140" t="n">
        <f aca="false">B57</f>
        <v>34731689.3748114</v>
      </c>
      <c r="G172" s="142" t="n">
        <f aca="false">F172/$F$180</f>
        <v>0.322814352951826</v>
      </c>
      <c r="H172" s="91" t="n">
        <f aca="false">G172*B172</f>
        <v>0.018472481789665</v>
      </c>
      <c r="I172" s="91" t="n">
        <f aca="false">G172*C172</f>
        <v>0.00481743465980275</v>
      </c>
      <c r="J172" s="91" t="n">
        <f aca="false">G172*D172</f>
        <v>0.0031623367565966</v>
      </c>
      <c r="K172" s="91" t="n">
        <f aca="false">G172*E172</f>
        <v>0.0828165203103438</v>
      </c>
    </row>
    <row r="173" customFormat="false" ht="12.75" hidden="false" customHeight="false" outlineLevel="0" collapsed="false">
      <c r="A173" s="80" t="str">
        <f aca="false">A61</f>
        <v>Australia &amp; New Zealand</v>
      </c>
      <c r="B173" s="141" t="n">
        <f aca="false">E61</f>
        <v>0.0423408217320042</v>
      </c>
      <c r="C173" s="141" t="n">
        <f aca="false">F61</f>
        <v>4.08217320042078E-005</v>
      </c>
      <c r="D173" s="141" t="n">
        <f aca="false">D61</f>
        <v>2.67968478455975E-005</v>
      </c>
      <c r="E173" s="141" t="n">
        <f aca="false">G61</f>
        <v>0.297352212273797</v>
      </c>
      <c r="F173" s="140" t="n">
        <f aca="false">B61</f>
        <v>2018608.83675045</v>
      </c>
      <c r="G173" s="142" t="n">
        <f aca="false">F173/$F$180</f>
        <v>0.0187619985445057</v>
      </c>
      <c r="H173" s="91" t="n">
        <f aca="false">G173*B173</f>
        <v>0.000794398435709038</v>
      </c>
      <c r="I173" s="91" t="n">
        <f aca="false">G173*C173</f>
        <v>7.65897276447148E-007</v>
      </c>
      <c r="J173" s="91" t="n">
        <f aca="false">G173*D173</f>
        <v>5.02762420276442E-007</v>
      </c>
      <c r="K173" s="91" t="n">
        <f aca="false">G173*E173</f>
        <v>0.00557892177388653</v>
      </c>
    </row>
    <row r="174" customFormat="false" ht="12.75" hidden="false" customHeight="false" outlineLevel="0" collapsed="false">
      <c r="A174" s="80" t="str">
        <f aca="false">A76</f>
        <v>Caribbean</v>
      </c>
      <c r="B174" s="141" t="n">
        <f aca="false">E76</f>
        <v>0.117176823349771</v>
      </c>
      <c r="C174" s="141" t="n">
        <f aca="false">F76</f>
        <v>0.074876823349771</v>
      </c>
      <c r="D174" s="141" t="n">
        <f aca="false">D76</f>
        <v>0.0491518302618487</v>
      </c>
      <c r="E174" s="141" t="n">
        <f aca="false">G76</f>
        <v>0.265265475433748</v>
      </c>
      <c r="F174" s="140" t="n">
        <f aca="false">B76</f>
        <v>347814.13246985</v>
      </c>
      <c r="G174" s="142" t="n">
        <f aca="false">F174/$F$180</f>
        <v>0.0032327651243531</v>
      </c>
      <c r="H174" s="91" t="n">
        <f aca="false">G174*B174</f>
        <v>0.000378805147907624</v>
      </c>
      <c r="I174" s="91" t="n">
        <f aca="false">G174*C174</f>
        <v>0.000242059183147488</v>
      </c>
      <c r="J174" s="91" t="n">
        <f aca="false">G174*D174</f>
        <v>0.000158896322668628</v>
      </c>
      <c r="K174" s="91" t="n">
        <f aca="false">G174*E174</f>
        <v>0.000857540977677167</v>
      </c>
    </row>
    <row r="175" customFormat="false" ht="12.75" hidden="false" customHeight="false" outlineLevel="0" collapsed="false">
      <c r="A175" s="80" t="str">
        <f aca="false">A96</f>
        <v>Central and South America</v>
      </c>
      <c r="B175" s="141" t="n">
        <f aca="false">E96</f>
        <v>0.0846284962061898</v>
      </c>
      <c r="C175" s="141" t="n">
        <f aca="false">F96</f>
        <v>0.0423284962061898</v>
      </c>
      <c r="D175" s="141" t="n">
        <f aca="false">D96</f>
        <v>0.0277859418667808</v>
      </c>
      <c r="E175" s="141" t="n">
        <f aca="false">G96</f>
        <v>0.31546691365657</v>
      </c>
      <c r="F175" s="140" t="n">
        <f aca="false">B96</f>
        <v>6538486.8558457</v>
      </c>
      <c r="G175" s="142" t="n">
        <f aca="false">F175/$F$180</f>
        <v>0.0607720914717329</v>
      </c>
      <c r="H175" s="91" t="n">
        <f aca="false">G175*B175</f>
        <v>0.00514305071255777</v>
      </c>
      <c r="I175" s="91" t="n">
        <f aca="false">G175*C175</f>
        <v>0.00257239124330347</v>
      </c>
      <c r="J175" s="91" t="n">
        <f aca="false">G175*D175</f>
        <v>0.00168860980075625</v>
      </c>
      <c r="K175" s="91" t="n">
        <f aca="false">G175*E175</f>
        <v>0.0191715841330423</v>
      </c>
    </row>
    <row r="176" customFormat="false" ht="12.75" hidden="false" customHeight="false" outlineLevel="0" collapsed="false">
      <c r="A176" s="80" t="str">
        <f aca="false">A123</f>
        <v>Eastern Europe</v>
      </c>
      <c r="B176" s="141" t="n">
        <f aca="false">E123</f>
        <v>0.0757770910184508</v>
      </c>
      <c r="C176" s="141" t="n">
        <f aca="false">F123</f>
        <v>0.0334770910184507</v>
      </c>
      <c r="D176" s="141" t="n">
        <f aca="false">D123</f>
        <v>0.0219755622873173</v>
      </c>
      <c r="E176" s="141" t="n">
        <f aca="false">G123</f>
        <v>0.176374800274269</v>
      </c>
      <c r="F176" s="140" t="n">
        <f aca="false">B123</f>
        <v>3491477.19313993</v>
      </c>
      <c r="G176" s="142" t="n">
        <f aca="false">F176/$F$180</f>
        <v>0.032451601728505</v>
      </c>
      <c r="H176" s="91" t="n">
        <f aca="false">G176*B176</f>
        <v>0.00245908797787544</v>
      </c>
      <c r="I176" s="91" t="n">
        <f aca="false">G176*C176</f>
        <v>0.00108638522475967</v>
      </c>
      <c r="J176" s="91" t="n">
        <f aca="false">G176*D176</f>
        <v>0.000713142195107976</v>
      </c>
      <c r="K176" s="91" t="n">
        <f aca="false">G176*E176</f>
        <v>0.0057236447734452</v>
      </c>
    </row>
    <row r="177" customFormat="false" ht="12.75" hidden="false" customHeight="false" outlineLevel="0" collapsed="false">
      <c r="A177" s="80" t="str">
        <f aca="false">A137</f>
        <v>Middle East</v>
      </c>
      <c r="B177" s="141" t="n">
        <f aca="false">E137</f>
        <v>0.0623668644036819</v>
      </c>
      <c r="C177" s="141" t="n">
        <f aca="false">F137</f>
        <v>0.0200668644036819</v>
      </c>
      <c r="D177" s="141" t="n">
        <f aca="false">D137</f>
        <v>0.0131726089453596</v>
      </c>
      <c r="E177" s="141" t="n">
        <f aca="false">G137</f>
        <v>0.161202255059785</v>
      </c>
      <c r="F177" s="140" t="n">
        <f aca="false">B137</f>
        <v>3565018.31247331</v>
      </c>
      <c r="G177" s="142" t="n">
        <f aca="false">F177/$F$180</f>
        <v>0.0331351310724641</v>
      </c>
      <c r="H177" s="91" t="n">
        <f aca="false">G177*B177</f>
        <v>0.0020665342265946</v>
      </c>
      <c r="I177" s="91" t="n">
        <f aca="false">G177*C177</f>
        <v>0.000664918182229364</v>
      </c>
      <c r="J177" s="91" t="n">
        <f aca="false">G177*D177</f>
        <v>0.000436476123970805</v>
      </c>
      <c r="K177" s="91" t="n">
        <f aca="false">G177*E177</f>
        <v>0.00534145785058277</v>
      </c>
    </row>
    <row r="178" customFormat="false" ht="12.75" hidden="false" customHeight="false" outlineLevel="0" collapsed="false">
      <c r="A178" s="80" t="str">
        <f aca="false">A140</f>
        <v>North America</v>
      </c>
      <c r="B178" s="141" t="n">
        <f aca="false">E140</f>
        <v>0.0444647487847941</v>
      </c>
      <c r="C178" s="141" t="n">
        <f aca="false">F140</f>
        <v>0.00216474878479404</v>
      </c>
      <c r="D178" s="141" t="n">
        <f aca="false">D140</f>
        <v>0.00216474878479404</v>
      </c>
      <c r="E178" s="141" t="n">
        <f aca="false">G140</f>
        <v>0.250825223285197</v>
      </c>
      <c r="F178" s="140" t="n">
        <f aca="false">B140</f>
        <v>30994592.957365</v>
      </c>
      <c r="G178" s="142" t="n">
        <f aca="false">F178/$F$180</f>
        <v>0.288079838632708</v>
      </c>
      <c r="H178" s="91" t="n">
        <f aca="false">G178*B178</f>
        <v>0.0128093976547674</v>
      </c>
      <c r="I178" s="91" t="n">
        <f aca="false">G178*C178</f>
        <v>0.000623620480603818</v>
      </c>
      <c r="J178" s="91" t="n">
        <f aca="false">G178*D178</f>
        <v>0.000623620480603818</v>
      </c>
      <c r="K178" s="91" t="n">
        <f aca="false">G178*E178</f>
        <v>0.0722576898490126</v>
      </c>
    </row>
    <row r="179" customFormat="false" ht="12.75" hidden="false" customHeight="false" outlineLevel="0" collapsed="false">
      <c r="A179" s="80" t="str">
        <f aca="false">A167</f>
        <v>Western Europe</v>
      </c>
      <c r="B179" s="141" t="n">
        <f aca="false">E167</f>
        <v>0.0526654676788577</v>
      </c>
      <c r="C179" s="141" t="n">
        <f aca="false">F167</f>
        <v>0.0103654676788577</v>
      </c>
      <c r="D179" s="141" t="n">
        <f aca="false">D167</f>
        <v>0.00680426445919</v>
      </c>
      <c r="E179" s="141" t="n">
        <f aca="false">G167</f>
        <v>0.255572311565839</v>
      </c>
      <c r="F179" s="140" t="n">
        <f aca="false">B167</f>
        <v>23561725.6351465</v>
      </c>
      <c r="G179" s="142" t="n">
        <f aca="false">F179/$F$180</f>
        <v>0.218994910764532</v>
      </c>
      <c r="H179" s="91" t="n">
        <f aca="false">G179*B179</f>
        <v>0.0115334693947038</v>
      </c>
      <c r="I179" s="91" t="n">
        <f aca="false">G179*C179</f>
        <v>0.0022699846693641</v>
      </c>
      <c r="J179" s="91" t="n">
        <f aca="false">G179*D179</f>
        <v>0.00149009928805859</v>
      </c>
      <c r="K179" s="91" t="n">
        <f aca="false">G179*E179</f>
        <v>0.0559690355652463</v>
      </c>
    </row>
    <row r="180" customFormat="false" ht="12.75" hidden="false" customHeight="false" outlineLevel="0" collapsed="false">
      <c r="A180" s="80" t="s">
        <v>348</v>
      </c>
      <c r="B180" s="141" t="n">
        <f aca="false">SUM(H171:H179)</f>
        <v>0.0562570733004629</v>
      </c>
      <c r="C180" s="141" t="n">
        <f aca="false">SUM(I171:I179)</f>
        <v>0.0139570733004629</v>
      </c>
      <c r="D180" s="141" t="n">
        <f aca="false">SUM(J171:J179)</f>
        <v>0.00937617675218457</v>
      </c>
      <c r="E180" s="141" t="n">
        <f aca="false">SUM(K171:K179)</f>
        <v>0.253675760199743</v>
      </c>
      <c r="F180" s="98" t="n">
        <f aca="false">SUM(F171:F179)</f>
        <v>107590288.527209</v>
      </c>
      <c r="G180" s="143" t="n">
        <f aca="false">SUM(G171:G179)</f>
        <v>1</v>
      </c>
      <c r="H180" s="91" t="n">
        <f aca="false">G180*B180</f>
        <v>0.0562570733004629</v>
      </c>
      <c r="I180" s="91" t="n">
        <f aca="false">G180*C180</f>
        <v>0.0139570733004629</v>
      </c>
      <c r="J180" s="91" t="n">
        <f aca="false">G180*D180</f>
        <v>0.00937617675218457</v>
      </c>
      <c r="K180" s="91" t="n">
        <f aca="false">G180*E180</f>
        <v>0.253675760199743</v>
      </c>
    </row>
    <row r="181" customFormat="false" ht="12.75" hidden="false" customHeight="false" outlineLevel="0" collapsed="false">
      <c r="A181" s="29"/>
      <c r="B181" s="143"/>
      <c r="C181" s="143"/>
    </row>
    <row r="182" customFormat="false" ht="12.75" hidden="false" customHeight="false" outlineLevel="0" collapsed="false">
      <c r="A182" s="144" t="s">
        <v>349</v>
      </c>
      <c r="B182" s="144"/>
      <c r="C182" s="144"/>
    </row>
    <row r="183" customFormat="false" ht="12.75" hidden="false" customHeight="false" outlineLevel="0" collapsed="false">
      <c r="A183" s="53"/>
      <c r="B183" s="53" t="s">
        <v>130</v>
      </c>
      <c r="C183" s="53" t="s">
        <v>132</v>
      </c>
      <c r="D183" s="54" t="s">
        <v>350</v>
      </c>
    </row>
    <row r="184" customFormat="false" ht="12.75" hidden="false" customHeight="false" outlineLevel="0" collapsed="false">
      <c r="A184" s="80" t="s">
        <v>351</v>
      </c>
      <c r="B184" s="74" t="n">
        <f aca="false">(B171*F171+B177*F177)/(F171+F177)</f>
        <v>0.0850095590724931</v>
      </c>
      <c r="C184" s="74" t="n">
        <f aca="false">(D171*F171+D177*F177)/(F171+F177)</f>
        <v>0.0280360851886487</v>
      </c>
      <c r="D184" s="141" t="n">
        <f aca="false">(E171*F171+E177*F177)/(F171+F177)</f>
        <v>0.205872113830813</v>
      </c>
    </row>
    <row r="185" customFormat="false" ht="12.75" hidden="false" customHeight="false" outlineLevel="0" collapsed="false">
      <c r="A185" s="80" t="s">
        <v>352</v>
      </c>
      <c r="B185" s="74" t="n">
        <f aca="false">(B173*F173+E138*B138)/(F173+B138)</f>
        <v>0.0423193332612578</v>
      </c>
      <c r="C185" s="74" t="n">
        <f aca="false">(D173*F173+D138*B138)/(F173+B138)</f>
        <v>1.26910455497376E-005</v>
      </c>
      <c r="D185" s="141" t="n">
        <f aca="false">(E173*F173+G138*B138)/(F173+B138)</f>
        <v>0.278427046099213</v>
      </c>
    </row>
    <row r="186" customFormat="false" ht="12.75" hidden="false" customHeight="false" outlineLevel="0" collapsed="false">
      <c r="A186" s="80" t="s">
        <v>353</v>
      </c>
      <c r="B186" s="74" t="n">
        <f aca="false">B175*(F175/(F175+F174))+B174*F174/(F174+F175)</f>
        <v>0.0862724510940169</v>
      </c>
      <c r="C186" s="74" t="n">
        <f aca="false">(B186-'ERPs by country'!E3)/'ERPs by country'!E6</f>
        <v>0.0288650927707548</v>
      </c>
      <c r="D186" s="141" t="n">
        <f aca="false">(B96*G96+B76*G76)/(B76+B96)</f>
        <v>0.312931333275486</v>
      </c>
    </row>
    <row r="187" customFormat="false" ht="12.75" hidden="false" customHeight="false" outlineLevel="0" collapsed="false">
      <c r="A187" s="80" t="s">
        <v>220</v>
      </c>
      <c r="B187" s="141" t="n">
        <f aca="false">E40</f>
        <v>0.051429493090928</v>
      </c>
      <c r="C187" s="141" t="n">
        <f aca="false">D40</f>
        <v>0.00599292644515462</v>
      </c>
      <c r="D187" s="141" t="n">
        <f aca="false">G40</f>
        <v>0.2974</v>
      </c>
    </row>
    <row r="188" customFormat="false" ht="12.75" hidden="false" customHeight="false" outlineLevel="0" collapsed="false">
      <c r="A188" s="80" t="s">
        <v>354</v>
      </c>
      <c r="B188" s="141" t="n">
        <f aca="false">E139</f>
        <v>0.044633679169992</v>
      </c>
      <c r="C188" s="141" t="n">
        <f aca="false">F139</f>
        <v>0.00233367916999202</v>
      </c>
      <c r="D188" s="141" t="n">
        <f aca="false">G139</f>
        <v>0.25</v>
      </c>
    </row>
    <row r="189" customFormat="false" ht="12.75" hidden="false" customHeight="false" outlineLevel="0" collapsed="false">
      <c r="A189" s="80" t="s">
        <v>355</v>
      </c>
      <c r="B189" s="141" t="n">
        <f aca="false">E167</f>
        <v>0.0526654676788577</v>
      </c>
      <c r="C189" s="141" t="n">
        <f aca="false">D167</f>
        <v>0.00680426445919</v>
      </c>
      <c r="D189" s="141" t="n">
        <f aca="false">E179</f>
        <v>0.255572311565839</v>
      </c>
    </row>
    <row r="190" customFormat="false" ht="12.75" hidden="false" customHeight="false" outlineLevel="0" collapsed="false">
      <c r="A190" s="80" t="s">
        <v>356</v>
      </c>
      <c r="B190" s="74" t="n">
        <f aca="false">(B171*F171+B172*F172+B174*F174+B175*F175+B176*F176+B177*F177-B187*B40)/(F171+F172+F174+F175+F176+F177-B40)</f>
        <v>0.0668482933386218</v>
      </c>
      <c r="C190" s="74" t="n">
        <f aca="false">(D171*F171+D172*F172+D174*F174+D175*F175+D176*F176+D177*F177-D41*B41)/(F171+F172+F174+F175+F176+F177-B41)</f>
        <v>0.0157396994735328</v>
      </c>
      <c r="D190" s="141" t="n">
        <f aca="false">(E172*G172+E171*G171+E174*G174+E175*G175+E176*G176+E177*G177-B41/F180*D187)/(G171+G172+G174+G175+G176+G177-B41/F180)</f>
        <v>0.251101473320245</v>
      </c>
    </row>
    <row r="191" customFormat="false" ht="12.75" hidden="false" customHeight="false" outlineLevel="0" collapsed="false">
      <c r="A191" s="80" t="s">
        <v>357</v>
      </c>
      <c r="B191" s="74" t="n">
        <f aca="false">(B172*F172-B35*E35-B38*E38-B40*E40)/(F172-(B35+B38+B40))</f>
        <v>0.067040071568563</v>
      </c>
      <c r="C191" s="74" t="n">
        <f aca="false">(B191-'ERPs by country'!E3)/'ERPs by country'!E6</f>
        <v>0.0162402696055042</v>
      </c>
      <c r="D191" s="141" t="n">
        <f aca="false">(B57*G57-G36*B36-G39*B39-G40*B40)/(B57-B36-B39-B40)</f>
        <v>0.252672593099747</v>
      </c>
    </row>
    <row r="192" customFormat="false" ht="12.75" hidden="false" customHeight="false" outlineLevel="0" collapsed="false">
      <c r="A192" s="80" t="s">
        <v>218</v>
      </c>
      <c r="B192" s="74" t="n">
        <f aca="false">E38</f>
        <v>0.0707535868000589</v>
      </c>
      <c r="C192" s="74" t="n">
        <f aca="false">D38</f>
        <v>0.0186779540873986</v>
      </c>
      <c r="D192" s="141" t="n">
        <f aca="false">G38</f>
        <v>0.3</v>
      </c>
    </row>
    <row r="193" customFormat="false" ht="12.75" hidden="false" customHeight="false" outlineLevel="0" collapsed="false">
      <c r="A193" s="80" t="s">
        <v>215</v>
      </c>
      <c r="B193" s="141" t="n">
        <f aca="false">E35</f>
        <v>0.051429493090928</v>
      </c>
      <c r="C193" s="141" t="n">
        <f aca="false">D35</f>
        <v>0.00599292644515462</v>
      </c>
      <c r="D193" s="141" t="n">
        <f aca="false">G35</f>
        <v>0.25</v>
      </c>
    </row>
    <row r="194" customFormat="false" ht="12.75" hidden="false" customHeight="false" outlineLevel="0" collapsed="false">
      <c r="A194" s="80" t="s">
        <v>348</v>
      </c>
      <c r="B194" s="141" t="n">
        <f aca="false">B180</f>
        <v>0.0562570733004629</v>
      </c>
      <c r="C194" s="141" t="n">
        <f aca="false">D180</f>
        <v>0.00937617675218457</v>
      </c>
      <c r="D194" s="141" t="n">
        <f aca="false">E180</f>
        <v>0.253675760199743</v>
      </c>
    </row>
    <row r="196" customFormat="false" ht="12.75" hidden="false" customHeight="false" outlineLevel="0" collapsed="false">
      <c r="A196" s="144" t="s">
        <v>358</v>
      </c>
      <c r="B196" s="144"/>
      <c r="C196" s="144"/>
    </row>
    <row r="197" customFormat="false" ht="12.75" hidden="false" customHeight="false" outlineLevel="0" collapsed="false">
      <c r="A197" s="53"/>
      <c r="B197" s="53" t="s">
        <v>130</v>
      </c>
      <c r="C197" s="53" t="s">
        <v>132</v>
      </c>
      <c r="D197" s="54" t="s">
        <v>350</v>
      </c>
    </row>
    <row r="198" customFormat="false" ht="13.5" hidden="false" customHeight="false" outlineLevel="0" collapsed="false">
      <c r="A198" s="80" t="s">
        <v>359</v>
      </c>
      <c r="B198" s="74" t="n">
        <f aca="false">(B179*F179+B177*F177+B171*F171)/(F171+F177+F179)</f>
        <v>0.0591478631288238</v>
      </c>
      <c r="C198" s="74" t="n">
        <f aca="false">(D179*F179+D177*F177+D171*F171)/(F171+F177+F179)</f>
        <v>0.0110595411468579</v>
      </c>
      <c r="D198" s="145" t="n">
        <f aca="false">(E179*F179+E177*F177+E171*F171)/(F171+F177+F179)</f>
        <v>0.245611409225471</v>
      </c>
    </row>
  </sheetData>
  <mergeCells count="2">
    <mergeCell ref="A182:C182"/>
    <mergeCell ref="A196:C19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5234375" defaultRowHeight="12.75" zeroHeight="false" outlineLevelRow="0" outlineLevelCol="0"/>
  <cols>
    <col collapsed="false" customWidth="true" hidden="false" outlineLevel="0" max="1" min="1" style="0" width="23.33"/>
    <col collapsed="false" customWidth="true" hidden="false" outlineLevel="0" max="2" min="2" style="100" width="23.33"/>
    <col collapsed="false" customWidth="true" hidden="false" outlineLevel="0" max="4" min="3" style="98" width="16.33"/>
    <col collapsed="false" customWidth="true" hidden="false" outlineLevel="0" max="5" min="5" style="0" width="17.5"/>
    <col collapsed="false" customWidth="true" hidden="false" outlineLevel="0" max="6" min="6" style="0" width="17.33"/>
    <col collapsed="false" customWidth="true" hidden="false" outlineLevel="0" max="8" min="7" style="0" width="20.16"/>
    <col collapsed="false" customWidth="true" hidden="false" outlineLevel="0" max="9" min="9" style="0" width="20.83"/>
  </cols>
  <sheetData>
    <row r="1" s="7" customFormat="true" ht="15.75" hidden="false" customHeight="false" outlineLevel="0" collapsed="false">
      <c r="A1" s="126" t="s">
        <v>61</v>
      </c>
      <c r="B1" s="127" t="str">
        <f aca="false">'Country GDP'!B1</f>
        <v>GDP (in millions) in 2024</v>
      </c>
      <c r="C1" s="48" t="str">
        <f aca="false">'Sovereign Ratings (Moody''s,S&amp;P)'!D1</f>
        <v>Moody's rating</v>
      </c>
      <c r="D1" s="48" t="s">
        <v>360</v>
      </c>
      <c r="E1" s="126" t="s">
        <v>175</v>
      </c>
      <c r="F1" s="126" t="s">
        <v>176</v>
      </c>
      <c r="G1" s="128" t="s">
        <v>102</v>
      </c>
      <c r="H1" s="128" t="s">
        <v>177</v>
      </c>
      <c r="I1" s="126" t="s">
        <v>76</v>
      </c>
    </row>
    <row r="2" customFormat="false" ht="15.75" hidden="false" customHeight="false" outlineLevel="0" collapsed="false">
      <c r="A2" s="129" t="str">
        <f aca="false">'Sovereign Ratings (Moody''s,S&amp;P)'!A2</f>
        <v>Abu Dhabi</v>
      </c>
      <c r="B2" s="127" t="n">
        <f aca="false">VLOOKUP(A2,'Country GDP'!$A$2:$B$181,2,FALSE())</f>
        <v>310000</v>
      </c>
      <c r="C2" s="48" t="str">
        <f aca="false">VLOOKUP(A2,'Sovereign Ratings (Moody''s,S&amp;P)'!$A$2:$D$158,4,FALSE())</f>
        <v>Aa2</v>
      </c>
      <c r="D2" s="50" t="n">
        <f aca="false">VLOOKUP(A2,'10-year CDS Spreads'!$A$2:$C$158,3,FALSE())</f>
        <v>0.006</v>
      </c>
      <c r="E2" s="49" t="n">
        <f aca="false">VLOOKUP(A2,'ERPs by country'!$A$9:$F$165,4,FALSE())</f>
        <v>0.00419504851160823</v>
      </c>
      <c r="F2" s="130" t="n">
        <f aca="false">VLOOKUP(A2,'ERPs by country'!$A$9:$F$165,5,FALSE())</f>
        <v>0.0486906451636496</v>
      </c>
      <c r="G2" s="52" t="n">
        <f aca="false">VLOOKUP(A2,'ERPs by country'!$A$9:$F$165,6,FALSE())</f>
        <v>0.0063906451636496</v>
      </c>
      <c r="H2" s="52" t="n">
        <f aca="false">VLOOKUP(A2,'Country Tax Rates'!$A$2:$B$159,2,FALSE())</f>
        <v>0.09</v>
      </c>
      <c r="I2" s="80" t="str">
        <f aca="false">VLOOKUP(A2,'Regional lookup table'!$A$2:$B$162,2,FALSE())</f>
        <v>Middle East</v>
      </c>
    </row>
    <row r="3" customFormat="false" ht="15.75" hidden="false" customHeight="false" outlineLevel="0" collapsed="false">
      <c r="A3" s="129" t="str">
        <f aca="false">'Sovereign Ratings (Moody''s,S&amp;P)'!A3</f>
        <v>Albania</v>
      </c>
      <c r="B3" s="127" t="n">
        <f aca="false">VLOOKUP(A3,'Country GDP'!$A$2:$B$181,2,FALSE())</f>
        <v>27046.4292966673</v>
      </c>
      <c r="C3" s="48" t="str">
        <f aca="false">VLOOKUP(A3,'Sovereign Ratings (Moody''s,S&amp;P)'!$A$2:$D$158,4,FALSE())</f>
        <v>Ba3</v>
      </c>
      <c r="D3" s="50" t="str">
        <f aca="false">VLOOKUP(A3,'10-year CDS Spreads'!$A$2:$C$158,3,FALSE())</f>
        <v>NA</v>
      </c>
      <c r="E3" s="49" t="n">
        <f aca="false">VLOOKUP(A3,'ERPs by country'!$A$9:$F$165,4,FALSE())</f>
        <v>0.0305639248702886</v>
      </c>
      <c r="F3" s="130" t="n">
        <f aca="false">VLOOKUP(A3,'ERPs by country'!$A$9:$F$165,5,FALSE())</f>
        <v>0.0888604147637328</v>
      </c>
      <c r="G3" s="52" t="n">
        <f aca="false">VLOOKUP(A3,'ERPs by country'!$A$9:$F$165,6,FALSE())</f>
        <v>0.0465604147637328</v>
      </c>
      <c r="H3" s="52" t="n">
        <f aca="false">VLOOKUP(A3,'Country Tax Rates'!$A$2:$B$159,2,FALSE())</f>
        <v>0.15</v>
      </c>
      <c r="I3" s="80" t="str">
        <f aca="false">VLOOKUP(A3,'Regional lookup table'!$A$2:$B$162,2,FALSE())</f>
        <v>Eastern Europe &amp; Russia</v>
      </c>
    </row>
    <row r="4" customFormat="false" ht="15.75" hidden="false" customHeight="false" outlineLevel="0" collapsed="false">
      <c r="A4" s="129" t="str">
        <f aca="false">'Sovereign Ratings (Moody''s,S&amp;P)'!A4</f>
        <v>Andorra (Principality of)</v>
      </c>
      <c r="B4" s="127" t="n">
        <f aca="false">VLOOKUP(A4,'Country GDP'!$A$2:$B$181,2,FALSE())</f>
        <v>4039.84240548117</v>
      </c>
      <c r="C4" s="48" t="str">
        <f aca="false">VLOOKUP(A4,'Sovereign Ratings (Moody''s,S&amp;P)'!$A$2:$D$158,4,FALSE())</f>
        <v>Baa1</v>
      </c>
      <c r="D4" s="50" t="str">
        <f aca="false">VLOOKUP(A4,'10-year CDS Spreads'!$A$2:$C$158,3,FALSE())</f>
        <v>NA</v>
      </c>
      <c r="E4" s="49" t="n">
        <f aca="false">VLOOKUP(A4,'ERPs by country'!$A$9:$F$165,4,FALSE())</f>
        <v>0.0135839666090171</v>
      </c>
      <c r="F4" s="130" t="n">
        <f aca="false">VLOOKUP(A4,'ERPs by country'!$A$9:$F$165,5,FALSE())</f>
        <v>0.0629935176727701</v>
      </c>
      <c r="G4" s="52" t="n">
        <f aca="false">VLOOKUP(A4,'ERPs by country'!$A$9:$F$165,6,FALSE())</f>
        <v>0.0206935176727701</v>
      </c>
      <c r="H4" s="52" t="n">
        <f aca="false">VLOOKUP(A4,'Country Tax Rates'!$A$2:$B$159,2,FALSE())</f>
        <v>0.1</v>
      </c>
      <c r="I4" s="80" t="str">
        <f aca="false">VLOOKUP(A4,'Regional lookup table'!$A$2:$B$162,2,FALSE())</f>
        <v>Western Europe</v>
      </c>
    </row>
    <row r="5" customFormat="false" ht="15.75" hidden="false" customHeight="false" outlineLevel="0" collapsed="false">
      <c r="A5" s="129" t="str">
        <f aca="false">'Sovereign Ratings (Moody''s,S&amp;P)'!A5</f>
        <v>Angola</v>
      </c>
      <c r="B5" s="127" t="n">
        <f aca="false">VLOOKUP(A5,'Country GDP'!$A$2:$B$181,2,FALSE())</f>
        <v>100998.916781079</v>
      </c>
      <c r="C5" s="48" t="str">
        <f aca="false">VLOOKUP(A5,'Sovereign Ratings (Moody''s,S&amp;P)'!$A$2:$D$158,4,FALSE())</f>
        <v>B3</v>
      </c>
      <c r="D5" s="50" t="n">
        <f aca="false">VLOOKUP(A5,'10-year CDS Spreads'!$A$2:$C$158,3,FALSE())</f>
        <v>0.0624</v>
      </c>
      <c r="E5" s="49" t="n">
        <f aca="false">VLOOKUP(A5,'ERPs by country'!$A$9:$F$165,4,FALSE())</f>
        <v>0.0552348054028417</v>
      </c>
      <c r="F5" s="130" t="n">
        <f aca="false">VLOOKUP(A5,'ERPs by country'!$A$9:$F$165,5,FALSE())</f>
        <v>0.12644349465472</v>
      </c>
      <c r="G5" s="52" t="n">
        <f aca="false">VLOOKUP(A5,'ERPs by country'!$A$9:$F$165,6,FALSE())</f>
        <v>0.0841434946547197</v>
      </c>
      <c r="H5" s="52" t="n">
        <f aca="false">VLOOKUP(A5,'Country Tax Rates'!$A$2:$B$159,2,FALSE())</f>
        <v>0.25</v>
      </c>
      <c r="I5" s="80" t="str">
        <f aca="false">VLOOKUP(A5,'Regional lookup table'!$A$2:$B$162,2,FALSE())</f>
        <v>Africa</v>
      </c>
    </row>
    <row r="6" customFormat="false" ht="15.75" hidden="false" customHeight="false" outlineLevel="0" collapsed="false">
      <c r="A6" s="129" t="str">
        <f aca="false">'Sovereign Ratings (Moody''s,S&amp;P)'!A6</f>
        <v>Argentina</v>
      </c>
      <c r="B6" s="127" t="n">
        <f aca="false">VLOOKUP(A6,'Country GDP'!$A$2:$B$181,2,FALSE())</f>
        <v>638365.45534004</v>
      </c>
      <c r="C6" s="48" t="str">
        <f aca="false">VLOOKUP(A6,'Sovereign Ratings (Moody''s,S&amp;P)'!$A$2:$D$158,4,FALSE())</f>
        <v>Caa1</v>
      </c>
      <c r="D6" s="50" t="str">
        <f aca="false">VLOOKUP(A6,'10-year CDS Spreads'!$A$2:$C$158,3,FALSE())</f>
        <v>NA</v>
      </c>
      <c r="E6" s="49" t="n">
        <f aca="false">VLOOKUP(A6,'ERPs by country'!$A$9:$F$165,4,FALSE())</f>
        <v>0.0637247845334774</v>
      </c>
      <c r="F6" s="130" t="n">
        <f aca="false">VLOOKUP(A6,'ERPs by country'!$A$9:$F$165,5,FALSE())</f>
        <v>0.139376943200201</v>
      </c>
      <c r="G6" s="52" t="n">
        <f aca="false">VLOOKUP(A6,'ERPs by country'!$A$9:$F$165,6,FALSE())</f>
        <v>0.097076943200201</v>
      </c>
      <c r="H6" s="52" t="n">
        <f aca="false">VLOOKUP(A6,'Country Tax Rates'!$A$2:$B$159,2,FALSE())</f>
        <v>0.35</v>
      </c>
      <c r="I6" s="80" t="str">
        <f aca="false">VLOOKUP(A6,'Regional lookup table'!$A$2:$B$162,2,FALSE())</f>
        <v>Central and South America</v>
      </c>
    </row>
    <row r="7" customFormat="false" ht="15.75" hidden="false" customHeight="false" outlineLevel="0" collapsed="false">
      <c r="A7" s="129" t="str">
        <f aca="false">'Sovereign Ratings (Moody''s,S&amp;P)'!A7</f>
        <v>Armenia</v>
      </c>
      <c r="B7" s="127" t="n">
        <f aca="false">VLOOKUP(A7,'Country GDP'!$A$2:$B$181,2,FALSE())</f>
        <v>25955.2753800321</v>
      </c>
      <c r="C7" s="48" t="str">
        <f aca="false">VLOOKUP(A7,'Sovereign Ratings (Moody''s,S&amp;P)'!$A$2:$D$158,4,FALSE())</f>
        <v>Ba3</v>
      </c>
      <c r="D7" s="50" t="str">
        <f aca="false">VLOOKUP(A7,'10-year CDS Spreads'!$A$2:$C$158,3,FALSE())</f>
        <v>NA</v>
      </c>
      <c r="E7" s="49" t="n">
        <f aca="false">VLOOKUP(A7,'ERPs by country'!$A$9:$F$165,4,FALSE())</f>
        <v>0.0305639248702886</v>
      </c>
      <c r="F7" s="130" t="n">
        <f aca="false">VLOOKUP(A7,'ERPs by country'!$A$9:$F$165,5,FALSE())</f>
        <v>0.0888604147637328</v>
      </c>
      <c r="G7" s="52" t="n">
        <f aca="false">VLOOKUP(A7,'ERPs by country'!$A$9:$F$165,6,FALSE())</f>
        <v>0.0465604147637328</v>
      </c>
      <c r="H7" s="52" t="n">
        <f aca="false">VLOOKUP(A7,'Country Tax Rates'!$A$2:$B$159,2,FALSE())</f>
        <v>0.18</v>
      </c>
      <c r="I7" s="80" t="str">
        <f aca="false">VLOOKUP(A7,'Regional lookup table'!$A$2:$B$162,2,FALSE())</f>
        <v>Eastern Europe &amp; Russia</v>
      </c>
    </row>
    <row r="8" customFormat="false" ht="15.75" hidden="false" customHeight="false" outlineLevel="0" collapsed="false">
      <c r="A8" s="129" t="str">
        <f aca="false">'Sovereign Ratings (Moody''s,S&amp;P)'!A8</f>
        <v>Aruba</v>
      </c>
      <c r="B8" s="127" t="n">
        <f aca="false">VLOOKUP(A8,'Country GDP'!$A$2:$B$181,2,FALSE())</f>
        <v>4265.65067300236</v>
      </c>
      <c r="C8" s="48" t="str">
        <f aca="false">VLOOKUP(A8,'Sovereign Ratings (Moody''s,S&amp;P)'!$A$2:$D$158,4,FALSE())</f>
        <v>Baa3</v>
      </c>
      <c r="D8" s="50" t="str">
        <f aca="false">VLOOKUP(A8,'10-year CDS Spreads'!$A$2:$C$158,3,FALSE())</f>
        <v>NA</v>
      </c>
      <c r="E8" s="49" t="n">
        <f aca="false">VLOOKUP(A8,'ERPs by country'!$A$9:$F$165,4,FALSE())</f>
        <v>0.0186779540873986</v>
      </c>
      <c r="F8" s="130" t="n">
        <f aca="false">VLOOKUP(A8,'ERPs by country'!$A$9:$F$165,5,FALSE())</f>
        <v>0.0707535868000589</v>
      </c>
      <c r="G8" s="52" t="n">
        <f aca="false">VLOOKUP(A8,'ERPs by country'!$A$9:$F$165,6,FALSE())</f>
        <v>0.0284535868000589</v>
      </c>
      <c r="H8" s="52" t="n">
        <f aca="false">VLOOKUP(A8,'Country Tax Rates'!$A$2:$B$159,2,FALSE())</f>
        <v>0.22</v>
      </c>
      <c r="I8" s="80" t="str">
        <f aca="false">VLOOKUP(A8,'Regional lookup table'!$A$2:$B$162,2,FALSE())</f>
        <v>Caribbean</v>
      </c>
    </row>
    <row r="9" customFormat="false" ht="15.75" hidden="false" customHeight="false" outlineLevel="0" collapsed="false">
      <c r="A9" s="129" t="str">
        <f aca="false">'Sovereign Ratings (Moody''s,S&amp;P)'!A9</f>
        <v>Australia</v>
      </c>
      <c r="B9" s="127" t="n">
        <f aca="false">VLOOKUP(A9,'Country GDP'!$A$2:$B$181,2,FALSE())</f>
        <v>1757022.45165283</v>
      </c>
      <c r="C9" s="48" t="str">
        <f aca="false">VLOOKUP(A9,'Sovereign Ratings (Moody''s,S&amp;P)'!$A$2:$D$158,4,FALSE())</f>
        <v>Aaa</v>
      </c>
      <c r="D9" s="50" t="n">
        <f aca="false">VLOOKUP(A9,'10-year CDS Spreads'!$A$2:$C$158,3,FALSE())</f>
        <v>0.0019</v>
      </c>
      <c r="E9" s="49" t="n">
        <f aca="false">VLOOKUP(A9,'ERPs by country'!$A$9:$F$165,4,FALSE())</f>
        <v>0</v>
      </c>
      <c r="F9" s="130" t="n">
        <f aca="false">VLOOKUP(A9,'ERPs by country'!$A$9:$F$165,5,FALSE())</f>
        <v>0.0423</v>
      </c>
      <c r="G9" s="52" t="n">
        <f aca="false">VLOOKUP(A9,'ERPs by country'!$A$9:$F$165,6,FALSE())</f>
        <v>0</v>
      </c>
      <c r="H9" s="52" t="n">
        <f aca="false">VLOOKUP(A9,'Country Tax Rates'!$A$2:$B$159,2,FALSE())</f>
        <v>0.3</v>
      </c>
      <c r="I9" s="80" t="str">
        <f aca="false">VLOOKUP(A9,'Regional lookup table'!$A$2:$B$162,2,FALSE())</f>
        <v>Australia &amp; New Zealand</v>
      </c>
    </row>
    <row r="10" customFormat="false" ht="15.75" hidden="false" customHeight="false" outlineLevel="0" collapsed="false">
      <c r="A10" s="129" t="str">
        <f aca="false">'Sovereign Ratings (Moody''s,S&amp;P)'!A10</f>
        <v>Austria</v>
      </c>
      <c r="B10" s="127" t="n">
        <f aca="false">VLOOKUP(A10,'Country GDP'!$A$2:$B$181,2,FALSE())</f>
        <v>534790.720466822</v>
      </c>
      <c r="C10" s="48" t="str">
        <f aca="false">VLOOKUP(A10,'Sovereign Ratings (Moody''s,S&amp;P)'!$A$2:$D$158,4,FALSE())</f>
        <v>Aa1</v>
      </c>
      <c r="D10" s="50" t="n">
        <f aca="false">VLOOKUP(A10,'10-year CDS Spreads'!$A$2:$C$158,3,FALSE())</f>
        <v>0.0028</v>
      </c>
      <c r="E10" s="49" t="n">
        <f aca="false">VLOOKUP(A10,'ERPs by country'!$A$9:$F$165,4,FALSE())</f>
        <v>0.00233367916999202</v>
      </c>
      <c r="F10" s="130" t="n">
        <f aca="false">VLOOKUP(A10,'ERPs by country'!$A$9:$F$165,5,FALSE())</f>
        <v>0.0458550758137721</v>
      </c>
      <c r="G10" s="52" t="n">
        <f aca="false">VLOOKUP(A10,'ERPs by country'!$A$9:$F$165,6,FALSE())</f>
        <v>0.00355507581377215</v>
      </c>
      <c r="H10" s="52" t="n">
        <f aca="false">VLOOKUP(A10,'Country Tax Rates'!$A$2:$B$159,2,FALSE())</f>
        <v>0.23</v>
      </c>
      <c r="I10" s="80" t="str">
        <f aca="false">VLOOKUP(A10,'Regional lookup table'!$A$2:$B$162,2,FALSE())</f>
        <v>Western Europe</v>
      </c>
    </row>
    <row r="11" customFormat="false" ht="15.75" hidden="false" customHeight="false" outlineLevel="0" collapsed="false">
      <c r="A11" s="129" t="str">
        <f aca="false">'Sovereign Ratings (Moody''s,S&amp;P)'!A11</f>
        <v>Azerbaijan</v>
      </c>
      <c r="B11" s="127" t="n">
        <f aca="false">VLOOKUP(A11,'Country GDP'!$A$2:$B$181,2,FALSE())</f>
        <v>74315.8823529412</v>
      </c>
      <c r="C11" s="48" t="str">
        <f aca="false">VLOOKUP(A11,'Sovereign Ratings (Moody''s,S&amp;P)'!$A$2:$D$158,4,FALSE())</f>
        <v>Baa3</v>
      </c>
      <c r="D11" s="50" t="str">
        <f aca="false">VLOOKUP(A11,'10-year CDS Spreads'!$A$2:$C$158,3,FALSE())</f>
        <v>NA</v>
      </c>
      <c r="E11" s="49" t="n">
        <f aca="false">VLOOKUP(A11,'ERPs by country'!$A$9:$F$165,4,FALSE())</f>
        <v>0.0186779540873986</v>
      </c>
      <c r="F11" s="130" t="n">
        <f aca="false">VLOOKUP(A11,'ERPs by country'!$A$9:$F$165,5,FALSE())</f>
        <v>0.0707535868000589</v>
      </c>
      <c r="G11" s="52" t="n">
        <f aca="false">VLOOKUP(A11,'ERPs by country'!$A$9:$F$165,6,FALSE())</f>
        <v>0.0284535868000589</v>
      </c>
      <c r="H11" s="52" t="n">
        <f aca="false">VLOOKUP(A11,'Country Tax Rates'!$A$2:$B$159,2,FALSE())</f>
        <v>0.2</v>
      </c>
      <c r="I11" s="80" t="str">
        <f aca="false">VLOOKUP(A11,'Regional lookup table'!$A$2:$B$162,2,FALSE())</f>
        <v>Eastern Europe &amp; Russia</v>
      </c>
    </row>
    <row r="12" customFormat="false" ht="15.75" hidden="false" customHeight="false" outlineLevel="0" collapsed="false">
      <c r="A12" s="129" t="str">
        <f aca="false">'Sovereign Ratings (Moody''s,S&amp;P)'!A12</f>
        <v>Bahamas</v>
      </c>
      <c r="B12" s="127" t="n">
        <f aca="false">VLOOKUP(A12,'Country GDP'!$A$2:$B$181,2,FALSE())</f>
        <v>15832.8</v>
      </c>
      <c r="C12" s="48" t="str">
        <f aca="false">VLOOKUP(A12,'Sovereign Ratings (Moody''s,S&amp;P)'!$A$2:$D$158,4,FALSE())</f>
        <v>B1</v>
      </c>
      <c r="D12" s="50" t="str">
        <f aca="false">VLOOKUP(A12,'10-year CDS Spreads'!$A$2:$C$158,3,FALSE())</f>
        <v>NA</v>
      </c>
      <c r="E12" s="49" t="n">
        <f aca="false">VLOOKUP(A12,'ERPs by country'!$A$9:$F$165,4,FALSE())</f>
        <v>0.0382548471415703</v>
      </c>
      <c r="F12" s="130" t="n">
        <f aca="false">VLOOKUP(A12,'ERPs by country'!$A$9:$F$165,5,FALSE())</f>
        <v>0.100576597563757</v>
      </c>
      <c r="G12" s="52" t="n">
        <f aca="false">VLOOKUP(A12,'ERPs by country'!$A$9:$F$165,6,FALSE())</f>
        <v>0.058276597563757</v>
      </c>
      <c r="H12" s="52" t="n">
        <f aca="false">VLOOKUP(A12,'Country Tax Rates'!$A$2:$B$159,2,FALSE())</f>
        <v>0</v>
      </c>
      <c r="I12" s="80" t="str">
        <f aca="false">VLOOKUP(A12,'Regional lookup table'!$A$2:$B$162,2,FALSE())</f>
        <v>Caribbean</v>
      </c>
    </row>
    <row r="13" customFormat="false" ht="15.75" hidden="false" customHeight="false" outlineLevel="0" collapsed="false">
      <c r="A13" s="129" t="str">
        <f aca="false">'Sovereign Ratings (Moody''s,S&amp;P)'!A13</f>
        <v>Bahrain</v>
      </c>
      <c r="B13" s="127" t="n">
        <f aca="false">VLOOKUP(A13,'Country GDP'!$A$2:$B$181,2,FALSE())</f>
        <v>47109.7343085106</v>
      </c>
      <c r="C13" s="48" t="str">
        <f aca="false">VLOOKUP(A13,'Sovereign Ratings (Moody''s,S&amp;P)'!$A$2:$D$158,4,FALSE())</f>
        <v>B2</v>
      </c>
      <c r="D13" s="50" t="n">
        <f aca="false">VLOOKUP(A13,'10-year CDS Spreads'!$A$2:$C$158,3,FALSE())</f>
        <v>0.0247</v>
      </c>
      <c r="E13" s="49" t="n">
        <f aca="false">VLOOKUP(A13,'ERPs by country'!$A$9:$F$165,4,FALSE())</f>
        <v>0.046744826272206</v>
      </c>
      <c r="F13" s="130" t="n">
        <f aca="false">VLOOKUP(A13,'ERPs by country'!$A$9:$F$165,5,FALSE())</f>
        <v>0.113510046109238</v>
      </c>
      <c r="G13" s="52" t="n">
        <f aca="false">VLOOKUP(A13,'ERPs by country'!$A$9:$F$165,6,FALSE())</f>
        <v>0.0712100461092384</v>
      </c>
      <c r="H13" s="52" t="n">
        <f aca="false">VLOOKUP(A13,'Country Tax Rates'!$A$2:$B$159,2,FALSE())</f>
        <v>0</v>
      </c>
      <c r="I13" s="80" t="str">
        <f aca="false">VLOOKUP(A13,'Regional lookup table'!$A$2:$B$162,2,FALSE())</f>
        <v>Middle East</v>
      </c>
    </row>
    <row r="14" customFormat="false" ht="15.75" hidden="false" customHeight="false" outlineLevel="0" collapsed="false">
      <c r="A14" s="129" t="str">
        <f aca="false">'Sovereign Ratings (Moody''s,S&amp;P)'!A14</f>
        <v>Bangladesh</v>
      </c>
      <c r="B14" s="127" t="n">
        <f aca="false">VLOOKUP(A14,'Country GDP'!$A$2:$B$181,2,FALSE())</f>
        <v>450119.432068852</v>
      </c>
      <c r="C14" s="48" t="str">
        <f aca="false">VLOOKUP(A14,'Sovereign Ratings (Moody''s,S&amp;P)'!$A$2:$D$158,4,FALSE())</f>
        <v>B2</v>
      </c>
      <c r="D14" s="50" t="str">
        <f aca="false">VLOOKUP(A14,'10-year CDS Spreads'!$A$2:$C$158,3,FALSE())</f>
        <v>NA</v>
      </c>
      <c r="E14" s="49" t="n">
        <f aca="false">VLOOKUP(A14,'ERPs by country'!$A$9:$F$165,4,FALSE())</f>
        <v>0.046744826272206</v>
      </c>
      <c r="F14" s="130" t="n">
        <f aca="false">VLOOKUP(A14,'ERPs by country'!$A$9:$F$165,5,FALSE())</f>
        <v>0.113510046109238</v>
      </c>
      <c r="G14" s="52" t="n">
        <f aca="false">VLOOKUP(A14,'ERPs by country'!$A$9:$F$165,6,FALSE())</f>
        <v>0.0712100461092384</v>
      </c>
      <c r="H14" s="52" t="n">
        <f aca="false">VLOOKUP(A14,'Country Tax Rates'!$A$2:$B$159,2,FALSE())</f>
        <v>0.275</v>
      </c>
      <c r="I14" s="80" t="str">
        <f aca="false">VLOOKUP(A14,'Regional lookup table'!$A$2:$B$162,2,FALSE())</f>
        <v>Asia</v>
      </c>
    </row>
    <row r="15" customFormat="false" ht="15.75" hidden="false" customHeight="false" outlineLevel="0" collapsed="false">
      <c r="A15" s="129" t="str">
        <f aca="false">'Sovereign Ratings (Moody''s,S&amp;P)'!A15</f>
        <v>Barbados</v>
      </c>
      <c r="B15" s="127" t="n">
        <f aca="false">VLOOKUP(A15,'Country GDP'!$A$2:$B$181,2,FALSE())</f>
        <v>7498.05</v>
      </c>
      <c r="C15" s="48" t="str">
        <f aca="false">VLOOKUP(A15,'Sovereign Ratings (Moody''s,S&amp;P)'!$A$2:$D$158,4,FALSE())</f>
        <v>B2</v>
      </c>
      <c r="D15" s="50" t="str">
        <f aca="false">VLOOKUP(A15,'10-year CDS Spreads'!$A$2:$C$158,3,FALSE())</f>
        <v>NA</v>
      </c>
      <c r="E15" s="49" t="n">
        <f aca="false">VLOOKUP(A15,'ERPs by country'!$A$9:$F$165,4,FALSE())</f>
        <v>0.046744826272206</v>
      </c>
      <c r="F15" s="130" t="n">
        <f aca="false">VLOOKUP(A15,'ERPs by country'!$A$9:$F$165,5,FALSE())</f>
        <v>0.113510046109238</v>
      </c>
      <c r="G15" s="52" t="n">
        <f aca="false">VLOOKUP(A15,'ERPs by country'!$A$9:$F$165,6,FALSE())</f>
        <v>0.0712100461092384</v>
      </c>
      <c r="H15" s="52" t="n">
        <f aca="false">VLOOKUP(A15,'Country Tax Rates'!$A$2:$B$159,2,FALSE())</f>
        <v>0.09</v>
      </c>
      <c r="I15" s="80" t="str">
        <f aca="false">VLOOKUP(A15,'Regional lookup table'!$A$2:$B$162,2,FALSE())</f>
        <v>Caribbean</v>
      </c>
    </row>
    <row r="16" customFormat="false" ht="15.75" hidden="false" customHeight="false" outlineLevel="0" collapsed="false">
      <c r="A16" s="129" t="str">
        <f aca="false">'Sovereign Ratings (Moody''s,S&amp;P)'!A16</f>
        <v>Belarus</v>
      </c>
      <c r="B16" s="127" t="n">
        <f aca="false">VLOOKUP(A16,'Country GDP'!$A$2:$B$181,2,FALSE())</f>
        <v>75961.8654719129</v>
      </c>
      <c r="C16" s="48" t="str">
        <f aca="false">VLOOKUP(A16,'Sovereign Ratings (Moody''s,S&amp;P)'!$A$2:$D$158,4,FALSE())</f>
        <v>C</v>
      </c>
      <c r="D16" s="50" t="str">
        <f aca="false">VLOOKUP(A16,'10-year CDS Spreads'!$A$2:$C$158,3,FALSE())</f>
        <v>NA</v>
      </c>
      <c r="E16" s="49" t="n">
        <f aca="false">VLOOKUP(A16,'ERPs by country'!$A$9:$F$165,4,FALSE())</f>
        <v>0.175</v>
      </c>
      <c r="F16" s="130" t="n">
        <f aca="false">VLOOKUP(A16,'ERPs by country'!$A$9:$F$165,5,FALSE())</f>
        <v>0.30889117303269</v>
      </c>
      <c r="G16" s="52" t="n">
        <f aca="false">VLOOKUP(A16,'ERPs by country'!$A$9:$F$165,6,FALSE())</f>
        <v>0.26659117303269</v>
      </c>
      <c r="H16" s="52" t="n">
        <f aca="false">VLOOKUP(A16,'Country Tax Rates'!$A$2:$B$159,2,FALSE())</f>
        <v>0.25</v>
      </c>
      <c r="I16" s="80" t="str">
        <f aca="false">VLOOKUP(A16,'Regional lookup table'!$A$2:$B$162,2,FALSE())</f>
        <v>Eastern Europe &amp; Russia</v>
      </c>
    </row>
    <row r="17" customFormat="false" ht="15.75" hidden="false" customHeight="false" outlineLevel="0" collapsed="false">
      <c r="A17" s="129" t="str">
        <f aca="false">'Sovereign Ratings (Moody''s,S&amp;P)'!A17</f>
        <v>Belgium</v>
      </c>
      <c r="B17" s="127" t="n">
        <f aca="false">VLOOKUP(A17,'Country GDP'!$A$2:$B$181,2,FALSE())</f>
        <v>671370.081636406</v>
      </c>
      <c r="C17" s="48" t="str">
        <f aca="false">VLOOKUP(A17,'Sovereign Ratings (Moody''s,S&amp;P)'!$A$2:$D$158,4,FALSE())</f>
        <v>Aa3</v>
      </c>
      <c r="D17" s="50" t="n">
        <f aca="false">VLOOKUP(A17,'10-year CDS Spreads'!$A$2:$C$158,3,FALSE())</f>
        <v>0.004</v>
      </c>
      <c r="E17" s="49" t="n">
        <f aca="false">VLOOKUP(A17,'ERPs by country'!$A$9:$F$165,4,FALSE())</f>
        <v>0.00509398747838143</v>
      </c>
      <c r="F17" s="130" t="n">
        <f aca="false">VLOOKUP(A17,'ERPs by country'!$A$9:$F$165,5,FALSE())</f>
        <v>0.0500600691272888</v>
      </c>
      <c r="G17" s="52" t="n">
        <f aca="false">VLOOKUP(A17,'ERPs by country'!$A$9:$F$165,6,FALSE())</f>
        <v>0.0077600691272888</v>
      </c>
      <c r="H17" s="52" t="n">
        <f aca="false">VLOOKUP(A17,'Country Tax Rates'!$A$2:$B$159,2,FALSE())</f>
        <v>0.25</v>
      </c>
      <c r="I17" s="80" t="str">
        <f aca="false">VLOOKUP(A17,'Regional lookup table'!$A$2:$B$162,2,FALSE())</f>
        <v>Western Europe</v>
      </c>
    </row>
    <row r="18" customFormat="false" ht="15.75" hidden="false" customHeight="false" outlineLevel="0" collapsed="false">
      <c r="A18" s="129" t="str">
        <f aca="false">'Sovereign Ratings (Moody''s,S&amp;P)'!A18</f>
        <v>Belize</v>
      </c>
      <c r="B18" s="127" t="n">
        <f aca="false">VLOOKUP(A18,'Country GDP'!$A$2:$B$181,2,FALSE())</f>
        <v>3203.6318</v>
      </c>
      <c r="C18" s="48" t="str">
        <f aca="false">VLOOKUP(A18,'Sovereign Ratings (Moody''s,S&amp;P)'!$A$2:$D$158,4,FALSE())</f>
        <v>Caa1</v>
      </c>
      <c r="D18" s="50" t="str">
        <f aca="false">VLOOKUP(A18,'10-year CDS Spreads'!$A$2:$C$158,3,FALSE())</f>
        <v>NA</v>
      </c>
      <c r="E18" s="49" t="n">
        <f aca="false">VLOOKUP(A18,'ERPs by country'!$A$9:$F$165,4,FALSE())</f>
        <v>0.0637247845334774</v>
      </c>
      <c r="F18" s="130" t="n">
        <f aca="false">VLOOKUP(A18,'ERPs by country'!$A$9:$F$165,5,FALSE())</f>
        <v>0.139376943200201</v>
      </c>
      <c r="G18" s="52" t="n">
        <f aca="false">VLOOKUP(A18,'ERPs by country'!$A$9:$F$165,6,FALSE())</f>
        <v>0.097076943200201</v>
      </c>
      <c r="H18" s="52" t="n">
        <f aca="false">VLOOKUP(A18,'Country Tax Rates'!$A$2:$B$159,2,FALSE())</f>
        <v>0</v>
      </c>
      <c r="I18" s="80" t="str">
        <f aca="false">VLOOKUP(A18,'Regional lookup table'!$A$2:$B$162,2,FALSE())</f>
        <v>Central and South America</v>
      </c>
    </row>
    <row r="19" customFormat="false" ht="15.75" hidden="false" customHeight="false" outlineLevel="0" collapsed="false">
      <c r="A19" s="129" t="str">
        <f aca="false">'Sovereign Ratings (Moody''s,S&amp;P)'!A19</f>
        <v>Benin</v>
      </c>
      <c r="B19" s="127" t="n">
        <f aca="false">VLOOKUP(A19,'Country GDP'!$A$2:$B$181,2,FALSE())</f>
        <v>21482.6437064248</v>
      </c>
      <c r="C19" s="48" t="str">
        <f aca="false">VLOOKUP(A19,'Sovereign Ratings (Moody''s,S&amp;P)'!$A$2:$D$158,4,FALSE())</f>
        <v>B1</v>
      </c>
      <c r="D19" s="50" t="str">
        <f aca="false">VLOOKUP(A19,'10-year CDS Spreads'!$A$2:$C$158,3,FALSE())</f>
        <v>NA</v>
      </c>
      <c r="E19" s="49" t="n">
        <f aca="false">VLOOKUP(A19,'ERPs by country'!$A$9:$F$165,4,FALSE())</f>
        <v>0.0382548471415703</v>
      </c>
      <c r="F19" s="130" t="n">
        <f aca="false">VLOOKUP(A19,'ERPs by country'!$A$9:$F$165,5,FALSE())</f>
        <v>0.100576597563757</v>
      </c>
      <c r="G19" s="52" t="n">
        <f aca="false">VLOOKUP(A19,'ERPs by country'!$A$9:$F$165,6,FALSE())</f>
        <v>0.058276597563757</v>
      </c>
      <c r="H19" s="52" t="n">
        <f aca="false">VLOOKUP(A19,'Country Tax Rates'!$A$2:$B$159,2,FALSE())</f>
        <v>0.3</v>
      </c>
      <c r="I19" s="80" t="str">
        <f aca="false">VLOOKUP(A19,'Regional lookup table'!$A$2:$B$162,2,FALSE())</f>
        <v>Africa</v>
      </c>
    </row>
    <row r="20" customFormat="false" ht="15.75" hidden="false" customHeight="false" outlineLevel="0" collapsed="false">
      <c r="A20" s="129" t="str">
        <f aca="false">'Sovereign Ratings (Moody''s,S&amp;P)'!A20</f>
        <v>Bermuda</v>
      </c>
      <c r="B20" s="127" t="n">
        <f aca="false">VLOOKUP(A20,'Country GDP'!$A$2:$B$181,2,FALSE())</f>
        <v>9233.6</v>
      </c>
      <c r="C20" s="48" t="str">
        <f aca="false">VLOOKUP(A20,'Sovereign Ratings (Moody''s,S&amp;P)'!$A$2:$D$158,4,FALSE())</f>
        <v>A2</v>
      </c>
      <c r="D20" s="50" t="str">
        <f aca="false">VLOOKUP(A20,'10-year CDS Spreads'!$A$2:$C$158,3,FALSE())</f>
        <v>NA</v>
      </c>
      <c r="E20" s="49" t="n">
        <f aca="false">VLOOKUP(A20,'ERPs by country'!$A$9:$F$165,4,FALSE())</f>
        <v>0.00719151173418554</v>
      </c>
      <c r="F20" s="130" t="n">
        <f aca="false">VLOOKUP(A20,'ERPs by country'!$A$9:$F$165,5,FALSE())</f>
        <v>0.0532553917091136</v>
      </c>
      <c r="G20" s="52" t="n">
        <f aca="false">VLOOKUP(A20,'ERPs by country'!$A$9:$F$165,6,FALSE())</f>
        <v>0.0109553917091136</v>
      </c>
      <c r="H20" s="52" t="n">
        <f aca="false">VLOOKUP(A20,'Country Tax Rates'!$A$2:$B$159,2,FALSE())</f>
        <v>0</v>
      </c>
      <c r="I20" s="80" t="str">
        <f aca="false">VLOOKUP(A20,'Regional lookup table'!$A$2:$B$162,2,FALSE())</f>
        <v>Caribbean</v>
      </c>
    </row>
    <row r="21" customFormat="false" ht="15.75" hidden="false" customHeight="false" outlineLevel="0" collapsed="false">
      <c r="A21" s="129" t="str">
        <f aca="false">'Sovereign Ratings (Moody''s,S&amp;P)'!A21</f>
        <v>Bolivia</v>
      </c>
      <c r="B21" s="127" t="n">
        <f aca="false">VLOOKUP(A21,'Country GDP'!$A$2:$B$181,2,FALSE())</f>
        <v>54881.3274529667</v>
      </c>
      <c r="C21" s="48" t="str">
        <f aca="false">VLOOKUP(A21,'Sovereign Ratings (Moody''s,S&amp;P)'!$A$2:$D$158,4,FALSE())</f>
        <v>Ca</v>
      </c>
      <c r="D21" s="50" t="str">
        <f aca="false">VLOOKUP(A21,'10-year CDS Spreads'!$A$2:$C$158,3,FALSE())</f>
        <v>NA</v>
      </c>
      <c r="E21" s="49" t="n">
        <f aca="false">VLOOKUP(A21,'ERPs by country'!$A$9:$F$165,4,FALSE())</f>
        <v>0.101979631675048</v>
      </c>
      <c r="F21" s="130" t="n">
        <f aca="false">VLOOKUP(A21,'ERPs by country'!$A$9:$F$165,5,FALSE())</f>
        <v>0.197653540763958</v>
      </c>
      <c r="G21" s="52" t="n">
        <f aca="false">VLOOKUP(A21,'ERPs by country'!$A$9:$F$165,6,FALSE())</f>
        <v>0.155353540763958</v>
      </c>
      <c r="H21" s="52" t="n">
        <f aca="false">VLOOKUP(A21,'Country Tax Rates'!$A$2:$B$159,2,FALSE())</f>
        <v>0.25</v>
      </c>
      <c r="I21" s="80" t="str">
        <f aca="false">VLOOKUP(A21,'Regional lookup table'!$A$2:$B$162,2,FALSE())</f>
        <v>Central and South America</v>
      </c>
    </row>
    <row r="22" customFormat="false" ht="15.75" hidden="false" customHeight="false" outlineLevel="0" collapsed="false">
      <c r="A22" s="129" t="str">
        <f aca="false">'Sovereign Ratings (Moody''s,S&amp;P)'!A22</f>
        <v>Bosnia and Herzegovina</v>
      </c>
      <c r="B22" s="127" t="n">
        <f aca="false">VLOOKUP(A22,'Country GDP'!$A$2:$B$181,2,FALSE())</f>
        <v>29613.5720228993</v>
      </c>
      <c r="C22" s="48" t="str">
        <f aca="false">VLOOKUP(A22,'Sovereign Ratings (Moody''s,S&amp;P)'!$A$2:$D$158,4,FALSE())</f>
        <v>B3</v>
      </c>
      <c r="D22" s="50" t="str">
        <f aca="false">VLOOKUP(A22,'10-year CDS Spreads'!$A$2:$C$158,3,FALSE())</f>
        <v>NA</v>
      </c>
      <c r="E22" s="49" t="n">
        <f aca="false">VLOOKUP(A22,'ERPs by country'!$A$9:$F$165,4,FALSE())</f>
        <v>0.0552348054028417</v>
      </c>
      <c r="F22" s="130" t="n">
        <f aca="false">VLOOKUP(A22,'ERPs by country'!$A$9:$F$165,5,FALSE())</f>
        <v>0.12644349465472</v>
      </c>
      <c r="G22" s="52" t="n">
        <f aca="false">VLOOKUP(A22,'ERPs by country'!$A$9:$F$165,6,FALSE())</f>
        <v>0.0841434946547197</v>
      </c>
      <c r="H22" s="52" t="n">
        <f aca="false">VLOOKUP(A22,'Country Tax Rates'!$A$2:$B$159,2,FALSE())</f>
        <v>0.1</v>
      </c>
      <c r="I22" s="80" t="str">
        <f aca="false">VLOOKUP(A22,'Regional lookup table'!$A$2:$B$162,2,FALSE())</f>
        <v>Eastern Europe &amp; Russia</v>
      </c>
    </row>
    <row r="23" customFormat="false" ht="15.75" hidden="false" customHeight="false" outlineLevel="0" collapsed="false">
      <c r="A23" s="129" t="str">
        <f aca="false">'Sovereign Ratings (Moody''s,S&amp;P)'!A23</f>
        <v>Botswana</v>
      </c>
      <c r="B23" s="127" t="n">
        <f aca="false">VLOOKUP(A23,'Country GDP'!$A$2:$B$181,2,FALSE())</f>
        <v>19402.0635129066</v>
      </c>
      <c r="C23" s="48" t="str">
        <f aca="false">VLOOKUP(A23,'Sovereign Ratings (Moody''s,S&amp;P)'!$A$2:$D$158,4,FALSE())</f>
        <v>Baa1</v>
      </c>
      <c r="D23" s="50" t="str">
        <f aca="false">VLOOKUP(A23,'10-year CDS Spreads'!$A$2:$C$158,3,FALSE())</f>
        <v>NA</v>
      </c>
      <c r="E23" s="49" t="n">
        <f aca="false">VLOOKUP(A23,'ERPs by country'!$A$9:$F$165,4,FALSE())</f>
        <v>0.0135839666090171</v>
      </c>
      <c r="F23" s="130" t="n">
        <f aca="false">VLOOKUP(A23,'ERPs by country'!$A$9:$F$165,5,FALSE())</f>
        <v>0.0629935176727701</v>
      </c>
      <c r="G23" s="52" t="n">
        <f aca="false">VLOOKUP(A23,'ERPs by country'!$A$9:$F$165,6,FALSE())</f>
        <v>0.0206935176727701</v>
      </c>
      <c r="H23" s="52" t="n">
        <f aca="false">VLOOKUP(A23,'Country Tax Rates'!$A$2:$B$159,2,FALSE())</f>
        <v>0.22</v>
      </c>
      <c r="I23" s="80" t="str">
        <f aca="false">VLOOKUP(A23,'Regional lookup table'!$A$2:$B$162,2,FALSE())</f>
        <v>Africa</v>
      </c>
    </row>
    <row r="24" customFormat="false" ht="15.75" hidden="false" customHeight="false" outlineLevel="0" collapsed="false">
      <c r="A24" s="129" t="str">
        <f aca="false">'Sovereign Ratings (Moody''s,S&amp;P)'!A24</f>
        <v>Brazil</v>
      </c>
      <c r="B24" s="127" t="n">
        <f aca="false">VLOOKUP(A24,'Country GDP'!$A$2:$B$181,2,FALSE())</f>
        <v>2185821.64894386</v>
      </c>
      <c r="C24" s="48" t="str">
        <f aca="false">VLOOKUP(A24,'Sovereign Ratings (Moody''s,S&amp;P)'!$A$2:$D$158,4,FALSE())</f>
        <v>Ba1</v>
      </c>
      <c r="D24" s="50" t="n">
        <f aca="false">VLOOKUP(A24,'10-year CDS Spreads'!$A$2:$C$158,3,FALSE())</f>
        <v>0.0235</v>
      </c>
      <c r="E24" s="49" t="n">
        <f aca="false">VLOOKUP(A24,'ERPs by country'!$A$9:$F$165,4,FALSE())</f>
        <v>0.0212748888802989</v>
      </c>
      <c r="F24" s="130" t="n">
        <f aca="false">VLOOKUP(A24,'ERPs by country'!$A$9:$F$165,5,FALSE())</f>
        <v>0.0747097004727944</v>
      </c>
      <c r="G24" s="52" t="n">
        <f aca="false">VLOOKUP(A24,'ERPs by country'!$A$9:$F$165,6,FALSE())</f>
        <v>0.0324097004727944</v>
      </c>
      <c r="H24" s="52" t="n">
        <f aca="false">VLOOKUP(A24,'Country Tax Rates'!$A$2:$B$159,2,FALSE())</f>
        <v>0.34</v>
      </c>
      <c r="I24" s="80" t="str">
        <f aca="false">VLOOKUP(A24,'Regional lookup table'!$A$2:$B$162,2,FALSE())</f>
        <v>Central and South America</v>
      </c>
    </row>
    <row r="25" customFormat="false" ht="15.75" hidden="false" customHeight="false" outlineLevel="0" collapsed="false">
      <c r="A25" s="129" t="str">
        <f aca="false">'Sovereign Ratings (Moody''s,S&amp;P)'!A25</f>
        <v>Bulgaria</v>
      </c>
      <c r="B25" s="127" t="n">
        <f aca="false">VLOOKUP(A25,'Country GDP'!$A$2:$B$181,2,FALSE())</f>
        <v>113343.355779985</v>
      </c>
      <c r="C25" s="48" t="str">
        <f aca="false">VLOOKUP(A25,'Sovereign Ratings (Moody''s,S&amp;P)'!$A$2:$D$158,4,FALSE())</f>
        <v>Baa1</v>
      </c>
      <c r="D25" s="50" t="n">
        <f aca="false">VLOOKUP(A25,'10-year CDS Spreads'!$A$2:$C$158,3,FALSE())</f>
        <v>0.0077</v>
      </c>
      <c r="E25" s="49" t="n">
        <f aca="false">VLOOKUP(A25,'ERPs by country'!$A$9:$F$165,4,FALSE())</f>
        <v>0.0135839666090171</v>
      </c>
      <c r="F25" s="130" t="n">
        <f aca="false">VLOOKUP(A25,'ERPs by country'!$A$9:$F$165,5,FALSE())</f>
        <v>0.0629935176727701</v>
      </c>
      <c r="G25" s="52" t="n">
        <f aca="false">VLOOKUP(A25,'ERPs by country'!$A$9:$F$165,6,FALSE())</f>
        <v>0.0206935176727701</v>
      </c>
      <c r="H25" s="52" t="n">
        <f aca="false">VLOOKUP(A25,'Country Tax Rates'!$A$2:$B$159,2,FALSE())</f>
        <v>0.1</v>
      </c>
      <c r="I25" s="80" t="str">
        <f aca="false">VLOOKUP(A25,'Regional lookup table'!$A$2:$B$162,2,FALSE())</f>
        <v>Eastern Europe &amp; Russia</v>
      </c>
    </row>
    <row r="26" customFormat="false" ht="15.75" hidden="false" customHeight="false" outlineLevel="0" collapsed="false">
      <c r="A26" s="129" t="str">
        <f aca="false">'Sovereign Ratings (Moody''s,S&amp;P)'!A26</f>
        <v>Burkina Faso</v>
      </c>
      <c r="B26" s="127" t="n">
        <f aca="false">VLOOKUP(A26,'Country GDP'!$A$2:$B$181,2,FALSE())</f>
        <v>23124.7298530218</v>
      </c>
      <c r="C26" s="48" t="str">
        <f aca="false">VLOOKUP(A26,'Sovereign Ratings (Moody''s,S&amp;P)'!$A$2:$D$158,4,FALSE())</f>
        <v>Caa1</v>
      </c>
      <c r="D26" s="50" t="str">
        <f aca="false">VLOOKUP(A26,'10-year CDS Spreads'!$A$2:$C$158,3,FALSE())</f>
        <v>NA</v>
      </c>
      <c r="E26" s="49" t="n">
        <f aca="false">VLOOKUP(A26,'ERPs by country'!$A$9:$F$165,4,FALSE())</f>
        <v>0.0637247845334774</v>
      </c>
      <c r="F26" s="130" t="n">
        <f aca="false">VLOOKUP(A26,'ERPs by country'!$A$9:$F$165,5,FALSE())</f>
        <v>0.139376943200201</v>
      </c>
      <c r="G26" s="52" t="n">
        <f aca="false">VLOOKUP(A26,'ERPs by country'!$A$9:$F$165,6,FALSE())</f>
        <v>0.097076943200201</v>
      </c>
      <c r="H26" s="52" t="n">
        <f aca="false">VLOOKUP(A26,'Country Tax Rates'!$A$2:$B$159,2,FALSE())</f>
        <v>0.275</v>
      </c>
      <c r="I26" s="80" t="str">
        <f aca="false">VLOOKUP(A26,'Regional lookup table'!$A$2:$B$162,2,FALSE())</f>
        <v>Africa</v>
      </c>
    </row>
    <row r="27" customFormat="false" ht="15.75" hidden="false" customHeight="false" outlineLevel="0" collapsed="false">
      <c r="A27" s="129" t="str">
        <f aca="false">'Sovereign Ratings (Moody''s,S&amp;P)'!A27</f>
        <v>Cambodia</v>
      </c>
      <c r="B27" s="127" t="n">
        <f aca="false">VLOOKUP(A27,'Country GDP'!$A$2:$B$181,2,FALSE())</f>
        <v>46352.6470372406</v>
      </c>
      <c r="C27" s="48" t="str">
        <f aca="false">VLOOKUP(A27,'Sovereign Ratings (Moody''s,S&amp;P)'!$A$2:$D$158,4,FALSE())</f>
        <v>B2</v>
      </c>
      <c r="D27" s="50" t="str">
        <f aca="false">VLOOKUP(A27,'10-year CDS Spreads'!$A$2:$C$158,3,FALSE())</f>
        <v>NA</v>
      </c>
      <c r="E27" s="49" t="n">
        <f aca="false">VLOOKUP(A27,'ERPs by country'!$A$9:$F$165,4,FALSE())</f>
        <v>0.046744826272206</v>
      </c>
      <c r="F27" s="130" t="n">
        <f aca="false">VLOOKUP(A27,'ERPs by country'!$A$9:$F$165,5,FALSE())</f>
        <v>0.113510046109238</v>
      </c>
      <c r="G27" s="52" t="n">
        <f aca="false">VLOOKUP(A27,'ERPs by country'!$A$9:$F$165,6,FALSE())</f>
        <v>0.0712100461092384</v>
      </c>
      <c r="H27" s="52" t="n">
        <f aca="false">VLOOKUP(A27,'Country Tax Rates'!$A$2:$B$159,2,FALSE())</f>
        <v>0.2</v>
      </c>
      <c r="I27" s="80" t="str">
        <f aca="false">VLOOKUP(A27,'Regional lookup table'!$A$2:$B$162,2,FALSE())</f>
        <v>Asia</v>
      </c>
    </row>
    <row r="28" customFormat="false" ht="15.75" hidden="false" customHeight="false" outlineLevel="0" collapsed="false">
      <c r="A28" s="129" t="str">
        <f aca="false">'Sovereign Ratings (Moody''s,S&amp;P)'!A28</f>
        <v>Cameroon</v>
      </c>
      <c r="B28" s="127" t="n">
        <f aca="false">VLOOKUP(A28,'Country GDP'!$A$2:$B$181,2,FALSE())</f>
        <v>53296.6943202057</v>
      </c>
      <c r="C28" s="48" t="str">
        <f aca="false">VLOOKUP(A28,'Sovereign Ratings (Moody''s,S&amp;P)'!$A$2:$D$158,4,FALSE())</f>
        <v>Caa1</v>
      </c>
      <c r="D28" s="50" t="n">
        <f aca="false">VLOOKUP(A28,'10-year CDS Spreads'!$A$2:$C$158,3,FALSE())</f>
        <v>0.0687</v>
      </c>
      <c r="E28" s="49" t="n">
        <f aca="false">VLOOKUP(A28,'ERPs by country'!$A$9:$F$165,4,FALSE())</f>
        <v>0.0637247845334774</v>
      </c>
      <c r="F28" s="130" t="n">
        <f aca="false">VLOOKUP(A28,'ERPs by country'!$A$9:$F$165,5,FALSE())</f>
        <v>0.139376943200201</v>
      </c>
      <c r="G28" s="52" t="n">
        <f aca="false">VLOOKUP(A28,'ERPs by country'!$A$9:$F$165,6,FALSE())</f>
        <v>0.097076943200201</v>
      </c>
      <c r="H28" s="52" t="n">
        <f aca="false">VLOOKUP(A28,'Country Tax Rates'!$A$2:$B$159,2,FALSE())</f>
        <v>0.33</v>
      </c>
      <c r="I28" s="80" t="str">
        <f aca="false">VLOOKUP(A28,'Regional lookup table'!$A$2:$B$162,2,FALSE())</f>
        <v>Africa</v>
      </c>
    </row>
    <row r="29" customFormat="false" ht="15.75" hidden="false" customHeight="false" outlineLevel="0" collapsed="false">
      <c r="A29" s="129" t="str">
        <f aca="false">'Sovereign Ratings (Moody''s,S&amp;P)'!A29</f>
        <v>Canada</v>
      </c>
      <c r="B29" s="127" t="n">
        <f aca="false">VLOOKUP(A29,'Country GDP'!$A$2:$B$181,2,FALSE())</f>
        <v>2243636.82663376</v>
      </c>
      <c r="C29" s="48" t="str">
        <f aca="false">VLOOKUP(A29,'Sovereign Ratings (Moody''s,S&amp;P)'!$A$2:$D$158,4,FALSE())</f>
        <v>Aaa</v>
      </c>
      <c r="D29" s="50" t="n">
        <f aca="false">VLOOKUP(A29,'10-year CDS Spreads'!$A$2:$C$158,3,FALSE())</f>
        <v>0.0033</v>
      </c>
      <c r="E29" s="49" t="n">
        <f aca="false">VLOOKUP(A29,'ERPs by country'!$A$9:$F$165,4,FALSE())</f>
        <v>0</v>
      </c>
      <c r="F29" s="130" t="n">
        <f aca="false">VLOOKUP(A29,'ERPs by country'!$A$9:$F$165,5,FALSE())</f>
        <v>0.0423</v>
      </c>
      <c r="G29" s="52" t="n">
        <f aca="false">VLOOKUP(A29,'ERPs by country'!$A$9:$F$165,6,FALSE())</f>
        <v>0</v>
      </c>
      <c r="H29" s="52" t="n">
        <f aca="false">VLOOKUP(A29,'Country Tax Rates'!$A$2:$B$159,2,FALSE())</f>
        <v>0.2614</v>
      </c>
      <c r="I29" s="80" t="str">
        <f aca="false">VLOOKUP(A29,'Regional lookup table'!$A$2:$B$162,2,FALSE())</f>
        <v>North America</v>
      </c>
    </row>
    <row r="30" customFormat="false" ht="15.75" hidden="false" customHeight="false" outlineLevel="0" collapsed="false">
      <c r="A30" s="129" t="str">
        <f aca="false">'Sovereign Ratings (Moody''s,S&amp;P)'!A30</f>
        <v>Cape Verde</v>
      </c>
      <c r="B30" s="127" t="n">
        <f aca="false">VLOOKUP(A30,'Country GDP'!$A$2:$B$181,2,FALSE())</f>
        <v>2725.41415072735</v>
      </c>
      <c r="C30" s="48" t="str">
        <f aca="false">VLOOKUP(A30,'Sovereign Ratings (Moody''s,S&amp;P)'!$A$2:$D$158,4,FALSE())</f>
        <v>B2</v>
      </c>
      <c r="D30" s="50" t="str">
        <f aca="false">VLOOKUP(A30,'10-year CDS Spreads'!$A$2:$C$158,3,FALSE())</f>
        <v>NA</v>
      </c>
      <c r="E30" s="49" t="n">
        <f aca="false">VLOOKUP(A30,'ERPs by country'!$A$9:$F$165,4,FALSE())</f>
        <v>0.046744826272206</v>
      </c>
      <c r="F30" s="130" t="n">
        <f aca="false">VLOOKUP(A30,'ERPs by country'!$A$9:$F$165,5,FALSE())</f>
        <v>0.113510046109238</v>
      </c>
      <c r="G30" s="52" t="n">
        <f aca="false">VLOOKUP(A30,'ERPs by country'!$A$9:$F$165,6,FALSE())</f>
        <v>0.0712100461092384</v>
      </c>
      <c r="H30" s="52" t="n">
        <f aca="false">VLOOKUP(A30,'Country Tax Rates'!$A$2:$B$159,2,FALSE())</f>
        <v>0.2686</v>
      </c>
      <c r="I30" s="80" t="str">
        <f aca="false">VLOOKUP(A30,'Regional lookup table'!$A$2:$B$162,2,FALSE())</f>
        <v>Africa</v>
      </c>
    </row>
    <row r="31" customFormat="false" ht="15.75" hidden="false" customHeight="false" outlineLevel="0" collapsed="false">
      <c r="A31" s="129" t="str">
        <f aca="false">'Sovereign Ratings (Moody''s,S&amp;P)'!A31</f>
        <v>Cayman Islands</v>
      </c>
      <c r="B31" s="127" t="n">
        <f aca="false">VLOOKUP(A31,'Country GDP'!$A$2:$B$181,2,FALSE())</f>
        <v>7241.24426945972</v>
      </c>
      <c r="C31" s="48" t="str">
        <f aca="false">VLOOKUP(A31,'Sovereign Ratings (Moody''s,S&amp;P)'!$A$2:$D$158,4,FALSE())</f>
        <v>Aa3</v>
      </c>
      <c r="D31" s="50" t="str">
        <f aca="false">VLOOKUP(A31,'10-year CDS Spreads'!$A$2:$C$158,3,FALSE())</f>
        <v>NA</v>
      </c>
      <c r="E31" s="49" t="n">
        <f aca="false">VLOOKUP(A31,'ERPs by country'!$A$9:$F$165,4,FALSE())</f>
        <v>0.00509398747838143</v>
      </c>
      <c r="F31" s="130" t="n">
        <f aca="false">VLOOKUP(A31,'ERPs by country'!$A$9:$F$165,5,FALSE())</f>
        <v>0.0500600691272888</v>
      </c>
      <c r="G31" s="52" t="n">
        <f aca="false">VLOOKUP(A31,'ERPs by country'!$A$9:$F$165,6,FALSE())</f>
        <v>0.0077600691272888</v>
      </c>
      <c r="H31" s="52" t="n">
        <f aca="false">VLOOKUP(A31,'Country Tax Rates'!$A$2:$B$159,2,FALSE())</f>
        <v>0</v>
      </c>
      <c r="I31" s="80" t="str">
        <f aca="false">VLOOKUP(A31,'Regional lookup table'!$A$2:$B$162,2,FALSE())</f>
        <v>Caribbean</v>
      </c>
    </row>
    <row r="32" customFormat="false" ht="15.75" hidden="false" customHeight="false" outlineLevel="0" collapsed="false">
      <c r="A32" s="129" t="str">
        <f aca="false">'Sovereign Ratings (Moody''s,S&amp;P)'!A32</f>
        <v>Chile</v>
      </c>
      <c r="B32" s="127" t="n">
        <f aca="false">VLOOKUP(A32,'Country GDP'!$A$2:$B$181,2,FALSE())</f>
        <v>330267.137371592</v>
      </c>
      <c r="C32" s="48" t="str">
        <f aca="false">VLOOKUP(A32,'Sovereign Ratings (Moody''s,S&amp;P)'!$A$2:$D$158,4,FALSE())</f>
        <v>A2</v>
      </c>
      <c r="D32" s="50" t="n">
        <f aca="false">VLOOKUP(A32,'10-year CDS Spreads'!$A$2:$C$158,3,FALSE())</f>
        <v>0.0087</v>
      </c>
      <c r="E32" s="49" t="n">
        <f aca="false">VLOOKUP(A32,'ERPs by country'!$A$9:$F$165,4,FALSE())</f>
        <v>0.00719151173418554</v>
      </c>
      <c r="F32" s="130" t="n">
        <f aca="false">VLOOKUP(A32,'ERPs by country'!$A$9:$F$165,5,FALSE())</f>
        <v>0.0532553917091136</v>
      </c>
      <c r="G32" s="52" t="n">
        <f aca="false">VLOOKUP(A32,'ERPs by country'!$A$9:$F$165,6,FALSE())</f>
        <v>0.0109553917091136</v>
      </c>
      <c r="H32" s="52" t="n">
        <f aca="false">VLOOKUP(A32,'Country Tax Rates'!$A$2:$B$159,2,FALSE())</f>
        <v>0.27</v>
      </c>
      <c r="I32" s="80" t="str">
        <f aca="false">VLOOKUP(A32,'Regional lookup table'!$A$2:$B$162,2,FALSE())</f>
        <v>Central and South America</v>
      </c>
    </row>
    <row r="33" customFormat="false" ht="15.75" hidden="false" customHeight="false" outlineLevel="0" collapsed="false">
      <c r="A33" s="129" t="str">
        <f aca="false">'Sovereign Ratings (Moody''s,S&amp;P)'!A33</f>
        <v>China</v>
      </c>
      <c r="B33" s="127" t="n">
        <f aca="false">VLOOKUP(A33,'Country GDP'!$A$2:$B$181,2,FALSE())</f>
        <v>18743803.1708272</v>
      </c>
      <c r="C33" s="48" t="str">
        <f aca="false">VLOOKUP(A33,'Sovereign Ratings (Moody''s,S&amp;P)'!$A$2:$D$158,4,FALSE())</f>
        <v>A1</v>
      </c>
      <c r="D33" s="50" t="n">
        <f aca="false">VLOOKUP(A33,'10-year CDS Spreads'!$A$2:$C$158,3,FALSE())</f>
        <v>0.0064</v>
      </c>
      <c r="E33" s="49" t="n">
        <f aca="false">VLOOKUP(A33,'ERPs by country'!$A$9:$F$165,4,FALSE())</f>
        <v>0.00599292644515462</v>
      </c>
      <c r="F33" s="130" t="n">
        <f aca="false">VLOOKUP(A33,'ERPs by country'!$A$9:$F$165,5,FALSE())</f>
        <v>0.051429493090928</v>
      </c>
      <c r="G33" s="52" t="n">
        <f aca="false">VLOOKUP(A33,'ERPs by country'!$A$9:$F$165,6,FALSE())</f>
        <v>0.009129493090928</v>
      </c>
      <c r="H33" s="52" t="n">
        <f aca="false">VLOOKUP(A33,'Country Tax Rates'!$A$2:$B$159,2,FALSE())</f>
        <v>0.25</v>
      </c>
      <c r="I33" s="80" t="str">
        <f aca="false">VLOOKUP(A33,'Regional lookup table'!$A$2:$B$162,2,FALSE())</f>
        <v>Asia</v>
      </c>
    </row>
    <row r="34" customFormat="false" ht="15.75" hidden="false" customHeight="false" outlineLevel="0" collapsed="false">
      <c r="A34" s="129" t="str">
        <f aca="false">'Sovereign Ratings (Moody''s,S&amp;P)'!A34</f>
        <v>Colombia</v>
      </c>
      <c r="B34" s="127" t="n">
        <f aca="false">VLOOKUP(A34,'Country GDP'!$A$2:$B$181,2,FALSE())</f>
        <v>418818.154879271</v>
      </c>
      <c r="C34" s="48" t="str">
        <f aca="false">VLOOKUP(A34,'Sovereign Ratings (Moody''s,S&amp;P)'!$A$2:$D$158,4,FALSE())</f>
        <v>Baa3</v>
      </c>
      <c r="D34" s="50" t="n">
        <f aca="false">VLOOKUP(A34,'10-year CDS Spreads'!$A$2:$C$158,3,FALSE())</f>
        <v>0.0334</v>
      </c>
      <c r="E34" s="49" t="n">
        <f aca="false">VLOOKUP(A34,'ERPs by country'!$A$9:$F$165,4,FALSE())</f>
        <v>0.0186779540873986</v>
      </c>
      <c r="F34" s="130" t="n">
        <f aca="false">VLOOKUP(A34,'ERPs by country'!$A$9:$F$165,5,FALSE())</f>
        <v>0.0707535868000589</v>
      </c>
      <c r="G34" s="52" t="n">
        <f aca="false">VLOOKUP(A34,'ERPs by country'!$A$9:$F$165,6,FALSE())</f>
        <v>0.0284535868000589</v>
      </c>
      <c r="H34" s="52" t="n">
        <f aca="false">VLOOKUP(A34,'Country Tax Rates'!$A$2:$B$159,2,FALSE())</f>
        <v>0.35</v>
      </c>
      <c r="I34" s="80" t="str">
        <f aca="false">VLOOKUP(A34,'Regional lookup table'!$A$2:$B$162,2,FALSE())</f>
        <v>Central and South America</v>
      </c>
    </row>
    <row r="35" customFormat="false" ht="15.75" hidden="false" customHeight="false" outlineLevel="0" collapsed="false">
      <c r="A35" s="129" t="str">
        <f aca="false">'Sovereign Ratings (Moody''s,S&amp;P)'!A35</f>
        <v>Congo (Democratic Republic of)</v>
      </c>
      <c r="B35" s="127" t="n">
        <f aca="false">VLOOKUP(A35,'Country GDP'!$A$2:$B$181,2,FALSE())</f>
        <v>70962.1857907094</v>
      </c>
      <c r="C35" s="48" t="str">
        <f aca="false">VLOOKUP(A35,'Sovereign Ratings (Moody''s,S&amp;P)'!$A$2:$D$158,4,FALSE())</f>
        <v>B3</v>
      </c>
      <c r="D35" s="50" t="str">
        <f aca="false">VLOOKUP(A35,'10-year CDS Spreads'!$A$2:$C$158,3,FALSE())</f>
        <v>NA</v>
      </c>
      <c r="E35" s="49" t="n">
        <f aca="false">VLOOKUP(A35,'ERPs by country'!$A$9:$F$165,4,FALSE())</f>
        <v>0.0552348054028417</v>
      </c>
      <c r="F35" s="130" t="n">
        <f aca="false">VLOOKUP(A35,'ERPs by country'!$A$9:$F$165,5,FALSE())</f>
        <v>0.12644349465472</v>
      </c>
      <c r="G35" s="52" t="n">
        <f aca="false">VLOOKUP(A35,'ERPs by country'!$A$9:$F$165,6,FALSE())</f>
        <v>0.0841434946547197</v>
      </c>
      <c r="H35" s="52" t="n">
        <f aca="false">VLOOKUP(A35,'Country Tax Rates'!$A$2:$B$159,2,FALSE())</f>
        <v>0.3</v>
      </c>
      <c r="I35" s="80" t="str">
        <f aca="false">VLOOKUP(A35,'Regional lookup table'!$A$2:$B$162,2,FALSE())</f>
        <v>Africa</v>
      </c>
    </row>
    <row r="36" customFormat="false" ht="15.75" hidden="false" customHeight="false" outlineLevel="0" collapsed="false">
      <c r="A36" s="129" t="str">
        <f aca="false">'Sovereign Ratings (Moody''s,S&amp;P)'!A36</f>
        <v>Congo (Republic of)</v>
      </c>
      <c r="B36" s="127" t="n">
        <f aca="false">VLOOKUP(A36,'Country GDP'!$A$2:$B$181,2,FALSE())</f>
        <v>15719.9860766464</v>
      </c>
      <c r="C36" s="48" t="str">
        <f aca="false">VLOOKUP(A36,'Sovereign Ratings (Moody''s,S&amp;P)'!$A$2:$D$158,4,FALSE())</f>
        <v>Caa2</v>
      </c>
      <c r="D36" s="50" t="str">
        <f aca="false">VLOOKUP(A36,'10-year CDS Spreads'!$A$2:$C$158,3,FALSE())</f>
        <v>NA</v>
      </c>
      <c r="E36" s="49" t="n">
        <f aca="false">VLOOKUP(A36,'ERPs by country'!$A$9:$F$165,4,FALSE())</f>
        <v>0.0765096942831406</v>
      </c>
      <c r="F36" s="130" t="n">
        <f aca="false">VLOOKUP(A36,'ERPs by country'!$A$9:$F$165,5,FALSE())</f>
        <v>0.158853195127514</v>
      </c>
      <c r="G36" s="52" t="n">
        <f aca="false">VLOOKUP(A36,'ERPs by country'!$A$9:$F$165,6,FALSE())</f>
        <v>0.116553195127514</v>
      </c>
      <c r="H36" s="52" t="n">
        <f aca="false">VLOOKUP(A36,'Country Tax Rates'!$A$2:$B$159,2,FALSE())</f>
        <v>0.2686</v>
      </c>
      <c r="I36" s="80" t="str">
        <f aca="false">VLOOKUP(A36,'Regional lookup table'!$A$2:$B$162,2,FALSE())</f>
        <v>Africa</v>
      </c>
    </row>
    <row r="37" customFormat="false" ht="15.75" hidden="false" customHeight="false" outlineLevel="0" collapsed="false">
      <c r="A37" s="129" t="str">
        <f aca="false">'Sovereign Ratings (Moody''s,S&amp;P)'!A37</f>
        <v>Cook Islands</v>
      </c>
      <c r="B37" s="127" t="n">
        <f aca="false">VLOOKUP(A37,'Country GDP'!$A$2:$B$181,2,FALSE())</f>
        <v>1414</v>
      </c>
      <c r="C37" s="48" t="str">
        <f aca="false">VLOOKUP(A37,'Sovereign Ratings (Moody''s,S&amp;P)'!$A$2:$D$158,4,FALSE())</f>
        <v>B1</v>
      </c>
      <c r="D37" s="50" t="str">
        <f aca="false">VLOOKUP(A37,'10-year CDS Spreads'!$A$2:$C$158,3,FALSE())</f>
        <v>NA</v>
      </c>
      <c r="E37" s="49" t="n">
        <f aca="false">VLOOKUP(A37,'ERPs by country'!$A$9:$F$165,4,FALSE())</f>
        <v>0.0382548471415703</v>
      </c>
      <c r="F37" s="130" t="n">
        <f aca="false">VLOOKUP(A37,'ERPs by country'!$A$9:$F$165,5,FALSE())</f>
        <v>0.100576597563757</v>
      </c>
      <c r="G37" s="52" t="n">
        <f aca="false">VLOOKUP(A37,'ERPs by country'!$A$9:$F$165,6,FALSE())</f>
        <v>0.058276597563757</v>
      </c>
      <c r="H37" s="52" t="n">
        <f aca="false">VLOOKUP(A37,'Country Tax Rates'!$A$2:$B$159,2,FALSE())</f>
        <v>0.2</v>
      </c>
      <c r="I37" s="80" t="str">
        <f aca="false">VLOOKUP(A37,'Regional lookup table'!$A$2:$B$162,2,FALSE())</f>
        <v>Australia &amp; New Zealand</v>
      </c>
    </row>
    <row r="38" customFormat="false" ht="15.75" hidden="false" customHeight="false" outlineLevel="0" collapsed="false">
      <c r="A38" s="129" t="str">
        <f aca="false">'Sovereign Ratings (Moody''s,S&amp;P)'!A38</f>
        <v>Costa Rica</v>
      </c>
      <c r="B38" s="127" t="n">
        <f aca="false">VLOOKUP(A38,'Country GDP'!$A$2:$B$181,2,FALSE())</f>
        <v>95350.4231765962</v>
      </c>
      <c r="C38" s="48" t="str">
        <f aca="false">VLOOKUP(A38,'Sovereign Ratings (Moody''s,S&amp;P)'!$A$2:$D$158,4,FALSE())</f>
        <v>Ba2</v>
      </c>
      <c r="D38" s="50" t="n">
        <f aca="false">VLOOKUP(A38,'10-year CDS Spreads'!$A$2:$C$158,3,FALSE())</f>
        <v>0.0175</v>
      </c>
      <c r="E38" s="49" t="n">
        <f aca="false">VLOOKUP(A38,'ERPs by country'!$A$9:$F$165,4,FALSE())</f>
        <v>0.0255698194993264</v>
      </c>
      <c r="F38" s="130" t="n">
        <f aca="false">VLOOKUP(A38,'ERPs by country'!$A$9:$F$165,5,FALSE())</f>
        <v>0.0812525038546261</v>
      </c>
      <c r="G38" s="52" t="n">
        <f aca="false">VLOOKUP(A38,'ERPs by country'!$A$9:$F$165,6,FALSE())</f>
        <v>0.0389525038546261</v>
      </c>
      <c r="H38" s="52" t="n">
        <f aca="false">VLOOKUP(A38,'Country Tax Rates'!$A$2:$B$159,2,FALSE())</f>
        <v>0.3</v>
      </c>
      <c r="I38" s="80" t="str">
        <f aca="false">VLOOKUP(A38,'Regional lookup table'!$A$2:$B$162,2,FALSE())</f>
        <v>Central and South America</v>
      </c>
    </row>
    <row r="39" customFormat="false" ht="15.75" hidden="false" customHeight="false" outlineLevel="0" collapsed="false">
      <c r="A39" s="129" t="str">
        <f aca="false">'Sovereign Ratings (Moody''s,S&amp;P)'!A39</f>
        <v>Côte d'Ivoire</v>
      </c>
      <c r="B39" s="127" t="n">
        <f aca="false">VLOOKUP(A39,'Country GDP'!$A$2:$B$181,2,FALSE())</f>
        <v>87113.179149284</v>
      </c>
      <c r="C39" s="48" t="str">
        <f aca="false">VLOOKUP(A39,'Sovereign Ratings (Moody''s,S&amp;P)'!$A$2:$D$158,4,FALSE())</f>
        <v>Ba2</v>
      </c>
      <c r="D39" s="50" t="str">
        <f aca="false">VLOOKUP(A39,'10-year CDS Spreads'!$A$2:$C$158,3,FALSE())</f>
        <v>NA</v>
      </c>
      <c r="E39" s="49" t="n">
        <f aca="false">VLOOKUP(A39,'ERPs by country'!$A$9:$F$165,4,FALSE())</f>
        <v>0.0255698194993264</v>
      </c>
      <c r="F39" s="130" t="n">
        <f aca="false">VLOOKUP(A39,'ERPs by country'!$A$9:$F$165,5,FALSE())</f>
        <v>0.0812525038546261</v>
      </c>
      <c r="G39" s="52" t="n">
        <f aca="false">VLOOKUP(A39,'ERPs by country'!$A$9:$F$165,6,FALSE())</f>
        <v>0.0389525038546261</v>
      </c>
      <c r="H39" s="52" t="n">
        <f aca="false">VLOOKUP(A39,'Country Tax Rates'!$A$2:$B$159,2,FALSE())</f>
        <v>0.25</v>
      </c>
      <c r="I39" s="80" t="str">
        <f aca="false">VLOOKUP(A39,'Regional lookup table'!$A$2:$B$162,2,FALSE())</f>
        <v>Africa</v>
      </c>
    </row>
    <row r="40" customFormat="false" ht="15.75" hidden="false" customHeight="false" outlineLevel="0" collapsed="false">
      <c r="A40" s="129" t="str">
        <f aca="false">'Sovereign Ratings (Moody''s,S&amp;P)'!A40</f>
        <v>Croatia</v>
      </c>
      <c r="B40" s="127" t="n">
        <f aca="false">VLOOKUP(A40,'Country GDP'!$A$2:$B$181,2,FALSE())</f>
        <v>92983.8103289088</v>
      </c>
      <c r="C40" s="48" t="str">
        <f aca="false">VLOOKUP(A40,'Sovereign Ratings (Moody''s,S&amp;P)'!$A$2:$D$158,4,FALSE())</f>
        <v>A3</v>
      </c>
      <c r="D40" s="50" t="n">
        <f aca="false">VLOOKUP(A40,'10-year CDS Spreads'!$A$2:$C$158,3,FALSE())</f>
        <v>0.0102</v>
      </c>
      <c r="E40" s="49" t="n">
        <f aca="false">VLOOKUP(A40,'ERPs by country'!$A$9:$F$165,4,FALSE())</f>
        <v>0.0101879749567629</v>
      </c>
      <c r="F40" s="130" t="n">
        <f aca="false">VLOOKUP(A40,'ERPs by country'!$A$9:$F$165,5,FALSE())</f>
        <v>0.0578201382545776</v>
      </c>
      <c r="G40" s="52" t="n">
        <f aca="false">VLOOKUP(A40,'ERPs by country'!$A$9:$F$165,6,FALSE())</f>
        <v>0.0155201382545776</v>
      </c>
      <c r="H40" s="52" t="n">
        <f aca="false">VLOOKUP(A40,'Country Tax Rates'!$A$2:$B$159,2,FALSE())</f>
        <v>0.18</v>
      </c>
      <c r="I40" s="80" t="str">
        <f aca="false">VLOOKUP(A40,'Regional lookup table'!$A$2:$B$162,2,FALSE())</f>
        <v>Eastern Europe &amp; Russia</v>
      </c>
    </row>
    <row r="41" customFormat="false" ht="15.75" hidden="false" customHeight="false" outlineLevel="0" collapsed="false">
      <c r="A41" s="129" t="str">
        <f aca="false">'Sovereign Ratings (Moody''s,S&amp;P)'!A41</f>
        <v>Cuba</v>
      </c>
      <c r="B41" s="127" t="n">
        <f aca="false">VLOOKUP(A41,'Country GDP'!$A$2:$B$181,2,FALSE())</f>
        <v>107352</v>
      </c>
      <c r="C41" s="48" t="str">
        <f aca="false">VLOOKUP(A41,'Sovereign Ratings (Moody''s,S&amp;P)'!$A$2:$D$158,4,FALSE())</f>
        <v>Ca</v>
      </c>
      <c r="D41" s="50" t="str">
        <f aca="false">VLOOKUP(A41,'10-year CDS Spreads'!$A$2:$C$158,3,FALSE())</f>
        <v>NA</v>
      </c>
      <c r="E41" s="49" t="n">
        <f aca="false">VLOOKUP(A41,'ERPs by country'!$A$9:$F$165,4,FALSE())</f>
        <v>0.101979631675048</v>
      </c>
      <c r="F41" s="130" t="n">
        <f aca="false">VLOOKUP(A41,'ERPs by country'!$A$9:$F$165,5,FALSE())</f>
        <v>0.197653540763958</v>
      </c>
      <c r="G41" s="52" t="n">
        <f aca="false">VLOOKUP(A41,'ERPs by country'!$A$9:$F$165,6,FALSE())</f>
        <v>0.155353540763958</v>
      </c>
      <c r="H41" s="52" t="n">
        <f aca="false">VLOOKUP(A41,'Country Tax Rates'!$A$2:$B$159,2,FALSE())</f>
        <v>0.35</v>
      </c>
      <c r="I41" s="80" t="str">
        <f aca="false">VLOOKUP(A41,'Regional lookup table'!$A$2:$B$162,2,FALSE())</f>
        <v>Caribbean</v>
      </c>
    </row>
    <row r="42" customFormat="false" ht="15.75" hidden="false" customHeight="false" outlineLevel="0" collapsed="false">
      <c r="A42" s="129" t="str">
        <f aca="false">'Sovereign Ratings (Moody''s,S&amp;P)'!A42</f>
        <v>Curacao</v>
      </c>
      <c r="B42" s="127" t="n">
        <f aca="false">VLOOKUP(A42,'Country GDP'!$A$2:$B$181,2,FALSE())</f>
        <v>3561.17819620713</v>
      </c>
      <c r="C42" s="48" t="str">
        <f aca="false">VLOOKUP(A42,'Sovereign Ratings (Moody''s,S&amp;P)'!$A$2:$D$158,4,FALSE())</f>
        <v>Baa3</v>
      </c>
      <c r="D42" s="50" t="str">
        <f aca="false">VLOOKUP(A42,'10-year CDS Spreads'!$A$2:$C$158,3,FALSE())</f>
        <v>NA</v>
      </c>
      <c r="E42" s="49" t="n">
        <f aca="false">VLOOKUP(A42,'ERPs by country'!$A$9:$F$165,4,FALSE())</f>
        <v>0.0186779540873986</v>
      </c>
      <c r="F42" s="130" t="n">
        <f aca="false">VLOOKUP(A42,'ERPs by country'!$A$9:$F$165,5,FALSE())</f>
        <v>0.0707535868000589</v>
      </c>
      <c r="G42" s="52" t="n">
        <f aca="false">VLOOKUP(A42,'ERPs by country'!$A$9:$F$165,6,FALSE())</f>
        <v>0.0284535868000589</v>
      </c>
      <c r="H42" s="52" t="n">
        <f aca="false">VLOOKUP(A42,'Country Tax Rates'!$A$2:$B$159,2,FALSE())</f>
        <v>0.22</v>
      </c>
      <c r="I42" s="80" t="str">
        <f aca="false">VLOOKUP(A42,'Regional lookup table'!$A$2:$B$162,2,FALSE())</f>
        <v>Caribbean</v>
      </c>
    </row>
    <row r="43" customFormat="false" ht="15.75" hidden="false" customHeight="false" outlineLevel="0" collapsed="false">
      <c r="A43" s="129" t="str">
        <f aca="false">'Sovereign Ratings (Moody''s,S&amp;P)'!A43</f>
        <v>Cyprus</v>
      </c>
      <c r="B43" s="127" t="n">
        <f aca="false">VLOOKUP(A43,'Country GDP'!$A$2:$B$181,2,FALSE())</f>
        <v>37634.5333318902</v>
      </c>
      <c r="C43" s="48" t="str">
        <f aca="false">VLOOKUP(A43,'Sovereign Ratings (Moody''s,S&amp;P)'!$A$2:$D$158,4,FALSE())</f>
        <v>A3</v>
      </c>
      <c r="D43" s="50" t="n">
        <f aca="false">VLOOKUP(A43,'10-year CDS Spreads'!$A$2:$C$158,3,FALSE())</f>
        <v>0.0075</v>
      </c>
      <c r="E43" s="49" t="n">
        <f aca="false">VLOOKUP(A43,'ERPs by country'!$A$9:$F$165,4,FALSE())</f>
        <v>0.0101879749567629</v>
      </c>
      <c r="F43" s="130" t="n">
        <f aca="false">VLOOKUP(A43,'ERPs by country'!$A$9:$F$165,5,FALSE())</f>
        <v>0.0578201382545776</v>
      </c>
      <c r="G43" s="52" t="n">
        <f aca="false">VLOOKUP(A43,'ERPs by country'!$A$9:$F$165,6,FALSE())</f>
        <v>0.0155201382545776</v>
      </c>
      <c r="H43" s="52" t="n">
        <f aca="false">VLOOKUP(A43,'Country Tax Rates'!$A$2:$B$159,2,FALSE())</f>
        <v>0.125</v>
      </c>
      <c r="I43" s="80" t="str">
        <f aca="false">VLOOKUP(A43,'Regional lookup table'!$A$2:$B$162,2,FALSE())</f>
        <v>Western Europe</v>
      </c>
    </row>
    <row r="44" customFormat="false" ht="15.75" hidden="false" customHeight="false" outlineLevel="0" collapsed="false">
      <c r="A44" s="129" t="str">
        <f aca="false">'Sovereign Ratings (Moody''s,S&amp;P)'!A44</f>
        <v>Czech Republic</v>
      </c>
      <c r="B44" s="127" t="n">
        <f aca="false">VLOOKUP(A44,'Country GDP'!$A$2:$B$181,2,FALSE())</f>
        <v>347034.062928479</v>
      </c>
      <c r="C44" s="48" t="str">
        <f aca="false">VLOOKUP(A44,'Sovereign Ratings (Moody''s,S&amp;P)'!$A$2:$D$158,4,FALSE())</f>
        <v>Aa3</v>
      </c>
      <c r="D44" s="50" t="n">
        <f aca="false">VLOOKUP(A44,'10-year CDS Spreads'!$A$2:$C$158,3,FALSE())</f>
        <v>0.0048</v>
      </c>
      <c r="E44" s="49" t="n">
        <f aca="false">VLOOKUP(A44,'ERPs by country'!$A$9:$F$165,4,FALSE())</f>
        <v>0.00509398747838143</v>
      </c>
      <c r="F44" s="130" t="n">
        <f aca="false">VLOOKUP(A44,'ERPs by country'!$A$9:$F$165,5,FALSE())</f>
        <v>0.0500600691272888</v>
      </c>
      <c r="G44" s="52" t="n">
        <f aca="false">VLOOKUP(A44,'ERPs by country'!$A$9:$F$165,6,FALSE())</f>
        <v>0.0077600691272888</v>
      </c>
      <c r="H44" s="52" t="n">
        <f aca="false">VLOOKUP(A44,'Country Tax Rates'!$A$2:$B$159,2,FALSE())</f>
        <v>0.21</v>
      </c>
      <c r="I44" s="80" t="str">
        <f aca="false">VLOOKUP(A44,'Regional lookup table'!$A$2:$B$162,2,FALSE())</f>
        <v>Eastern Europe &amp; Russia</v>
      </c>
    </row>
    <row r="45" customFormat="false" ht="15.75" hidden="false" customHeight="false" outlineLevel="0" collapsed="false">
      <c r="A45" s="129" t="str">
        <f aca="false">'Sovereign Ratings (Moody''s,S&amp;P)'!A45</f>
        <v>Denmark</v>
      </c>
      <c r="B45" s="127" t="n">
        <f aca="false">VLOOKUP(A45,'Country GDP'!$A$2:$B$181,2,FALSE())</f>
        <v>424524.722037047</v>
      </c>
      <c r="C45" s="48" t="str">
        <f aca="false">VLOOKUP(A45,'Sovereign Ratings (Moody''s,S&amp;P)'!$A$2:$D$158,4,FALSE())</f>
        <v>Aaa</v>
      </c>
      <c r="D45" s="50" t="n">
        <f aca="false">VLOOKUP(A45,'10-year CDS Spreads'!$A$2:$C$158,3,FALSE())</f>
        <v>0.0018</v>
      </c>
      <c r="E45" s="49" t="n">
        <f aca="false">VLOOKUP(A45,'ERPs by country'!$A$9:$F$165,4,FALSE())</f>
        <v>0</v>
      </c>
      <c r="F45" s="130" t="n">
        <f aca="false">VLOOKUP(A45,'ERPs by country'!$A$9:$F$165,5,FALSE())</f>
        <v>0.0423</v>
      </c>
      <c r="G45" s="52" t="n">
        <f aca="false">VLOOKUP(A45,'ERPs by country'!$A$9:$F$165,6,FALSE())</f>
        <v>0</v>
      </c>
      <c r="H45" s="52" t="n">
        <f aca="false">VLOOKUP(A45,'Country Tax Rates'!$A$2:$B$159,2,FALSE())</f>
        <v>0.22</v>
      </c>
      <c r="I45" s="80" t="str">
        <f aca="false">VLOOKUP(A45,'Regional lookup table'!$A$2:$B$162,2,FALSE())</f>
        <v>Western Europe</v>
      </c>
    </row>
    <row r="46" customFormat="false" ht="15.75" hidden="false" customHeight="false" outlineLevel="0" collapsed="false">
      <c r="A46" s="129" t="str">
        <f aca="false">'Sovereign Ratings (Moody''s,S&amp;P)'!A46</f>
        <v>Dominican Republic</v>
      </c>
      <c r="B46" s="127" t="n">
        <f aca="false">VLOOKUP(A46,'Country GDP'!$A$2:$B$181,2,FALSE())</f>
        <v>124282.245638568</v>
      </c>
      <c r="C46" s="48" t="str">
        <f aca="false">VLOOKUP(A46,'Sovereign Ratings (Moody''s,S&amp;P)'!$A$2:$D$158,4,FALSE())</f>
        <v>Ba2</v>
      </c>
      <c r="D46" s="50" t="str">
        <f aca="false">VLOOKUP(A46,'10-year CDS Spreads'!$A$2:$C$158,3,FALSE())</f>
        <v>NA</v>
      </c>
      <c r="E46" s="49" t="n">
        <f aca="false">VLOOKUP(A46,'ERPs by country'!$A$9:$F$165,4,FALSE())</f>
        <v>0.0255698194993264</v>
      </c>
      <c r="F46" s="130" t="n">
        <f aca="false">VLOOKUP(A46,'ERPs by country'!$A$9:$F$165,5,FALSE())</f>
        <v>0.0812525038546261</v>
      </c>
      <c r="G46" s="52" t="n">
        <f aca="false">VLOOKUP(A46,'ERPs by country'!$A$9:$F$165,6,FALSE())</f>
        <v>0.0389525038546261</v>
      </c>
      <c r="H46" s="52" t="n">
        <f aca="false">VLOOKUP(A46,'Country Tax Rates'!$A$2:$B$159,2,FALSE())</f>
        <v>0.27</v>
      </c>
      <c r="I46" s="80" t="str">
        <f aca="false">VLOOKUP(A46,'Regional lookup table'!$A$2:$B$162,2,FALSE())</f>
        <v>Caribbean</v>
      </c>
    </row>
    <row r="47" customFormat="false" ht="15.75" hidden="false" customHeight="false" outlineLevel="0" collapsed="false">
      <c r="A47" s="129" t="str">
        <f aca="false">'Sovereign Ratings (Moody''s,S&amp;P)'!A47</f>
        <v>Ecuador</v>
      </c>
      <c r="B47" s="127" t="n">
        <f aca="false">VLOOKUP(A47,'Country GDP'!$A$2:$B$181,2,FALSE())</f>
        <v>124676.0747</v>
      </c>
      <c r="C47" s="48" t="str">
        <f aca="false">VLOOKUP(A47,'Sovereign Ratings (Moody''s,S&amp;P)'!$A$2:$D$158,4,FALSE())</f>
        <v>Caa3</v>
      </c>
      <c r="D47" s="50" t="n">
        <f aca="false">VLOOKUP(A47,'10-year CDS Spreads'!$A$2:$C$158,3,FALSE())</f>
        <v>0.0567</v>
      </c>
      <c r="E47" s="49" t="n">
        <f aca="false">VLOOKUP(A47,'ERPs by country'!$A$9:$F$165,4,FALSE())</f>
        <v>0.0849996734137763</v>
      </c>
      <c r="F47" s="130" t="n">
        <f aca="false">VLOOKUP(A47,'ERPs by country'!$A$9:$F$165,5,FALSE())</f>
        <v>0.171786643672995</v>
      </c>
      <c r="G47" s="52" t="n">
        <f aca="false">VLOOKUP(A47,'ERPs by country'!$A$9:$F$165,6,FALSE())</f>
        <v>0.129486643672995</v>
      </c>
      <c r="H47" s="52" t="n">
        <f aca="false">VLOOKUP(A47,'Country Tax Rates'!$A$2:$B$159,2,FALSE())</f>
        <v>0.25</v>
      </c>
      <c r="I47" s="80" t="str">
        <f aca="false">VLOOKUP(A47,'Regional lookup table'!$A$2:$B$162,2,FALSE())</f>
        <v>Central and South America</v>
      </c>
    </row>
    <row r="48" customFormat="false" ht="15.75" hidden="false" customHeight="false" outlineLevel="0" collapsed="false">
      <c r="A48" s="129" t="str">
        <f aca="false">'Sovereign Ratings (Moody''s,S&amp;P)'!A48</f>
        <v>Egypt</v>
      </c>
      <c r="B48" s="127" t="n">
        <f aca="false">VLOOKUP(A48,'Country GDP'!$A$2:$B$181,2,FALSE())</f>
        <v>389059.911003566</v>
      </c>
      <c r="C48" s="48" t="str">
        <f aca="false">VLOOKUP(A48,'Sovereign Ratings (Moody''s,S&amp;P)'!$A$2:$D$158,4,FALSE())</f>
        <v>Caa1</v>
      </c>
      <c r="D48" s="50" t="n">
        <f aca="false">VLOOKUP(A48,'10-year CDS Spreads'!$A$2:$C$158,3,FALSE())</f>
        <v>0.0355</v>
      </c>
      <c r="E48" s="49" t="n">
        <f aca="false">VLOOKUP(A48,'ERPs by country'!$A$9:$F$165,4,FALSE())</f>
        <v>0.0637247845334774</v>
      </c>
      <c r="F48" s="130" t="n">
        <f aca="false">VLOOKUP(A48,'ERPs by country'!$A$9:$F$165,5,FALSE())</f>
        <v>0.139376943200201</v>
      </c>
      <c r="G48" s="52" t="n">
        <f aca="false">VLOOKUP(A48,'ERPs by country'!$A$9:$F$165,6,FALSE())</f>
        <v>0.097076943200201</v>
      </c>
      <c r="H48" s="52" t="n">
        <f aca="false">VLOOKUP(A48,'Country Tax Rates'!$A$2:$B$159,2,FALSE())</f>
        <v>0.225</v>
      </c>
      <c r="I48" s="80" t="str">
        <f aca="false">VLOOKUP(A48,'Regional lookup table'!$A$2:$B$162,2,FALSE())</f>
        <v>Africa</v>
      </c>
    </row>
    <row r="49" customFormat="false" ht="15.75" hidden="false" customHeight="false" outlineLevel="0" collapsed="false">
      <c r="A49" s="129" t="str">
        <f aca="false">'Sovereign Ratings (Moody''s,S&amp;P)'!A49</f>
        <v>El Salvador</v>
      </c>
      <c r="B49" s="127" t="n">
        <f aca="false">VLOOKUP(A49,'Country GDP'!$A$2:$B$181,2,FALSE())</f>
        <v>35364.96</v>
      </c>
      <c r="C49" s="48" t="str">
        <f aca="false">VLOOKUP(A49,'Sovereign Ratings (Moody''s,S&amp;P)'!$A$2:$D$158,4,FALSE())</f>
        <v>B3</v>
      </c>
      <c r="D49" s="50" t="n">
        <f aca="false">VLOOKUP(A49,'10-year CDS Spreads'!$A$2:$C$158,3,FALSE())</f>
        <v>0.034</v>
      </c>
      <c r="E49" s="49" t="n">
        <f aca="false">VLOOKUP(A49,'ERPs by country'!$A$9:$F$165,4,FALSE())</f>
        <v>0.0552348054028417</v>
      </c>
      <c r="F49" s="130" t="n">
        <f aca="false">VLOOKUP(A49,'ERPs by country'!$A$9:$F$165,5,FALSE())</f>
        <v>0.12644349465472</v>
      </c>
      <c r="G49" s="52" t="n">
        <f aca="false">VLOOKUP(A49,'ERPs by country'!$A$9:$F$165,6,FALSE())</f>
        <v>0.0841434946547197</v>
      </c>
      <c r="H49" s="52" t="n">
        <f aca="false">VLOOKUP(A49,'Country Tax Rates'!$A$2:$B$159,2,FALSE())</f>
        <v>0.3</v>
      </c>
      <c r="I49" s="80" t="str">
        <f aca="false">VLOOKUP(A49,'Regional lookup table'!$A$2:$B$162,2,FALSE())</f>
        <v>Central and South America</v>
      </c>
    </row>
    <row r="50" customFormat="false" ht="15.75" hidden="false" customHeight="false" outlineLevel="0" collapsed="false">
      <c r="A50" s="129" t="str">
        <f aca="false">'Sovereign Ratings (Moody''s,S&amp;P)'!A50</f>
        <v>Estonia</v>
      </c>
      <c r="B50" s="127" t="n">
        <f aca="false">VLOOKUP(A50,'Country GDP'!$A$2:$B$181,2,FALSE())</f>
        <v>43130.41982935</v>
      </c>
      <c r="C50" s="48" t="str">
        <f aca="false">VLOOKUP(A50,'Sovereign Ratings (Moody''s,S&amp;P)'!$A$2:$D$158,4,FALSE())</f>
        <v>A1</v>
      </c>
      <c r="D50" s="50" t="n">
        <f aca="false">VLOOKUP(A50,'10-year CDS Spreads'!$A$2:$C$158,3,FALSE())</f>
        <v>0.01</v>
      </c>
      <c r="E50" s="49" t="n">
        <f aca="false">VLOOKUP(A50,'ERPs by country'!$A$9:$F$165,4,FALSE())</f>
        <v>0.00599292644515462</v>
      </c>
      <c r="F50" s="130" t="n">
        <f aca="false">VLOOKUP(A50,'ERPs by country'!$A$9:$F$165,5,FALSE())</f>
        <v>0.051429493090928</v>
      </c>
      <c r="G50" s="52" t="n">
        <f aca="false">VLOOKUP(A50,'ERPs by country'!$A$9:$F$165,6,FALSE())</f>
        <v>0.009129493090928</v>
      </c>
      <c r="H50" s="52" t="n">
        <f aca="false">VLOOKUP(A50,'Country Tax Rates'!$A$2:$B$159,2,FALSE())</f>
        <v>0.2</v>
      </c>
      <c r="I50" s="80" t="str">
        <f aca="false">VLOOKUP(A50,'Regional lookup table'!$A$2:$B$162,2,FALSE())</f>
        <v>Eastern Europe &amp; Russia</v>
      </c>
    </row>
    <row r="51" customFormat="false" ht="15.75" hidden="false" customHeight="false" outlineLevel="0" collapsed="false">
      <c r="A51" s="129" t="str">
        <f aca="false">'Sovereign Ratings (Moody''s,S&amp;P)'!A51</f>
        <v>Ethiopia</v>
      </c>
      <c r="B51" s="127" t="n">
        <f aca="false">VLOOKUP(A51,'Country GDP'!$A$2:$B$181,2,FALSE())</f>
        <v>149740.297952986</v>
      </c>
      <c r="C51" s="48" t="str">
        <f aca="false">VLOOKUP(A51,'Sovereign Ratings (Moody''s,S&amp;P)'!$A$2:$D$158,4,FALSE())</f>
        <v>Caa2</v>
      </c>
      <c r="D51" s="50" t="str">
        <f aca="false">VLOOKUP(A51,'10-year CDS Spreads'!$A$2:$C$158,3,FALSE())</f>
        <v>NA</v>
      </c>
      <c r="E51" s="49" t="n">
        <f aca="false">VLOOKUP(A51,'ERPs by country'!$A$9:$F$165,4,FALSE())</f>
        <v>0.0765096942831406</v>
      </c>
      <c r="F51" s="130" t="n">
        <f aca="false">VLOOKUP(A51,'ERPs by country'!$A$9:$F$165,5,FALSE())</f>
        <v>0.158853195127514</v>
      </c>
      <c r="G51" s="52" t="n">
        <f aca="false">VLOOKUP(A51,'ERPs by country'!$A$9:$F$165,6,FALSE())</f>
        <v>0.116553195127514</v>
      </c>
      <c r="H51" s="52" t="n">
        <f aca="false">VLOOKUP(A51,'Country Tax Rates'!$A$2:$B$159,2,FALSE())</f>
        <v>0.3</v>
      </c>
      <c r="I51" s="80" t="str">
        <f aca="false">VLOOKUP(A51,'Regional lookup table'!$A$2:$B$162,2,FALSE())</f>
        <v>Africa</v>
      </c>
    </row>
    <row r="52" customFormat="false" ht="15.75" hidden="false" customHeight="false" outlineLevel="0" collapsed="false">
      <c r="A52" s="129" t="str">
        <f aca="false">'Sovereign Ratings (Moody''s,S&amp;P)'!A52</f>
        <v>Fiji</v>
      </c>
      <c r="B52" s="127" t="n">
        <f aca="false">VLOOKUP(A52,'Country GDP'!$A$2:$B$181,2,FALSE())</f>
        <v>5968.12590927126</v>
      </c>
      <c r="C52" s="48" t="str">
        <f aca="false">VLOOKUP(A52,'Sovereign Ratings (Moody''s,S&amp;P)'!$A$2:$D$158,4,FALSE())</f>
        <v>B1</v>
      </c>
      <c r="D52" s="50" t="str">
        <f aca="false">VLOOKUP(A52,'10-year CDS Spreads'!$A$2:$C$158,3,FALSE())</f>
        <v>NA</v>
      </c>
      <c r="E52" s="49" t="n">
        <f aca="false">VLOOKUP(A52,'ERPs by country'!$A$9:$F$165,4,FALSE())</f>
        <v>0.0382548471415703</v>
      </c>
      <c r="F52" s="130" t="n">
        <f aca="false">VLOOKUP(A52,'ERPs by country'!$A$9:$F$165,5,FALSE())</f>
        <v>0.100576597563757</v>
      </c>
      <c r="G52" s="52" t="n">
        <f aca="false">VLOOKUP(A52,'ERPs by country'!$A$9:$F$165,6,FALSE())</f>
        <v>0.058276597563757</v>
      </c>
      <c r="H52" s="52" t="n">
        <f aca="false">VLOOKUP(A52,'Country Tax Rates'!$A$2:$B$159,2,FALSE())</f>
        <v>0.25</v>
      </c>
      <c r="I52" s="80" t="str">
        <f aca="false">VLOOKUP(A52,'Regional lookup table'!$A$2:$B$162,2,FALSE())</f>
        <v>Asia</v>
      </c>
    </row>
    <row r="53" customFormat="false" ht="15.75" hidden="false" customHeight="false" outlineLevel="0" collapsed="false">
      <c r="A53" s="129" t="str">
        <f aca="false">'Sovereign Ratings (Moody''s,S&amp;P)'!A53</f>
        <v>Finland</v>
      </c>
      <c r="B53" s="127" t="n">
        <f aca="false">VLOOKUP(A53,'Country GDP'!$A$2:$B$181,2,FALSE())</f>
        <v>298696.961297656</v>
      </c>
      <c r="C53" s="48" t="str">
        <f aca="false">VLOOKUP(A53,'Sovereign Ratings (Moody''s,S&amp;P)'!$A$2:$D$158,4,FALSE())</f>
        <v>Aa1</v>
      </c>
      <c r="D53" s="50" t="n">
        <f aca="false">VLOOKUP(A53,'10-year CDS Spreads'!$A$2:$C$158,3,FALSE())</f>
        <v>0.0026</v>
      </c>
      <c r="E53" s="49" t="n">
        <f aca="false">VLOOKUP(A53,'ERPs by country'!$A$9:$F$165,4,FALSE())</f>
        <v>0.00233367916999202</v>
      </c>
      <c r="F53" s="130" t="n">
        <f aca="false">VLOOKUP(A53,'ERPs by country'!$A$9:$F$165,5,FALSE())</f>
        <v>0.0458550758137721</v>
      </c>
      <c r="G53" s="52" t="n">
        <f aca="false">VLOOKUP(A53,'ERPs by country'!$A$9:$F$165,6,FALSE())</f>
        <v>0.00355507581377215</v>
      </c>
      <c r="H53" s="52" t="n">
        <f aca="false">VLOOKUP(A53,'Country Tax Rates'!$A$2:$B$159,2,FALSE())</f>
        <v>0.2</v>
      </c>
      <c r="I53" s="80" t="str">
        <f aca="false">VLOOKUP(A53,'Regional lookup table'!$A$2:$B$162,2,FALSE())</f>
        <v>Western Europe</v>
      </c>
    </row>
    <row r="54" customFormat="false" ht="15.75" hidden="false" customHeight="false" outlineLevel="0" collapsed="false">
      <c r="A54" s="129" t="str">
        <f aca="false">'Sovereign Ratings (Moody''s,S&amp;P)'!A54</f>
        <v>France</v>
      </c>
      <c r="B54" s="127" t="n">
        <f aca="false">VLOOKUP(A54,'Country GDP'!$A$2:$B$181,2,FALSE())</f>
        <v>3160442.62246508</v>
      </c>
      <c r="C54" s="48" t="str">
        <f aca="false">VLOOKUP(A54,'Sovereign Ratings (Moody''s,S&amp;P)'!$A$2:$D$158,4,FALSE())</f>
        <v>Aa3</v>
      </c>
      <c r="D54" s="50" t="n">
        <f aca="false">VLOOKUP(A54,'10-year CDS Spreads'!$A$2:$C$158,3,FALSE())</f>
        <v>0.0064</v>
      </c>
      <c r="E54" s="49" t="n">
        <f aca="false">VLOOKUP(A54,'ERPs by country'!$A$9:$F$165,4,FALSE())</f>
        <v>0.00509398747838143</v>
      </c>
      <c r="F54" s="130" t="n">
        <f aca="false">VLOOKUP(A54,'ERPs by country'!$A$9:$F$165,5,FALSE())</f>
        <v>0.0500600691272888</v>
      </c>
      <c r="G54" s="52" t="n">
        <f aca="false">VLOOKUP(A54,'ERPs by country'!$A$9:$F$165,6,FALSE())</f>
        <v>0.0077600691272888</v>
      </c>
      <c r="H54" s="52" t="n">
        <f aca="false">VLOOKUP(A54,'Country Tax Rates'!$A$2:$B$159,2,FALSE())</f>
        <v>0.2583</v>
      </c>
      <c r="I54" s="80" t="str">
        <f aca="false">VLOOKUP(A54,'Regional lookup table'!$A$2:$B$162,2,FALSE())</f>
        <v>Western Europe</v>
      </c>
    </row>
    <row r="55" customFormat="false" ht="15.75" hidden="false" customHeight="false" outlineLevel="0" collapsed="false">
      <c r="A55" s="129" t="str">
        <f aca="false">'Sovereign Ratings (Moody''s,S&amp;P)'!A55</f>
        <v>Gabon</v>
      </c>
      <c r="B55" s="127" t="n">
        <f aca="false">VLOOKUP(A55,'Country GDP'!$A$2:$B$181,2,FALSE())</f>
        <v>20895.6844256752</v>
      </c>
      <c r="C55" s="48" t="str">
        <f aca="false">VLOOKUP(A55,'Sovereign Ratings (Moody''s,S&amp;P)'!$A$2:$D$158,4,FALSE())</f>
        <v>Caa2</v>
      </c>
      <c r="D55" s="50" t="str">
        <f aca="false">VLOOKUP(A55,'10-year CDS Spreads'!$A$2:$C$158,3,FALSE())</f>
        <v>NA</v>
      </c>
      <c r="E55" s="49" t="n">
        <f aca="false">VLOOKUP(A55,'ERPs by country'!$A$9:$F$165,4,FALSE())</f>
        <v>0.0765096942831406</v>
      </c>
      <c r="F55" s="130" t="n">
        <f aca="false">VLOOKUP(A55,'ERPs by country'!$A$9:$F$165,5,FALSE())</f>
        <v>0.158853195127514</v>
      </c>
      <c r="G55" s="52" t="n">
        <f aca="false">VLOOKUP(A55,'ERPs by country'!$A$9:$F$165,6,FALSE())</f>
        <v>0.116553195127514</v>
      </c>
      <c r="H55" s="52" t="n">
        <f aca="false">VLOOKUP(A55,'Country Tax Rates'!$A$2:$B$159,2,FALSE())</f>
        <v>0.3</v>
      </c>
      <c r="I55" s="80" t="str">
        <f aca="false">VLOOKUP(A55,'Regional lookup table'!$A$2:$B$162,2,FALSE())</f>
        <v>Africa</v>
      </c>
    </row>
    <row r="56" customFormat="false" ht="15.75" hidden="false" customHeight="false" outlineLevel="0" collapsed="false">
      <c r="A56" s="129" t="str">
        <f aca="false">'Sovereign Ratings (Moody''s,S&amp;P)'!A56</f>
        <v>Georgia</v>
      </c>
      <c r="B56" s="127" t="n">
        <f aca="false">VLOOKUP(A56,'Country GDP'!$A$2:$B$181,2,FALSE())</f>
        <v>34189.4235449955</v>
      </c>
      <c r="C56" s="48" t="str">
        <f aca="false">VLOOKUP(A56,'Sovereign Ratings (Moody''s,S&amp;P)'!$A$2:$D$158,4,FALSE())</f>
        <v>Ba2</v>
      </c>
      <c r="D56" s="50" t="str">
        <f aca="false">VLOOKUP(A56,'10-year CDS Spreads'!$A$2:$C$158,3,FALSE())</f>
        <v>NA</v>
      </c>
      <c r="E56" s="49" t="n">
        <f aca="false">VLOOKUP(A56,'ERPs by country'!$A$9:$F$165,4,FALSE())</f>
        <v>0.0255698194993264</v>
      </c>
      <c r="F56" s="130" t="n">
        <f aca="false">VLOOKUP(A56,'ERPs by country'!$A$9:$F$165,5,FALSE())</f>
        <v>0.0812525038546261</v>
      </c>
      <c r="G56" s="52" t="n">
        <f aca="false">VLOOKUP(A56,'ERPs by country'!$A$9:$F$165,6,FALSE())</f>
        <v>0.0389525038546261</v>
      </c>
      <c r="H56" s="52" t="n">
        <f aca="false">VLOOKUP(A56,'Country Tax Rates'!$A$2:$B$159,2,FALSE())</f>
        <v>0.15</v>
      </c>
      <c r="I56" s="80" t="str">
        <f aca="false">VLOOKUP(A56,'Regional lookup table'!$A$2:$B$162,2,FALSE())</f>
        <v>Eastern Europe &amp; Russia</v>
      </c>
    </row>
    <row r="57" customFormat="false" ht="15.75" hidden="false" customHeight="false" outlineLevel="0" collapsed="false">
      <c r="A57" s="129" t="str">
        <f aca="false">'Sovereign Ratings (Moody''s,S&amp;P)'!A57</f>
        <v>Germany</v>
      </c>
      <c r="B57" s="127" t="n">
        <f aca="false">VLOOKUP(A57,'Country GDP'!$A$2:$B$181,2,FALSE())</f>
        <v>4685592.57780469</v>
      </c>
      <c r="C57" s="48" t="str">
        <f aca="false">VLOOKUP(A57,'Sovereign Ratings (Moody''s,S&amp;P)'!$A$2:$D$158,4,FALSE())</f>
        <v>Aaa</v>
      </c>
      <c r="D57" s="50" t="n">
        <f aca="false">VLOOKUP(A57,'10-year CDS Spreads'!$A$2:$C$158,3,FALSE())</f>
        <v>0.0021</v>
      </c>
      <c r="E57" s="49" t="n">
        <f aca="false">VLOOKUP(A57,'ERPs by country'!$A$9:$F$165,4,FALSE())</f>
        <v>0</v>
      </c>
      <c r="F57" s="130" t="n">
        <f aca="false">VLOOKUP(A57,'ERPs by country'!$A$9:$F$165,5,FALSE())</f>
        <v>0.0423</v>
      </c>
      <c r="G57" s="52" t="n">
        <f aca="false">VLOOKUP(A57,'ERPs by country'!$A$9:$F$165,6,FALSE())</f>
        <v>0</v>
      </c>
      <c r="H57" s="52" t="n">
        <f aca="false">VLOOKUP(A57,'Country Tax Rates'!$A$2:$B$159,2,FALSE())</f>
        <v>0.2993</v>
      </c>
      <c r="I57" s="80" t="str">
        <f aca="false">VLOOKUP(A57,'Regional lookup table'!$A$2:$B$162,2,FALSE())</f>
        <v>Western Europe</v>
      </c>
    </row>
    <row r="58" customFormat="false" ht="15.75" hidden="false" customHeight="false" outlineLevel="0" collapsed="false">
      <c r="A58" s="129" t="str">
        <f aca="false">'Sovereign Ratings (Moody''s,S&amp;P)'!A58</f>
        <v>Ghana</v>
      </c>
      <c r="B58" s="127" t="n">
        <f aca="false">VLOOKUP(A58,'Country GDP'!$A$2:$B$181,2,FALSE())</f>
        <v>82308.1103864641</v>
      </c>
      <c r="C58" s="48" t="str">
        <f aca="false">VLOOKUP(A58,'Sovereign Ratings (Moody''s,S&amp;P)'!$A$2:$D$158,4,FALSE())</f>
        <v>Caa1</v>
      </c>
      <c r="D58" s="50" t="str">
        <f aca="false">VLOOKUP(A58,'10-year CDS Spreads'!$A$2:$C$158,3,FALSE())</f>
        <v>NA</v>
      </c>
      <c r="E58" s="49" t="n">
        <f aca="false">VLOOKUP(A58,'ERPs by country'!$A$9:$F$165,4,FALSE())</f>
        <v>0.0637247845334774</v>
      </c>
      <c r="F58" s="130" t="n">
        <f aca="false">VLOOKUP(A58,'ERPs by country'!$A$9:$F$165,5,FALSE())</f>
        <v>0.139376943200201</v>
      </c>
      <c r="G58" s="52" t="n">
        <f aca="false">VLOOKUP(A58,'ERPs by country'!$A$9:$F$165,6,FALSE())</f>
        <v>0.097076943200201</v>
      </c>
      <c r="H58" s="52" t="n">
        <f aca="false">VLOOKUP(A58,'Country Tax Rates'!$A$2:$B$159,2,FALSE())</f>
        <v>0.25</v>
      </c>
      <c r="I58" s="80" t="str">
        <f aca="false">VLOOKUP(A58,'Regional lookup table'!$A$2:$B$162,2,FALSE())</f>
        <v>Africa</v>
      </c>
    </row>
    <row r="59" customFormat="false" ht="15.75" hidden="false" customHeight="false" outlineLevel="0" collapsed="false">
      <c r="A59" s="129" t="str">
        <f aca="false">'Sovereign Ratings (Moody''s,S&amp;P)'!A59</f>
        <v>Greece</v>
      </c>
      <c r="B59" s="127" t="n">
        <f aca="false">VLOOKUP(A59,'Country GDP'!$A$2:$B$181,2,FALSE())</f>
        <v>256238.371778118</v>
      </c>
      <c r="C59" s="48" t="str">
        <f aca="false">VLOOKUP(A59,'Sovereign Ratings (Moody''s,S&amp;P)'!$A$2:$D$158,4,FALSE())</f>
        <v>Baa3</v>
      </c>
      <c r="D59" s="50" t="n">
        <f aca="false">VLOOKUP(A59,'10-year CDS Spreads'!$A$2:$C$158,3,FALSE())</f>
        <v>0.0075</v>
      </c>
      <c r="E59" s="49" t="n">
        <f aca="false">VLOOKUP(A59,'ERPs by country'!$A$9:$F$165,4,FALSE())</f>
        <v>0.0186779540873986</v>
      </c>
      <c r="F59" s="130" t="n">
        <f aca="false">VLOOKUP(A59,'ERPs by country'!$A$9:$F$165,5,FALSE())</f>
        <v>0.0707535868000589</v>
      </c>
      <c r="G59" s="52" t="n">
        <f aca="false">VLOOKUP(A59,'ERPs by country'!$A$9:$F$165,6,FALSE())</f>
        <v>0.0284535868000589</v>
      </c>
      <c r="H59" s="52" t="n">
        <f aca="false">VLOOKUP(A59,'Country Tax Rates'!$A$2:$B$159,2,FALSE())</f>
        <v>0.22</v>
      </c>
      <c r="I59" s="80" t="str">
        <f aca="false">VLOOKUP(A59,'Regional lookup table'!$A$2:$B$162,2,FALSE())</f>
        <v>Western Europe</v>
      </c>
    </row>
    <row r="60" customFormat="false" ht="15.75" hidden="false" customHeight="false" outlineLevel="0" collapsed="false">
      <c r="A60" s="129" t="str">
        <f aca="false">'Sovereign Ratings (Moody''s,S&amp;P)'!A60</f>
        <v>Guatemala</v>
      </c>
      <c r="B60" s="127" t="n">
        <f aca="false">VLOOKUP(A60,'Country GDP'!$A$2:$B$181,2,FALSE())</f>
        <v>113199.581158203</v>
      </c>
      <c r="C60" s="48" t="str">
        <f aca="false">VLOOKUP(A60,'Sovereign Ratings (Moody''s,S&amp;P)'!$A$2:$D$158,4,FALSE())</f>
        <v>Ba1</v>
      </c>
      <c r="D60" s="50" t="str">
        <f aca="false">VLOOKUP(A60,'10-year CDS Spreads'!$A$2:$C$158,3,FALSE())</f>
        <v>NA</v>
      </c>
      <c r="E60" s="49" t="n">
        <f aca="false">VLOOKUP(A60,'ERPs by country'!$A$9:$F$165,4,FALSE())</f>
        <v>0.0212748888802989</v>
      </c>
      <c r="F60" s="130" t="n">
        <f aca="false">VLOOKUP(A60,'ERPs by country'!$A$9:$F$165,5,FALSE())</f>
        <v>0.0747097004727944</v>
      </c>
      <c r="G60" s="52" t="n">
        <f aca="false">VLOOKUP(A60,'ERPs by country'!$A$9:$F$165,6,FALSE())</f>
        <v>0.0324097004727944</v>
      </c>
      <c r="H60" s="52" t="n">
        <f aca="false">VLOOKUP(A60,'Country Tax Rates'!$A$2:$B$159,2,FALSE())</f>
        <v>0.25</v>
      </c>
      <c r="I60" s="80" t="str">
        <f aca="false">VLOOKUP(A60,'Regional lookup table'!$A$2:$B$162,2,FALSE())</f>
        <v>Central and South America</v>
      </c>
    </row>
    <row r="61" customFormat="false" ht="15.75" hidden="false" customHeight="false" outlineLevel="0" collapsed="false">
      <c r="A61" s="129" t="str">
        <f aca="false">'Sovereign Ratings (Moody''s,S&amp;P)'!A61</f>
        <v>Guernsey (States of)</v>
      </c>
      <c r="B61" s="127" t="n">
        <f aca="false">VLOOKUP(A61,'Country GDP'!$A$2:$B$181,2,FALSE())</f>
        <v>3446</v>
      </c>
      <c r="C61" s="48" t="str">
        <f aca="false">VLOOKUP(A61,'Sovereign Ratings (Moody''s,S&amp;P)'!$A$2:$D$158,4,FALSE())</f>
        <v>A1</v>
      </c>
      <c r="D61" s="50" t="str">
        <f aca="false">VLOOKUP(A61,'10-year CDS Spreads'!$A$2:$C$158,3,FALSE())</f>
        <v>NA</v>
      </c>
      <c r="E61" s="49" t="n">
        <f aca="false">VLOOKUP(A61,'ERPs by country'!$A$9:$F$165,4,FALSE())</f>
        <v>0.00599292644515462</v>
      </c>
      <c r="F61" s="130" t="n">
        <f aca="false">VLOOKUP(A61,'ERPs by country'!$A$9:$F$165,5,FALSE())</f>
        <v>0.051429493090928</v>
      </c>
      <c r="G61" s="52" t="n">
        <f aca="false">VLOOKUP(A61,'ERPs by country'!$A$9:$F$165,6,FALSE())</f>
        <v>0.009129493090928</v>
      </c>
      <c r="H61" s="52" t="n">
        <f aca="false">VLOOKUP(A61,'Country Tax Rates'!$A$2:$B$159,2,FALSE())</f>
        <v>0</v>
      </c>
      <c r="I61" s="80" t="str">
        <f aca="false">VLOOKUP(A61,'Regional lookup table'!$A$2:$B$162,2,FALSE())</f>
        <v>Western Europe</v>
      </c>
    </row>
    <row r="62" customFormat="false" ht="15.75" hidden="false" customHeight="false" outlineLevel="0" collapsed="false">
      <c r="A62" s="129" t="str">
        <f aca="false">'Sovereign Ratings (Moody''s,S&amp;P)'!A62</f>
        <v>Honduras</v>
      </c>
      <c r="B62" s="127" t="n">
        <f aca="false">VLOOKUP(A62,'Country GDP'!$A$2:$B$181,2,FALSE())</f>
        <v>37093.5658540437</v>
      </c>
      <c r="C62" s="48" t="str">
        <f aca="false">VLOOKUP(A62,'Sovereign Ratings (Moody''s,S&amp;P)'!$A$2:$D$158,4,FALSE())</f>
        <v>B1</v>
      </c>
      <c r="D62" s="50" t="str">
        <f aca="false">VLOOKUP(A62,'10-year CDS Spreads'!$A$2:$C$158,3,FALSE())</f>
        <v>NA</v>
      </c>
      <c r="E62" s="49" t="n">
        <f aca="false">VLOOKUP(A62,'ERPs by country'!$A$9:$F$165,4,FALSE())</f>
        <v>0.0382548471415703</v>
      </c>
      <c r="F62" s="130" t="n">
        <f aca="false">VLOOKUP(A62,'ERPs by country'!$A$9:$F$165,5,FALSE())</f>
        <v>0.100576597563757</v>
      </c>
      <c r="G62" s="52" t="n">
        <f aca="false">VLOOKUP(A62,'ERPs by country'!$A$9:$F$165,6,FALSE())</f>
        <v>0.058276597563757</v>
      </c>
      <c r="H62" s="52" t="n">
        <f aca="false">VLOOKUP(A62,'Country Tax Rates'!$A$2:$B$159,2,FALSE())</f>
        <v>0.3</v>
      </c>
      <c r="I62" s="80" t="str">
        <f aca="false">VLOOKUP(A62,'Regional lookup table'!$A$2:$B$162,2,FALSE())</f>
        <v>Central and South America</v>
      </c>
    </row>
    <row r="63" customFormat="false" ht="15.75" hidden="false" customHeight="false" outlineLevel="0" collapsed="false">
      <c r="A63" s="129" t="str">
        <f aca="false">'Sovereign Ratings (Moody''s,S&amp;P)'!A63</f>
        <v>Hong Kong</v>
      </c>
      <c r="B63" s="127" t="n">
        <f aca="false">VLOOKUP(A63,'Country GDP'!$A$2:$B$181,2,FALSE())</f>
        <v>406863.396487342</v>
      </c>
      <c r="C63" s="48" t="str">
        <f aca="false">VLOOKUP(A63,'Sovereign Ratings (Moody''s,S&amp;P)'!$A$2:$D$158,4,FALSE())</f>
        <v>Aa3</v>
      </c>
      <c r="D63" s="50" t="n">
        <f aca="false">VLOOKUP(A63,'10-year CDS Spreads'!$A$2:$C$158,3,FALSE())</f>
        <v>0.0044</v>
      </c>
      <c r="E63" s="49" t="n">
        <f aca="false">VLOOKUP(A63,'ERPs by country'!$A$9:$F$165,4,FALSE())</f>
        <v>0.00509398747838143</v>
      </c>
      <c r="F63" s="130" t="n">
        <f aca="false">VLOOKUP(A63,'ERPs by country'!$A$9:$F$165,5,FALSE())</f>
        <v>0.0500600691272888</v>
      </c>
      <c r="G63" s="52" t="n">
        <f aca="false">VLOOKUP(A63,'ERPs by country'!$A$9:$F$165,6,FALSE())</f>
        <v>0.0077600691272888</v>
      </c>
      <c r="H63" s="52" t="n">
        <f aca="false">VLOOKUP(A63,'Country Tax Rates'!$A$2:$B$159,2,FALSE())</f>
        <v>0.165</v>
      </c>
      <c r="I63" s="80" t="str">
        <f aca="false">VLOOKUP(A63,'Regional lookup table'!$A$2:$B$162,2,FALSE())</f>
        <v>Asia</v>
      </c>
    </row>
    <row r="64" customFormat="false" ht="15.75" hidden="false" customHeight="false" outlineLevel="0" collapsed="false">
      <c r="A64" s="129" t="str">
        <f aca="false">'Sovereign Ratings (Moody''s,S&amp;P)'!A64</f>
        <v>Hungary</v>
      </c>
      <c r="B64" s="127" t="n">
        <f aca="false">VLOOKUP(A64,'Country GDP'!$A$2:$B$181,2,FALSE())</f>
        <v>222722.738925641</v>
      </c>
      <c r="C64" s="48" t="str">
        <f aca="false">VLOOKUP(A64,'Sovereign Ratings (Moody''s,S&amp;P)'!$A$2:$D$158,4,FALSE())</f>
        <v>Baa2</v>
      </c>
      <c r="D64" s="50" t="n">
        <f aca="false">VLOOKUP(A64,'10-year CDS Spreads'!$A$2:$C$158,3,FALSE())</f>
        <v>0.016</v>
      </c>
      <c r="E64" s="49" t="n">
        <f aca="false">VLOOKUP(A64,'ERPs by country'!$A$9:$F$165,4,FALSE())</f>
        <v>0.0161809014019175</v>
      </c>
      <c r="F64" s="130" t="n">
        <f aca="false">VLOOKUP(A64,'ERPs by country'!$A$9:$F$165,5,FALSE())</f>
        <v>0.0669496313455056</v>
      </c>
      <c r="G64" s="52" t="n">
        <f aca="false">VLOOKUP(A64,'ERPs by country'!$A$9:$F$165,6,FALSE())</f>
        <v>0.0246496313455056</v>
      </c>
      <c r="H64" s="52" t="n">
        <f aca="false">VLOOKUP(A64,'Country Tax Rates'!$A$2:$B$159,2,FALSE())</f>
        <v>0.09</v>
      </c>
      <c r="I64" s="80" t="str">
        <f aca="false">VLOOKUP(A64,'Regional lookup table'!$A$2:$B$162,2,FALSE())</f>
        <v>Eastern Europe &amp; Russia</v>
      </c>
    </row>
    <row r="65" customFormat="false" ht="15.75" hidden="false" customHeight="false" outlineLevel="0" collapsed="false">
      <c r="A65" s="129" t="str">
        <f aca="false">'Sovereign Ratings (Moody''s,S&amp;P)'!A65</f>
        <v>Iceland</v>
      </c>
      <c r="B65" s="127" t="n">
        <f aca="false">VLOOKUP(A65,'Country GDP'!$A$2:$B$181,2,FALSE())</f>
        <v>33255.1814689382</v>
      </c>
      <c r="C65" s="48" t="str">
        <f aca="false">VLOOKUP(A65,'Sovereign Ratings (Moody''s,S&amp;P)'!$A$2:$D$158,4,FALSE())</f>
        <v>A1</v>
      </c>
      <c r="D65" s="50" t="n">
        <f aca="false">VLOOKUP(A65,'10-year CDS Spreads'!$A$2:$C$158,3,FALSE())</f>
        <v>0.0045</v>
      </c>
      <c r="E65" s="49" t="n">
        <f aca="false">VLOOKUP(A65,'ERPs by country'!$A$9:$F$165,4,FALSE())</f>
        <v>0.00599292644515462</v>
      </c>
      <c r="F65" s="130" t="n">
        <f aca="false">VLOOKUP(A65,'ERPs by country'!$A$9:$F$165,5,FALSE())</f>
        <v>0.051429493090928</v>
      </c>
      <c r="G65" s="52" t="n">
        <f aca="false">VLOOKUP(A65,'ERPs by country'!$A$9:$F$165,6,FALSE())</f>
        <v>0.009129493090928</v>
      </c>
      <c r="H65" s="52" t="n">
        <f aca="false">VLOOKUP(A65,'Country Tax Rates'!$A$2:$B$159,2,FALSE())</f>
        <v>0.21</v>
      </c>
      <c r="I65" s="80" t="str">
        <f aca="false">VLOOKUP(A65,'Regional lookup table'!$A$2:$B$162,2,FALSE())</f>
        <v>Western Europe</v>
      </c>
    </row>
    <row r="66" customFormat="false" ht="15.75" hidden="false" customHeight="false" outlineLevel="0" collapsed="false">
      <c r="A66" s="129" t="str">
        <f aca="false">'Sovereign Ratings (Moody''s,S&amp;P)'!A66</f>
        <v>India</v>
      </c>
      <c r="B66" s="127" t="n">
        <f aca="false">VLOOKUP(A66,'Country GDP'!$A$2:$B$181,2,FALSE())</f>
        <v>3909891.53385808</v>
      </c>
      <c r="C66" s="48" t="str">
        <f aca="false">VLOOKUP(A66,'Sovereign Ratings (Moody''s,S&amp;P)'!$A$2:$D$158,4,FALSE())</f>
        <v>Baa3</v>
      </c>
      <c r="D66" s="50" t="n">
        <f aca="false">VLOOKUP(A66,'10-year CDS Spreads'!$A$2:$C$158,3,FALSE())</f>
        <v>0.008</v>
      </c>
      <c r="E66" s="49" t="n">
        <f aca="false">VLOOKUP(A66,'ERPs by country'!$A$9:$F$165,4,FALSE())</f>
        <v>0.0186779540873986</v>
      </c>
      <c r="F66" s="130" t="n">
        <f aca="false">VLOOKUP(A66,'ERPs by country'!$A$9:$F$165,5,FALSE())</f>
        <v>0.0707535868000589</v>
      </c>
      <c r="G66" s="52" t="n">
        <f aca="false">VLOOKUP(A66,'ERPs by country'!$A$9:$F$165,6,FALSE())</f>
        <v>0.0284535868000589</v>
      </c>
      <c r="H66" s="52" t="n">
        <f aca="false">VLOOKUP(A66,'Country Tax Rates'!$A$2:$B$159,2,FALSE())</f>
        <v>0.3</v>
      </c>
      <c r="I66" s="80" t="str">
        <f aca="false">VLOOKUP(A66,'Regional lookup table'!$A$2:$B$162,2,FALSE())</f>
        <v>Asia</v>
      </c>
    </row>
    <row r="67" customFormat="false" ht="15.75" hidden="false" customHeight="false" outlineLevel="0" collapsed="false">
      <c r="A67" s="129" t="str">
        <f aca="false">'Sovereign Ratings (Moody''s,S&amp;P)'!A67</f>
        <v>Indonesia</v>
      </c>
      <c r="B67" s="127" t="n">
        <f aca="false">VLOOKUP(A67,'Country GDP'!$A$2:$B$181,2,FALSE())</f>
        <v>1396300.09819097</v>
      </c>
      <c r="C67" s="48" t="str">
        <f aca="false">VLOOKUP(A67,'Sovereign Ratings (Moody''s,S&amp;P)'!$A$2:$D$158,4,FALSE())</f>
        <v>Baa2</v>
      </c>
      <c r="D67" s="50" t="n">
        <f aca="false">VLOOKUP(A67,'10-year CDS Spreads'!$A$2:$C$158,3,FALSE())</f>
        <v>0.0119</v>
      </c>
      <c r="E67" s="49" t="n">
        <f aca="false">VLOOKUP(A67,'ERPs by country'!$A$9:$F$165,4,FALSE())</f>
        <v>0.0161809014019175</v>
      </c>
      <c r="F67" s="130" t="n">
        <f aca="false">VLOOKUP(A67,'ERPs by country'!$A$9:$F$165,5,FALSE())</f>
        <v>0.0669496313455056</v>
      </c>
      <c r="G67" s="52" t="n">
        <f aca="false">VLOOKUP(A67,'ERPs by country'!$A$9:$F$165,6,FALSE())</f>
        <v>0.0246496313455056</v>
      </c>
      <c r="H67" s="52" t="n">
        <f aca="false">VLOOKUP(A67,'Country Tax Rates'!$A$2:$B$159,2,FALSE())</f>
        <v>0.22</v>
      </c>
      <c r="I67" s="80" t="str">
        <f aca="false">VLOOKUP(A67,'Regional lookup table'!$A$2:$B$162,2,FALSE())</f>
        <v>Asia</v>
      </c>
    </row>
    <row r="68" customFormat="false" ht="15.75" hidden="false" customHeight="false" outlineLevel="0" collapsed="false">
      <c r="A68" s="129" t="str">
        <f aca="false">'Sovereign Ratings (Moody''s,S&amp;P)'!A68</f>
        <v>Iraq</v>
      </c>
      <c r="B68" s="127" t="n">
        <f aca="false">VLOOKUP(A68,'Country GDP'!$A$2:$B$181,2,FALSE())</f>
        <v>279641.257615385</v>
      </c>
      <c r="C68" s="48" t="str">
        <f aca="false">VLOOKUP(A68,'Sovereign Ratings (Moody''s,S&amp;P)'!$A$2:$D$158,4,FALSE())</f>
        <v>Caa1</v>
      </c>
      <c r="D68" s="50" t="n">
        <f aca="false">VLOOKUP(A68,'10-year CDS Spreads'!$A$2:$C$158,3,FALSE())</f>
        <v>0.0289</v>
      </c>
      <c r="E68" s="49" t="n">
        <f aca="false">VLOOKUP(A68,'ERPs by country'!$A$9:$F$165,4,FALSE())</f>
        <v>0.0637247845334774</v>
      </c>
      <c r="F68" s="130" t="n">
        <f aca="false">VLOOKUP(A68,'ERPs by country'!$A$9:$F$165,5,FALSE())</f>
        <v>0.139376943200201</v>
      </c>
      <c r="G68" s="52" t="n">
        <f aca="false">VLOOKUP(A68,'ERPs by country'!$A$9:$F$165,6,FALSE())</f>
        <v>0.097076943200201</v>
      </c>
      <c r="H68" s="52" t="n">
        <f aca="false">VLOOKUP(A68,'Country Tax Rates'!$A$2:$B$159,2,FALSE())</f>
        <v>0.15</v>
      </c>
      <c r="I68" s="80" t="str">
        <f aca="false">VLOOKUP(A68,'Regional lookup table'!$A$2:$B$162,2,FALSE())</f>
        <v>Middle East</v>
      </c>
    </row>
    <row r="69" customFormat="false" ht="15.75" hidden="false" customHeight="false" outlineLevel="0" collapsed="false">
      <c r="A69" s="129" t="str">
        <f aca="false">'Sovereign Ratings (Moody''s,S&amp;P)'!A69</f>
        <v>Ireland</v>
      </c>
      <c r="B69" s="127" t="n">
        <f aca="false">VLOOKUP(A69,'Country GDP'!$A$2:$B$181,2,FALSE())</f>
        <v>609157.459747205</v>
      </c>
      <c r="C69" s="48" t="str">
        <f aca="false">VLOOKUP(A69,'Sovereign Ratings (Moody''s,S&amp;P)'!$A$2:$D$158,4,FALSE())</f>
        <v>Aa3</v>
      </c>
      <c r="D69" s="50" t="n">
        <f aca="false">VLOOKUP(A69,'10-year CDS Spreads'!$A$2:$C$158,3,FALSE())</f>
        <v>0.0034</v>
      </c>
      <c r="E69" s="49" t="n">
        <f aca="false">VLOOKUP(A69,'ERPs by country'!$A$9:$F$165,4,FALSE())</f>
        <v>0.00509398747838143</v>
      </c>
      <c r="F69" s="130" t="n">
        <f aca="false">VLOOKUP(A69,'ERPs by country'!$A$9:$F$165,5,FALSE())</f>
        <v>0.0500600691272888</v>
      </c>
      <c r="G69" s="52" t="n">
        <f aca="false">VLOOKUP(A69,'ERPs by country'!$A$9:$F$165,6,FALSE())</f>
        <v>0.0077600691272888</v>
      </c>
      <c r="H69" s="52" t="n">
        <f aca="false">VLOOKUP(A69,'Country Tax Rates'!$A$2:$B$159,2,FALSE())</f>
        <v>0.125</v>
      </c>
      <c r="I69" s="80" t="str">
        <f aca="false">VLOOKUP(A69,'Regional lookup table'!$A$2:$B$162,2,FALSE())</f>
        <v>Western Europe</v>
      </c>
    </row>
    <row r="70" customFormat="false" ht="15.75" hidden="false" customHeight="false" outlineLevel="0" collapsed="false">
      <c r="A70" s="129" t="str">
        <f aca="false">'Sovereign Ratings (Moody''s,S&amp;P)'!A70</f>
        <v>Isle of Man</v>
      </c>
      <c r="B70" s="127" t="n">
        <f aca="false">VLOOKUP(A70,'Country GDP'!$A$2:$B$181,2,FALSE())</f>
        <v>7431.25741092713</v>
      </c>
      <c r="C70" s="48" t="str">
        <f aca="false">VLOOKUP(A70,'Sovereign Ratings (Moody''s,S&amp;P)'!$A$2:$D$158,4,FALSE())</f>
        <v>Aa3</v>
      </c>
      <c r="D70" s="50" t="str">
        <f aca="false">VLOOKUP(A70,'10-year CDS Spreads'!$A$2:$C$158,3,FALSE())</f>
        <v>NA</v>
      </c>
      <c r="E70" s="49" t="n">
        <f aca="false">VLOOKUP(A70,'ERPs by country'!$A$9:$F$165,4,FALSE())</f>
        <v>0.00509398747838143</v>
      </c>
      <c r="F70" s="130" t="n">
        <f aca="false">VLOOKUP(A70,'ERPs by country'!$A$9:$F$165,5,FALSE())</f>
        <v>0.0500600691272888</v>
      </c>
      <c r="G70" s="52" t="n">
        <f aca="false">VLOOKUP(A70,'ERPs by country'!$A$9:$F$165,6,FALSE())</f>
        <v>0.0077600691272888</v>
      </c>
      <c r="H70" s="52" t="n">
        <f aca="false">VLOOKUP(A70,'Country Tax Rates'!$A$2:$B$159,2,FALSE())</f>
        <v>0</v>
      </c>
      <c r="I70" s="80" t="str">
        <f aca="false">VLOOKUP(A70,'Regional lookup table'!$A$2:$B$162,2,FALSE())</f>
        <v>Western Europe</v>
      </c>
    </row>
    <row r="71" customFormat="false" ht="15.75" hidden="false" customHeight="false" outlineLevel="0" collapsed="false">
      <c r="A71" s="129" t="str">
        <f aca="false">'Sovereign Ratings (Moody''s,S&amp;P)'!A71</f>
        <v>Israel</v>
      </c>
      <c r="B71" s="127" t="n">
        <f aca="false">VLOOKUP(A71,'Country GDP'!$A$2:$B$181,2,FALSE())</f>
        <v>540379.921261681</v>
      </c>
      <c r="C71" s="48" t="str">
        <f aca="false">VLOOKUP(A71,'Sovereign Ratings (Moody''s,S&amp;P)'!$A$2:$D$158,4,FALSE())</f>
        <v>Baa1</v>
      </c>
      <c r="D71" s="50" t="n">
        <f aca="false">VLOOKUP(A71,'10-year CDS Spreads'!$A$2:$C$158,3,FALSE())</f>
        <v>0.0113</v>
      </c>
      <c r="E71" s="49" t="n">
        <f aca="false">VLOOKUP(A71,'ERPs by country'!$A$9:$F$165,4,FALSE())</f>
        <v>0.0135839666090171</v>
      </c>
      <c r="F71" s="130" t="n">
        <f aca="false">VLOOKUP(A71,'ERPs by country'!$A$9:$F$165,5,FALSE())</f>
        <v>0.0629935176727701</v>
      </c>
      <c r="G71" s="52" t="n">
        <f aca="false">VLOOKUP(A71,'ERPs by country'!$A$9:$F$165,6,FALSE())</f>
        <v>0.0206935176727701</v>
      </c>
      <c r="H71" s="52" t="n">
        <f aca="false">VLOOKUP(A71,'Country Tax Rates'!$A$2:$B$159,2,FALSE())</f>
        <v>0.23</v>
      </c>
      <c r="I71" s="80" t="str">
        <f aca="false">VLOOKUP(A71,'Regional lookup table'!$A$2:$B$162,2,FALSE())</f>
        <v>Middle East</v>
      </c>
    </row>
    <row r="72" customFormat="false" ht="15.75" hidden="false" customHeight="false" outlineLevel="0" collapsed="false">
      <c r="A72" s="129" t="str">
        <f aca="false">'Sovereign Ratings (Moody''s,S&amp;P)'!A72</f>
        <v>Italy</v>
      </c>
      <c r="B72" s="127" t="n">
        <f aca="false">VLOOKUP(A72,'Country GDP'!$A$2:$B$181,2,FALSE())</f>
        <v>2380825.07724359</v>
      </c>
      <c r="C72" s="48" t="str">
        <f aca="false">VLOOKUP(A72,'Sovereign Ratings (Moody''s,S&amp;P)'!$A$2:$D$158,4,FALSE())</f>
        <v>Baa2</v>
      </c>
      <c r="D72" s="50" t="n">
        <f aca="false">VLOOKUP(A72,'10-year CDS Spreads'!$A$2:$C$158,3,FALSE())</f>
        <v>0.0061</v>
      </c>
      <c r="E72" s="49" t="n">
        <f aca="false">VLOOKUP(A72,'ERPs by country'!$A$9:$F$165,4,FALSE())</f>
        <v>0.0161809014019175</v>
      </c>
      <c r="F72" s="130" t="n">
        <f aca="false">VLOOKUP(A72,'ERPs by country'!$A$9:$F$165,5,FALSE())</f>
        <v>0.0669496313455056</v>
      </c>
      <c r="G72" s="52" t="n">
        <f aca="false">VLOOKUP(A72,'ERPs by country'!$A$9:$F$165,6,FALSE())</f>
        <v>0.0246496313455056</v>
      </c>
      <c r="H72" s="52" t="n">
        <f aca="false">VLOOKUP(A72,'Country Tax Rates'!$A$2:$B$159,2,FALSE())</f>
        <v>0.2781</v>
      </c>
      <c r="I72" s="80" t="str">
        <f aca="false">VLOOKUP(A72,'Regional lookup table'!$A$2:$B$162,2,FALSE())</f>
        <v>Western Europe</v>
      </c>
    </row>
    <row r="73" customFormat="false" ht="15.75" hidden="false" customHeight="false" outlineLevel="0" collapsed="false">
      <c r="A73" s="129" t="str">
        <f aca="false">'Sovereign Ratings (Moody''s,S&amp;P)'!A73</f>
        <v>Jamaica</v>
      </c>
      <c r="B73" s="127" t="n">
        <f aca="false">VLOOKUP(A73,'Country GDP'!$A$2:$B$181,2,FALSE())</f>
        <v>22014.3970897689</v>
      </c>
      <c r="C73" s="48" t="str">
        <f aca="false">VLOOKUP(A73,'Sovereign Ratings (Moody''s,S&amp;P)'!$A$2:$D$158,4,FALSE())</f>
        <v>Ba3</v>
      </c>
      <c r="D73" s="50" t="str">
        <f aca="false">VLOOKUP(A73,'10-year CDS Spreads'!$A$2:$C$158,3,FALSE())</f>
        <v>NA</v>
      </c>
      <c r="E73" s="49" t="n">
        <f aca="false">VLOOKUP(A73,'ERPs by country'!$A$9:$F$165,4,FALSE())</f>
        <v>0.0305639248702886</v>
      </c>
      <c r="F73" s="130" t="n">
        <f aca="false">VLOOKUP(A73,'ERPs by country'!$A$9:$F$165,5,FALSE())</f>
        <v>0.0888604147637328</v>
      </c>
      <c r="G73" s="52" t="n">
        <f aca="false">VLOOKUP(A73,'ERPs by country'!$A$9:$F$165,6,FALSE())</f>
        <v>0.0465604147637328</v>
      </c>
      <c r="H73" s="52" t="n">
        <f aca="false">VLOOKUP(A73,'Country Tax Rates'!$A$2:$B$159,2,FALSE())</f>
        <v>0.25</v>
      </c>
      <c r="I73" s="80" t="str">
        <f aca="false">VLOOKUP(A73,'Regional lookup table'!$A$2:$B$162,2,FALSE())</f>
        <v>Caribbean</v>
      </c>
    </row>
    <row r="74" customFormat="false" ht="15.75" hidden="false" customHeight="false" outlineLevel="0" collapsed="false">
      <c r="A74" s="129" t="str">
        <f aca="false">'Sovereign Ratings (Moody''s,S&amp;P)'!A74</f>
        <v>Japan</v>
      </c>
      <c r="B74" s="127" t="n">
        <f aca="false">VLOOKUP(A74,'Country GDP'!$A$2:$B$181,2,FALSE())</f>
        <v>4027597.52355058</v>
      </c>
      <c r="C74" s="48" t="str">
        <f aca="false">VLOOKUP(A74,'Sovereign Ratings (Moody''s,S&amp;P)'!$A$2:$D$158,4,FALSE())</f>
        <v>A1</v>
      </c>
      <c r="D74" s="50" t="n">
        <f aca="false">VLOOKUP(A74,'10-year CDS Spreads'!$A$2:$C$158,3,FALSE())</f>
        <v>0.0044</v>
      </c>
      <c r="E74" s="49" t="n">
        <f aca="false">VLOOKUP(A74,'ERPs by country'!$A$9:$F$165,4,FALSE())</f>
        <v>0.00599292644515462</v>
      </c>
      <c r="F74" s="130" t="n">
        <f aca="false">VLOOKUP(A74,'ERPs by country'!$A$9:$F$165,5,FALSE())</f>
        <v>0.051429493090928</v>
      </c>
      <c r="G74" s="52" t="n">
        <f aca="false">VLOOKUP(A74,'ERPs by country'!$A$9:$F$165,6,FALSE())</f>
        <v>0.009129493090928</v>
      </c>
      <c r="H74" s="52" t="n">
        <f aca="false">VLOOKUP(A74,'Country Tax Rates'!$A$2:$B$159,2,FALSE())</f>
        <v>0.2974</v>
      </c>
      <c r="I74" s="80" t="str">
        <f aca="false">VLOOKUP(A74,'Regional lookup table'!$A$2:$B$162,2,FALSE())</f>
        <v>Asia</v>
      </c>
    </row>
    <row r="75" customFormat="false" ht="15.75" hidden="false" customHeight="false" outlineLevel="0" collapsed="false">
      <c r="A75" s="129" t="str">
        <f aca="false">'Sovereign Ratings (Moody''s,S&amp;P)'!A75</f>
        <v>Jersey (States of)</v>
      </c>
      <c r="B75" s="127" t="n">
        <f aca="false">VLOOKUP(A75,'Country GDP'!$A$2:$B$181,2,FALSE())</f>
        <v>4890</v>
      </c>
      <c r="C75" s="48" t="str">
        <f aca="false">VLOOKUP(A75,'Sovereign Ratings (Moody''s,S&amp;P)'!$A$2:$D$158,4,FALSE())</f>
        <v>Aa3</v>
      </c>
      <c r="D75" s="50" t="str">
        <f aca="false">VLOOKUP(A75,'10-year CDS Spreads'!$A$2:$C$158,3,FALSE())</f>
        <v>NA</v>
      </c>
      <c r="E75" s="49" t="n">
        <f aca="false">VLOOKUP(A75,'ERPs by country'!$A$9:$F$165,4,FALSE())</f>
        <v>0.00509398747838143</v>
      </c>
      <c r="F75" s="130" t="n">
        <f aca="false">VLOOKUP(A75,'ERPs by country'!$A$9:$F$165,5,FALSE())</f>
        <v>0.0500600691272888</v>
      </c>
      <c r="G75" s="52" t="n">
        <f aca="false">VLOOKUP(A75,'ERPs by country'!$A$9:$F$165,6,FALSE())</f>
        <v>0.0077600691272888</v>
      </c>
      <c r="H75" s="52" t="n">
        <f aca="false">VLOOKUP(A75,'Country Tax Rates'!$A$2:$B$159,2,FALSE())</f>
        <v>0</v>
      </c>
      <c r="I75" s="80" t="str">
        <f aca="false">VLOOKUP(A75,'Regional lookup table'!$A$2:$B$162,2,FALSE())</f>
        <v>Western Europe</v>
      </c>
    </row>
    <row r="76" customFormat="false" ht="15.75" hidden="false" customHeight="false" outlineLevel="0" collapsed="false">
      <c r="A76" s="129" t="str">
        <f aca="false">'Sovereign Ratings (Moody''s,S&amp;P)'!A76</f>
        <v>Jordan</v>
      </c>
      <c r="B76" s="127" t="n">
        <f aca="false">VLOOKUP(A76,'Country GDP'!$A$2:$B$181,2,FALSE())</f>
        <v>53352.2895774648</v>
      </c>
      <c r="C76" s="48" t="str">
        <f aca="false">VLOOKUP(A76,'Sovereign Ratings (Moody''s,S&amp;P)'!$A$2:$D$158,4,FALSE())</f>
        <v>Ba3</v>
      </c>
      <c r="D76" s="50" t="str">
        <f aca="false">VLOOKUP(A76,'10-year CDS Spreads'!$A$2:$C$158,3,FALSE())</f>
        <v>NA</v>
      </c>
      <c r="E76" s="49" t="n">
        <f aca="false">VLOOKUP(A76,'ERPs by country'!$A$9:$F$165,4,FALSE())</f>
        <v>0.0305639248702886</v>
      </c>
      <c r="F76" s="130" t="n">
        <f aca="false">VLOOKUP(A76,'ERPs by country'!$A$9:$F$165,5,FALSE())</f>
        <v>0.0888604147637328</v>
      </c>
      <c r="G76" s="52" t="n">
        <f aca="false">VLOOKUP(A76,'ERPs by country'!$A$9:$F$165,6,FALSE())</f>
        <v>0.0465604147637328</v>
      </c>
      <c r="H76" s="52" t="n">
        <f aca="false">VLOOKUP(A76,'Country Tax Rates'!$A$2:$B$159,2,FALSE())</f>
        <v>0.2</v>
      </c>
      <c r="I76" s="80" t="str">
        <f aca="false">VLOOKUP(A76,'Regional lookup table'!$A$2:$B$162,2,FALSE())</f>
        <v>Middle East</v>
      </c>
    </row>
    <row r="77" customFormat="false" ht="15.75" hidden="false" customHeight="false" outlineLevel="0" collapsed="false">
      <c r="A77" s="129" t="str">
        <f aca="false">'Sovereign Ratings (Moody''s,S&amp;P)'!A77</f>
        <v>Kazakhstan</v>
      </c>
      <c r="B77" s="127" t="n">
        <f aca="false">VLOOKUP(A77,'Country GDP'!$A$2:$B$181,2,FALSE())</f>
        <v>291480.274648826</v>
      </c>
      <c r="C77" s="48" t="str">
        <f aca="false">VLOOKUP(A77,'Sovereign Ratings (Moody''s,S&amp;P)'!$A$2:$D$158,4,FALSE())</f>
        <v>Baa1</v>
      </c>
      <c r="D77" s="50" t="n">
        <f aca="false">VLOOKUP(A77,'10-year CDS Spreads'!$A$2:$C$158,3,FALSE())</f>
        <v>0.0131</v>
      </c>
      <c r="E77" s="49" t="n">
        <f aca="false">VLOOKUP(A77,'ERPs by country'!$A$9:$F$165,4,FALSE())</f>
        <v>0.0135839666090171</v>
      </c>
      <c r="F77" s="130" t="n">
        <f aca="false">VLOOKUP(A77,'ERPs by country'!$A$9:$F$165,5,FALSE())</f>
        <v>0.0629935176727701</v>
      </c>
      <c r="G77" s="52" t="n">
        <f aca="false">VLOOKUP(A77,'ERPs by country'!$A$9:$F$165,6,FALSE())</f>
        <v>0.0206935176727701</v>
      </c>
      <c r="H77" s="52" t="n">
        <f aca="false">VLOOKUP(A77,'Country Tax Rates'!$A$2:$B$159,2,FALSE())</f>
        <v>0.2</v>
      </c>
      <c r="I77" s="80" t="str">
        <f aca="false">VLOOKUP(A77,'Regional lookup table'!$A$2:$B$162,2,FALSE())</f>
        <v>Eastern Europe &amp; Russia</v>
      </c>
    </row>
    <row r="78" customFormat="false" ht="15.75" hidden="false" customHeight="false" outlineLevel="0" collapsed="false">
      <c r="A78" s="129" t="str">
        <f aca="false">'Sovereign Ratings (Moody''s,S&amp;P)'!A78</f>
        <v>Kenya</v>
      </c>
      <c r="B78" s="127" t="n">
        <f aca="false">VLOOKUP(A78,'Country GDP'!$A$2:$B$181,2,FALSE())</f>
        <v>120339.557905932</v>
      </c>
      <c r="C78" s="48" t="str">
        <f aca="false">VLOOKUP(A78,'Sovereign Ratings (Moody''s,S&amp;P)'!$A$2:$D$158,4,FALSE())</f>
        <v>B3</v>
      </c>
      <c r="D78" s="50" t="n">
        <f aca="false">VLOOKUP(A78,'10-year CDS Spreads'!$A$2:$C$158,3,FALSE())</f>
        <v>0.0451</v>
      </c>
      <c r="E78" s="49" t="n">
        <f aca="false">VLOOKUP(A78,'ERPs by country'!$A$9:$F$165,4,FALSE())</f>
        <v>0.0552348054028417</v>
      </c>
      <c r="F78" s="130" t="n">
        <f aca="false">VLOOKUP(A78,'ERPs by country'!$A$9:$F$165,5,FALSE())</f>
        <v>0.12644349465472</v>
      </c>
      <c r="G78" s="52" t="n">
        <f aca="false">VLOOKUP(A78,'ERPs by country'!$A$9:$F$165,6,FALSE())</f>
        <v>0.0841434946547197</v>
      </c>
      <c r="H78" s="52" t="n">
        <f aca="false">VLOOKUP(A78,'Country Tax Rates'!$A$2:$B$159,2,FALSE())</f>
        <v>0.3</v>
      </c>
      <c r="I78" s="80" t="str">
        <f aca="false">VLOOKUP(A78,'Regional lookup table'!$A$2:$B$162,2,FALSE())</f>
        <v>Africa</v>
      </c>
    </row>
    <row r="79" customFormat="false" ht="15.75" hidden="false" customHeight="false" outlineLevel="0" collapsed="false">
      <c r="A79" s="129" t="str">
        <f aca="false">'Sovereign Ratings (Moody''s,S&amp;P)'!A79</f>
        <v>Korea</v>
      </c>
      <c r="B79" s="127" t="n">
        <f aca="false">VLOOKUP(A79,'Country GDP'!$A$2:$B$181,2,FALSE())</f>
        <v>1875388.2094068</v>
      </c>
      <c r="C79" s="48" t="str">
        <f aca="false">VLOOKUP(A79,'Sovereign Ratings (Moody''s,S&amp;P)'!$A$2:$D$158,4,FALSE())</f>
        <v>Aa2</v>
      </c>
      <c r="D79" s="50" t="n">
        <f aca="false">VLOOKUP(A79,'10-year CDS Spreads'!$A$2:$C$158,3,FALSE())</f>
        <v>0.0034</v>
      </c>
      <c r="E79" s="49" t="n">
        <f aca="false">VLOOKUP(A79,'ERPs by country'!$A$9:$F$165,4,FALSE())</f>
        <v>0.00419504851160823</v>
      </c>
      <c r="F79" s="130" t="n">
        <f aca="false">VLOOKUP(A79,'ERPs by country'!$A$9:$F$165,5,FALSE())</f>
        <v>0.0486906451636496</v>
      </c>
      <c r="G79" s="52" t="n">
        <f aca="false">VLOOKUP(A79,'ERPs by country'!$A$9:$F$165,6,FALSE())</f>
        <v>0.0063906451636496</v>
      </c>
      <c r="H79" s="52" t="n">
        <f aca="false">VLOOKUP(A79,'Country Tax Rates'!$A$2:$B$159,2,FALSE())</f>
        <v>0.264</v>
      </c>
      <c r="I79" s="80" t="str">
        <f aca="false">VLOOKUP(A79,'Regional lookup table'!$A$2:$B$162,2,FALSE())</f>
        <v>Asia</v>
      </c>
    </row>
    <row r="80" customFormat="false" ht="15.75" hidden="false" customHeight="false" outlineLevel="0" collapsed="false">
      <c r="A80" s="129" t="str">
        <f aca="false">'Sovereign Ratings (Moody''s,S&amp;P)'!A80</f>
        <v>Kuwait</v>
      </c>
      <c r="B80" s="127" t="n">
        <f aca="false">VLOOKUP(A80,'Country GDP'!$A$2:$B$181,2,FALSE())</f>
        <v>160227.273053334</v>
      </c>
      <c r="C80" s="48" t="str">
        <f aca="false">VLOOKUP(A80,'Sovereign Ratings (Moody''s,S&amp;P)'!$A$2:$D$158,4,FALSE())</f>
        <v>A1</v>
      </c>
      <c r="D80" s="50" t="n">
        <f aca="false">VLOOKUP(A80,'10-year CDS Spreads'!$A$2:$C$158,3,FALSE())</f>
        <v>0.0087</v>
      </c>
      <c r="E80" s="49" t="n">
        <f aca="false">VLOOKUP(A80,'ERPs by country'!$A$9:$F$165,4,FALSE())</f>
        <v>0.00599292644515462</v>
      </c>
      <c r="F80" s="130" t="n">
        <f aca="false">VLOOKUP(A80,'ERPs by country'!$A$9:$F$165,5,FALSE())</f>
        <v>0.051429493090928</v>
      </c>
      <c r="G80" s="52" t="n">
        <f aca="false">VLOOKUP(A80,'ERPs by country'!$A$9:$F$165,6,FALSE())</f>
        <v>0.009129493090928</v>
      </c>
      <c r="H80" s="52" t="n">
        <f aca="false">VLOOKUP(A80,'Country Tax Rates'!$A$2:$B$159,2,FALSE())</f>
        <v>0.15</v>
      </c>
      <c r="I80" s="80" t="str">
        <f aca="false">VLOOKUP(A80,'Regional lookup table'!$A$2:$B$162,2,FALSE())</f>
        <v>Middle East</v>
      </c>
    </row>
    <row r="81" customFormat="false" ht="15.75" hidden="false" customHeight="false" outlineLevel="0" collapsed="false">
      <c r="A81" s="129" t="str">
        <f aca="false">'Sovereign Ratings (Moody''s,S&amp;P)'!A81</f>
        <v>Kyrgyzstan</v>
      </c>
      <c r="B81" s="127" t="n">
        <f aca="false">VLOOKUP(A81,'Country GDP'!$A$2:$B$181,2,FALSE())</f>
        <v>17478.2596592625</v>
      </c>
      <c r="C81" s="48" t="str">
        <f aca="false">VLOOKUP(A81,'Sovereign Ratings (Moody''s,S&amp;P)'!$A$2:$D$158,4,FALSE())</f>
        <v>B3</v>
      </c>
      <c r="D81" s="50" t="str">
        <f aca="false">VLOOKUP(A81,'10-year CDS Spreads'!$A$2:$C$158,3,FALSE())</f>
        <v>NA</v>
      </c>
      <c r="E81" s="49" t="n">
        <f aca="false">VLOOKUP(A81,'ERPs by country'!$A$9:$F$165,4,FALSE())</f>
        <v>0.0552348054028417</v>
      </c>
      <c r="F81" s="130" t="n">
        <f aca="false">VLOOKUP(A81,'ERPs by country'!$A$9:$F$165,5,FALSE())</f>
        <v>0.12644349465472</v>
      </c>
      <c r="G81" s="52" t="n">
        <f aca="false">VLOOKUP(A81,'ERPs by country'!$A$9:$F$165,6,FALSE())</f>
        <v>0.0841434946547197</v>
      </c>
      <c r="H81" s="52" t="n">
        <f aca="false">VLOOKUP(A81,'Country Tax Rates'!$A$2:$B$159,2,FALSE())</f>
        <v>0.1</v>
      </c>
      <c r="I81" s="80" t="str">
        <f aca="false">VLOOKUP(A81,'Regional lookup table'!$A$2:$B$162,2,FALSE())</f>
        <v>Eastern Europe &amp; Russia</v>
      </c>
    </row>
    <row r="82" customFormat="false" ht="15.75" hidden="false" customHeight="false" outlineLevel="0" collapsed="false">
      <c r="A82" s="129" t="str">
        <f aca="false">'Sovereign Ratings (Moody''s,S&amp;P)'!A82</f>
        <v>Laos</v>
      </c>
      <c r="B82" s="127" t="n">
        <f aca="false">VLOOKUP(A82,'Country GDP'!$A$2:$B$181,2,FALSE())</f>
        <v>16502.9331213379</v>
      </c>
      <c r="C82" s="48" t="str">
        <f aca="false">VLOOKUP(A82,'Sovereign Ratings (Moody''s,S&amp;P)'!$A$2:$D$158,4,FALSE())</f>
        <v>Caa2</v>
      </c>
      <c r="D82" s="50" t="str">
        <f aca="false">VLOOKUP(A82,'10-year CDS Spreads'!$A$2:$C$158,3,FALSE())</f>
        <v>NA</v>
      </c>
      <c r="E82" s="49" t="n">
        <f aca="false">VLOOKUP(A82,'ERPs by country'!$A$9:$F$165,4,FALSE())</f>
        <v>0.0765096942831406</v>
      </c>
      <c r="F82" s="130" t="n">
        <f aca="false">VLOOKUP(A82,'ERPs by country'!$A$9:$F$165,5,FALSE())</f>
        <v>0.158853195127514</v>
      </c>
      <c r="G82" s="52" t="n">
        <f aca="false">VLOOKUP(A82,'ERPs by country'!$A$9:$F$165,6,FALSE())</f>
        <v>0.116553195127514</v>
      </c>
      <c r="H82" s="52" t="n">
        <f aca="false">VLOOKUP(A82,'Country Tax Rates'!$A$2:$B$159,2,FALSE())</f>
        <v>0.2</v>
      </c>
      <c r="I82" s="80" t="str">
        <f aca="false">VLOOKUP(A82,'Regional lookup table'!$A$2:$B$162,2,FALSE())</f>
        <v>Asia</v>
      </c>
    </row>
    <row r="83" customFormat="false" ht="15.75" hidden="false" customHeight="false" outlineLevel="0" collapsed="false">
      <c r="A83" s="129" t="str">
        <f aca="false">'Sovereign Ratings (Moody''s,S&amp;P)'!A83</f>
        <v>Latvia</v>
      </c>
      <c r="B83" s="127" t="n">
        <f aca="false">VLOOKUP(A83,'Country GDP'!$A$2:$B$181,2,FALSE())</f>
        <v>43684.2544323609</v>
      </c>
      <c r="C83" s="48" t="str">
        <f aca="false">VLOOKUP(A83,'Sovereign Ratings (Moody''s,S&amp;P)'!$A$2:$D$158,4,FALSE())</f>
        <v>A3</v>
      </c>
      <c r="D83" s="50" t="n">
        <f aca="false">VLOOKUP(A83,'10-year CDS Spreads'!$A$2:$C$158,3,FALSE())</f>
        <v>0.0082</v>
      </c>
      <c r="E83" s="49" t="n">
        <f aca="false">VLOOKUP(A83,'ERPs by country'!$A$9:$F$165,4,FALSE())</f>
        <v>0.0101879749567629</v>
      </c>
      <c r="F83" s="130" t="n">
        <f aca="false">VLOOKUP(A83,'ERPs by country'!$A$9:$F$165,5,FALSE())</f>
        <v>0.0578201382545776</v>
      </c>
      <c r="G83" s="52" t="n">
        <f aca="false">VLOOKUP(A83,'ERPs by country'!$A$9:$F$165,6,FALSE())</f>
        <v>0.0155201382545776</v>
      </c>
      <c r="H83" s="52" t="n">
        <f aca="false">VLOOKUP(A83,'Country Tax Rates'!$A$2:$B$159,2,FALSE())</f>
        <v>0.2</v>
      </c>
      <c r="I83" s="80" t="str">
        <f aca="false">VLOOKUP(A83,'Regional lookup table'!$A$2:$B$162,2,FALSE())</f>
        <v>Eastern Europe &amp; Russia</v>
      </c>
    </row>
    <row r="84" customFormat="false" ht="15.75" hidden="false" customHeight="false" outlineLevel="0" collapsed="false">
      <c r="A84" s="129" t="str">
        <f aca="false">'Sovereign Ratings (Moody''s,S&amp;P)'!A84</f>
        <v>Lebanon</v>
      </c>
      <c r="B84" s="127" t="n">
        <f aca="false">VLOOKUP(A84,'Country GDP'!$A$2:$B$181,2,FALSE())</f>
        <v>20078.620357</v>
      </c>
      <c r="C84" s="48" t="str">
        <f aca="false">VLOOKUP(A84,'Sovereign Ratings (Moody''s,S&amp;P)'!$A$2:$D$158,4,FALSE())</f>
        <v>C</v>
      </c>
      <c r="D84" s="50" t="str">
        <f aca="false">VLOOKUP(A84,'10-year CDS Spreads'!$A$2:$C$158,3,FALSE())</f>
        <v>NA</v>
      </c>
      <c r="E84" s="49" t="n">
        <f aca="false">VLOOKUP(A84,'ERPs by country'!$A$9:$F$165,4,FALSE())</f>
        <v>0.175</v>
      </c>
      <c r="F84" s="130" t="n">
        <f aca="false">VLOOKUP(A84,'ERPs by country'!$A$9:$F$165,5,FALSE())</f>
        <v>0.30889117303269</v>
      </c>
      <c r="G84" s="52" t="n">
        <f aca="false">VLOOKUP(A84,'ERPs by country'!$A$9:$F$165,6,FALSE())</f>
        <v>0.26659117303269</v>
      </c>
      <c r="H84" s="52" t="n">
        <f aca="false">VLOOKUP(A84,'Country Tax Rates'!$A$2:$B$159,2,FALSE())</f>
        <v>0.17</v>
      </c>
      <c r="I84" s="80" t="str">
        <f aca="false">VLOOKUP(A84,'Regional lookup table'!$A$2:$B$162,2,FALSE())</f>
        <v>Middle East</v>
      </c>
    </row>
    <row r="85" customFormat="false" ht="15.75" hidden="false" customHeight="false" outlineLevel="0" collapsed="false">
      <c r="A85" s="129" t="str">
        <f aca="false">'Sovereign Ratings (Moody''s,S&amp;P)'!A85</f>
        <v>Liechtenstein</v>
      </c>
      <c r="B85" s="127" t="n">
        <f aca="false">VLOOKUP(A85,'Country GDP'!$A$2:$B$181,2,FALSE())</f>
        <v>8239.379403</v>
      </c>
      <c r="C85" s="48" t="str">
        <f aca="false">VLOOKUP(A85,'Sovereign Ratings (Moody''s,S&amp;P)'!$A$2:$D$158,4,FALSE())</f>
        <v>Aaa</v>
      </c>
      <c r="D85" s="50" t="str">
        <f aca="false">VLOOKUP(A85,'10-year CDS Spreads'!$A$2:$C$158,3,FALSE())</f>
        <v>NA</v>
      </c>
      <c r="E85" s="49" t="n">
        <f aca="false">VLOOKUP(A85,'ERPs by country'!$A$9:$F$165,4,FALSE())</f>
        <v>0</v>
      </c>
      <c r="F85" s="130" t="n">
        <f aca="false">VLOOKUP(A85,'ERPs by country'!$A$9:$F$165,5,FALSE())</f>
        <v>0.0423</v>
      </c>
      <c r="G85" s="52" t="n">
        <f aca="false">VLOOKUP(A85,'ERPs by country'!$A$9:$F$165,6,FALSE())</f>
        <v>0</v>
      </c>
      <c r="H85" s="52" t="n">
        <f aca="false">VLOOKUP(A85,'Country Tax Rates'!$A$2:$B$159,2,FALSE())</f>
        <v>0.125</v>
      </c>
      <c r="I85" s="80" t="str">
        <f aca="false">VLOOKUP(A85,'Regional lookup table'!$A$2:$B$162,2,FALSE())</f>
        <v>Western Europe</v>
      </c>
    </row>
    <row r="86" customFormat="false" ht="15.75" hidden="false" customHeight="false" outlineLevel="0" collapsed="false">
      <c r="A86" s="129" t="str">
        <f aca="false">'Sovereign Ratings (Moody''s,S&amp;P)'!A86</f>
        <v>Lithuania</v>
      </c>
      <c r="B86" s="127" t="n">
        <f aca="false">VLOOKUP(A86,'Country GDP'!$A$2:$B$181,2,FALSE())</f>
        <v>84869.2155133648</v>
      </c>
      <c r="C86" s="48" t="str">
        <f aca="false">VLOOKUP(A86,'Sovereign Ratings (Moody''s,S&amp;P)'!$A$2:$D$158,4,FALSE())</f>
        <v>A2</v>
      </c>
      <c r="D86" s="50" t="n">
        <f aca="false">VLOOKUP(A86,'10-year CDS Spreads'!$A$2:$C$158,3,FALSE())</f>
        <v>0.0082</v>
      </c>
      <c r="E86" s="49" t="n">
        <f aca="false">VLOOKUP(A86,'ERPs by country'!$A$9:$F$165,4,FALSE())</f>
        <v>0.00719151173418554</v>
      </c>
      <c r="F86" s="130" t="n">
        <f aca="false">VLOOKUP(A86,'ERPs by country'!$A$9:$F$165,5,FALSE())</f>
        <v>0.0532553917091136</v>
      </c>
      <c r="G86" s="52" t="n">
        <f aca="false">VLOOKUP(A86,'ERPs by country'!$A$9:$F$165,6,FALSE())</f>
        <v>0.0109553917091136</v>
      </c>
      <c r="H86" s="52" t="n">
        <f aca="false">VLOOKUP(A86,'Country Tax Rates'!$A$2:$B$159,2,FALSE())</f>
        <v>0.15</v>
      </c>
      <c r="I86" s="80" t="str">
        <f aca="false">VLOOKUP(A86,'Regional lookup table'!$A$2:$B$162,2,FALSE())</f>
        <v>Eastern Europe &amp; Russia</v>
      </c>
    </row>
    <row r="87" customFormat="false" ht="15.75" hidden="false" customHeight="false" outlineLevel="0" collapsed="false">
      <c r="A87" s="129" t="str">
        <f aca="false">'Sovereign Ratings (Moody''s,S&amp;P)'!A87</f>
        <v>Luxembourg</v>
      </c>
      <c r="B87" s="127" t="n">
        <f aca="false">VLOOKUP(A87,'Country GDP'!$A$2:$B$181,2,FALSE())</f>
        <v>93279.8518634062</v>
      </c>
      <c r="C87" s="48" t="str">
        <f aca="false">VLOOKUP(A87,'Sovereign Ratings (Moody''s,S&amp;P)'!$A$2:$D$158,4,FALSE())</f>
        <v>Aaa</v>
      </c>
      <c r="D87" s="50" t="str">
        <f aca="false">VLOOKUP(A87,'10-year CDS Spreads'!$A$2:$C$158,3,FALSE())</f>
        <v>NA</v>
      </c>
      <c r="E87" s="49" t="n">
        <f aca="false">VLOOKUP(A87,'ERPs by country'!$A$9:$F$165,4,FALSE())</f>
        <v>0</v>
      </c>
      <c r="F87" s="130" t="n">
        <f aca="false">VLOOKUP(A87,'ERPs by country'!$A$9:$F$165,5,FALSE())</f>
        <v>0.0423</v>
      </c>
      <c r="G87" s="52" t="n">
        <f aca="false">VLOOKUP(A87,'ERPs by country'!$A$9:$F$165,6,FALSE())</f>
        <v>0</v>
      </c>
      <c r="H87" s="52" t="n">
        <f aca="false">VLOOKUP(A87,'Country Tax Rates'!$A$2:$B$159,2,FALSE())</f>
        <v>0.2494</v>
      </c>
      <c r="I87" s="80" t="str">
        <f aca="false">VLOOKUP(A87,'Regional lookup table'!$A$2:$B$162,2,FALSE())</f>
        <v>Western Europe</v>
      </c>
    </row>
    <row r="88" customFormat="false" ht="15.75" hidden="false" customHeight="false" outlineLevel="0" collapsed="false">
      <c r="A88" s="129" t="str">
        <f aca="false">'Sovereign Ratings (Moody''s,S&amp;P)'!A88</f>
        <v>Macao</v>
      </c>
      <c r="B88" s="127" t="n">
        <f aca="false">VLOOKUP(A88,'Country GDP'!$A$2:$B$181,2,FALSE())</f>
        <v>49467.2589233244</v>
      </c>
      <c r="C88" s="48" t="str">
        <f aca="false">VLOOKUP(A88,'Sovereign Ratings (Moody''s,S&amp;P)'!$A$2:$D$158,4,FALSE())</f>
        <v>Aa3</v>
      </c>
      <c r="D88" s="50" t="str">
        <f aca="false">VLOOKUP(A88,'10-year CDS Spreads'!$A$2:$C$158,3,FALSE())</f>
        <v>NA</v>
      </c>
      <c r="E88" s="49" t="n">
        <f aca="false">VLOOKUP(A88,'ERPs by country'!$A$9:$F$165,4,FALSE())</f>
        <v>0.00509398747838143</v>
      </c>
      <c r="F88" s="130" t="n">
        <f aca="false">VLOOKUP(A88,'ERPs by country'!$A$9:$F$165,5,FALSE())</f>
        <v>0.0500600691272888</v>
      </c>
      <c r="G88" s="52" t="n">
        <f aca="false">VLOOKUP(A88,'ERPs by country'!$A$9:$F$165,6,FALSE())</f>
        <v>0.0077600691272888</v>
      </c>
      <c r="H88" s="52" t="n">
        <f aca="false">VLOOKUP(A88,'Country Tax Rates'!$A$2:$B$159,2,FALSE())</f>
        <v>0.25</v>
      </c>
      <c r="I88" s="80" t="str">
        <f aca="false">VLOOKUP(A88,'Regional lookup table'!$A$2:$B$162,2,FALSE())</f>
        <v>Asia</v>
      </c>
    </row>
    <row r="89" customFormat="false" ht="15.75" hidden="false" customHeight="false" outlineLevel="0" collapsed="false">
      <c r="A89" s="129" t="str">
        <f aca="false">'Sovereign Ratings (Moody''s,S&amp;P)'!A89</f>
        <v>Macedonia</v>
      </c>
      <c r="B89" s="127" t="n">
        <f aca="false">VLOOKUP(A89,'Country GDP'!$A$2:$B$181,2,FALSE())</f>
        <v>16951.6822454202</v>
      </c>
      <c r="C89" s="48" t="str">
        <f aca="false">VLOOKUP(A89,'Sovereign Ratings (Moody''s,S&amp;P)'!$A$2:$D$158,4,FALSE())</f>
        <v>Ba3</v>
      </c>
      <c r="D89" s="50" t="str">
        <f aca="false">VLOOKUP(A89,'10-year CDS Spreads'!$A$2:$C$158,3,FALSE())</f>
        <v>NA</v>
      </c>
      <c r="E89" s="49" t="n">
        <f aca="false">VLOOKUP(A89,'ERPs by country'!$A$9:$F$165,4,FALSE())</f>
        <v>0.0305639248702886</v>
      </c>
      <c r="F89" s="130" t="n">
        <f aca="false">VLOOKUP(A89,'ERPs by country'!$A$9:$F$165,5,FALSE())</f>
        <v>0.0888604147637328</v>
      </c>
      <c r="G89" s="52" t="n">
        <f aca="false">VLOOKUP(A89,'ERPs by country'!$A$9:$F$165,6,FALSE())</f>
        <v>0.0465604147637328</v>
      </c>
      <c r="H89" s="52" t="n">
        <f aca="false">VLOOKUP(A89,'Country Tax Rates'!$A$2:$B$159,2,FALSE())</f>
        <v>0.1</v>
      </c>
      <c r="I89" s="80" t="str">
        <f aca="false">VLOOKUP(A89,'Regional lookup table'!$A$2:$B$162,2,FALSE())</f>
        <v>Eastern Europe &amp; Russia</v>
      </c>
    </row>
    <row r="90" customFormat="false" ht="15.75" hidden="false" customHeight="false" outlineLevel="0" collapsed="false">
      <c r="A90" s="129" t="str">
        <f aca="false">'Sovereign Ratings (Moody''s,S&amp;P)'!A90</f>
        <v>Malaysia</v>
      </c>
      <c r="B90" s="127" t="n">
        <f aca="false">VLOOKUP(A90,'Country GDP'!$A$2:$B$181,2,FALSE())</f>
        <v>422227.005428688</v>
      </c>
      <c r="C90" s="48" t="str">
        <f aca="false">VLOOKUP(A90,'Sovereign Ratings (Moody''s,S&amp;P)'!$A$2:$D$158,4,FALSE())</f>
        <v>A3</v>
      </c>
      <c r="D90" s="50" t="n">
        <f aca="false">VLOOKUP(A90,'10-year CDS Spreads'!$A$2:$C$158,3,FALSE())</f>
        <v>0.0067</v>
      </c>
      <c r="E90" s="49" t="n">
        <f aca="false">VLOOKUP(A90,'ERPs by country'!$A$9:$F$165,4,FALSE())</f>
        <v>0.0101879749567629</v>
      </c>
      <c r="F90" s="130" t="n">
        <f aca="false">VLOOKUP(A90,'ERPs by country'!$A$9:$F$165,5,FALSE())</f>
        <v>0.0578201382545776</v>
      </c>
      <c r="G90" s="52" t="n">
        <f aca="false">VLOOKUP(A90,'ERPs by country'!$A$9:$F$165,6,FALSE())</f>
        <v>0.0155201382545776</v>
      </c>
      <c r="H90" s="52" t="n">
        <f aca="false">VLOOKUP(A90,'Country Tax Rates'!$A$2:$B$159,2,FALSE())</f>
        <v>0.24</v>
      </c>
      <c r="I90" s="80" t="str">
        <f aca="false">VLOOKUP(A90,'Regional lookup table'!$A$2:$B$162,2,FALSE())</f>
        <v>Asia</v>
      </c>
    </row>
    <row r="91" customFormat="false" ht="15.75" hidden="false" customHeight="false" outlineLevel="0" collapsed="false">
      <c r="A91" s="129" t="str">
        <f aca="false">'Sovereign Ratings (Moody''s,S&amp;P)'!A91</f>
        <v>Maldives</v>
      </c>
      <c r="B91" s="127" t="n">
        <f aca="false">VLOOKUP(A91,'Country GDP'!$A$2:$B$181,2,FALSE())</f>
        <v>7061.60826725451</v>
      </c>
      <c r="C91" s="48" t="str">
        <f aca="false">VLOOKUP(A91,'Sovereign Ratings (Moody''s,S&amp;P)'!$A$2:$D$158,4,FALSE())</f>
        <v>Caa2</v>
      </c>
      <c r="D91" s="50" t="str">
        <f aca="false">VLOOKUP(A91,'10-year CDS Spreads'!$A$2:$C$158,3,FALSE())</f>
        <v>NA</v>
      </c>
      <c r="E91" s="49" t="n">
        <f aca="false">VLOOKUP(A91,'ERPs by country'!$A$9:$F$165,4,FALSE())</f>
        <v>0.0765096942831406</v>
      </c>
      <c r="F91" s="130" t="n">
        <f aca="false">VLOOKUP(A91,'ERPs by country'!$A$9:$F$165,5,FALSE())</f>
        <v>0.158853195127514</v>
      </c>
      <c r="G91" s="52" t="n">
        <f aca="false">VLOOKUP(A91,'ERPs by country'!$A$9:$F$165,6,FALSE())</f>
        <v>0.116553195127514</v>
      </c>
      <c r="H91" s="52" t="n">
        <f aca="false">VLOOKUP(A91,'Country Tax Rates'!$A$2:$B$159,2,FALSE())</f>
        <v>0.15</v>
      </c>
      <c r="I91" s="80" t="str">
        <f aca="false">VLOOKUP(A91,'Regional lookup table'!$A$2:$B$162,2,FALSE())</f>
        <v>Asia</v>
      </c>
    </row>
    <row r="92" customFormat="false" ht="15.75" hidden="false" customHeight="false" outlineLevel="0" collapsed="false">
      <c r="A92" s="129" t="str">
        <f aca="false">'Sovereign Ratings (Moody''s,S&amp;P)'!A92</f>
        <v>Mali</v>
      </c>
      <c r="B92" s="127" t="n">
        <f aca="false">VLOOKUP(A92,'Country GDP'!$A$2:$B$181,2,FALSE())</f>
        <v>26794.7472398805</v>
      </c>
      <c r="C92" s="48" t="str">
        <f aca="false">VLOOKUP(A92,'Sovereign Ratings (Moody''s,S&amp;P)'!$A$2:$D$158,4,FALSE())</f>
        <v>Caa2</v>
      </c>
      <c r="D92" s="50" t="str">
        <f aca="false">VLOOKUP(A92,'10-year CDS Spreads'!$A$2:$C$158,3,FALSE())</f>
        <v>NA</v>
      </c>
      <c r="E92" s="49" t="n">
        <f aca="false">VLOOKUP(A92,'ERPs by country'!$A$9:$F$165,4,FALSE())</f>
        <v>0.0765096942831406</v>
      </c>
      <c r="F92" s="130" t="n">
        <f aca="false">VLOOKUP(A92,'ERPs by country'!$A$9:$F$165,5,FALSE())</f>
        <v>0.158853195127514</v>
      </c>
      <c r="G92" s="52" t="n">
        <f aca="false">VLOOKUP(A92,'ERPs by country'!$A$9:$F$165,6,FALSE())</f>
        <v>0.116553195127514</v>
      </c>
      <c r="H92" s="52" t="n">
        <f aca="false">VLOOKUP(A92,'Country Tax Rates'!$A$2:$B$159,2,FALSE())</f>
        <v>0.3</v>
      </c>
      <c r="I92" s="80" t="str">
        <f aca="false">VLOOKUP(A92,'Regional lookup table'!$A$2:$B$162,2,FALSE())</f>
        <v>Africa</v>
      </c>
    </row>
    <row r="93" customFormat="false" ht="15.75" hidden="false" customHeight="false" outlineLevel="0" collapsed="false">
      <c r="A93" s="129" t="str">
        <f aca="false">'Sovereign Ratings (Moody''s,S&amp;P)'!A93</f>
        <v>Malta</v>
      </c>
      <c r="B93" s="127" t="n">
        <f aca="false">VLOOKUP(A93,'Country GDP'!$A$2:$B$181,2,FALSE())</f>
        <v>24971.5745024475</v>
      </c>
      <c r="C93" s="48" t="str">
        <f aca="false">VLOOKUP(A93,'Sovereign Ratings (Moody''s,S&amp;P)'!$A$2:$D$158,4,FALSE())</f>
        <v>A2</v>
      </c>
      <c r="D93" s="50" t="str">
        <f aca="false">VLOOKUP(A93,'10-year CDS Spreads'!$A$2:$C$158,3,FALSE())</f>
        <v>NA</v>
      </c>
      <c r="E93" s="49" t="n">
        <f aca="false">VLOOKUP(A93,'ERPs by country'!$A$9:$F$165,4,FALSE())</f>
        <v>0.00719151173418554</v>
      </c>
      <c r="F93" s="130" t="n">
        <f aca="false">VLOOKUP(A93,'ERPs by country'!$A$9:$F$165,5,FALSE())</f>
        <v>0.0532553917091136</v>
      </c>
      <c r="G93" s="52" t="n">
        <f aca="false">VLOOKUP(A93,'ERPs by country'!$A$9:$F$165,6,FALSE())</f>
        <v>0.0109553917091136</v>
      </c>
      <c r="H93" s="52" t="n">
        <f aca="false">VLOOKUP(A93,'Country Tax Rates'!$A$2:$B$159,2,FALSE())</f>
        <v>0.35</v>
      </c>
      <c r="I93" s="80" t="str">
        <f aca="false">VLOOKUP(A93,'Regional lookup table'!$A$2:$B$162,2,FALSE())</f>
        <v>Western Europe</v>
      </c>
    </row>
    <row r="94" customFormat="false" ht="15.75" hidden="false" customHeight="false" outlineLevel="0" collapsed="false">
      <c r="A94" s="129" t="str">
        <f aca="false">'Sovereign Ratings (Moody''s,S&amp;P)'!A94</f>
        <v>Mauritius</v>
      </c>
      <c r="B94" s="127" t="n">
        <f aca="false">VLOOKUP(A94,'Country GDP'!$A$2:$B$181,2,FALSE())</f>
        <v>14937.86178617</v>
      </c>
      <c r="C94" s="48" t="str">
        <f aca="false">VLOOKUP(A94,'Sovereign Ratings (Moody''s,S&amp;P)'!$A$2:$D$158,4,FALSE())</f>
        <v>Baa3</v>
      </c>
      <c r="D94" s="50" t="str">
        <f aca="false">VLOOKUP(A94,'10-year CDS Spreads'!$A$2:$C$158,3,FALSE())</f>
        <v>NA</v>
      </c>
      <c r="E94" s="49" t="n">
        <f aca="false">VLOOKUP(A94,'ERPs by country'!$A$9:$F$165,4,FALSE())</f>
        <v>0.0186779540873986</v>
      </c>
      <c r="F94" s="130" t="n">
        <f aca="false">VLOOKUP(A94,'ERPs by country'!$A$9:$F$165,5,FALSE())</f>
        <v>0.0707535868000589</v>
      </c>
      <c r="G94" s="52" t="n">
        <f aca="false">VLOOKUP(A94,'ERPs by country'!$A$9:$F$165,6,FALSE())</f>
        <v>0.0284535868000589</v>
      </c>
      <c r="H94" s="52" t="n">
        <f aca="false">VLOOKUP(A94,'Country Tax Rates'!$A$2:$B$159,2,FALSE())</f>
        <v>0.15</v>
      </c>
      <c r="I94" s="80" t="str">
        <f aca="false">VLOOKUP(A94,'Regional lookup table'!$A$2:$B$162,2,FALSE())</f>
        <v>Africa</v>
      </c>
    </row>
    <row r="95" customFormat="false" ht="15.75" hidden="false" customHeight="false" outlineLevel="0" collapsed="false">
      <c r="A95" s="129" t="str">
        <f aca="false">'Sovereign Ratings (Moody''s,S&amp;P)'!A95</f>
        <v>Mexico</v>
      </c>
      <c r="B95" s="127" t="n">
        <f aca="false">VLOOKUP(A95,'Country GDP'!$A$2:$B$181,2,FALSE())</f>
        <v>1856365.61616594</v>
      </c>
      <c r="C95" s="48" t="str">
        <f aca="false">VLOOKUP(A95,'Sovereign Ratings (Moody''s,S&amp;P)'!$A$2:$D$158,4,FALSE())</f>
        <v>Baa2</v>
      </c>
      <c r="D95" s="50" t="n">
        <f aca="false">VLOOKUP(A95,'10-year CDS Spreads'!$A$2:$C$158,3,FALSE())</f>
        <v>0.0166</v>
      </c>
      <c r="E95" s="49" t="n">
        <f aca="false">VLOOKUP(A95,'ERPs by country'!$A$9:$F$165,4,FALSE())</f>
        <v>0.0161809014019175</v>
      </c>
      <c r="F95" s="130" t="n">
        <f aca="false">VLOOKUP(A95,'ERPs by country'!$A$9:$F$165,5,FALSE())</f>
        <v>0.0669496313455056</v>
      </c>
      <c r="G95" s="52" t="n">
        <f aca="false">VLOOKUP(A95,'ERPs by country'!$A$9:$F$165,6,FALSE())</f>
        <v>0.0246496313455056</v>
      </c>
      <c r="H95" s="52" t="n">
        <f aca="false">VLOOKUP(A95,'Country Tax Rates'!$A$2:$B$159,2,FALSE())</f>
        <v>0.3</v>
      </c>
      <c r="I95" s="80" t="str">
        <f aca="false">VLOOKUP(A95,'Regional lookup table'!$A$2:$B$162,2,FALSE())</f>
        <v>Central and South America</v>
      </c>
    </row>
    <row r="96" customFormat="false" ht="15.75" hidden="false" customHeight="false" outlineLevel="0" collapsed="false">
      <c r="A96" s="129" t="str">
        <f aca="false">'Sovereign Ratings (Moody''s,S&amp;P)'!A96</f>
        <v>Moldova</v>
      </c>
      <c r="B96" s="127" t="n">
        <f aca="false">VLOOKUP(A96,'Country GDP'!$A$2:$B$181,2,FALSE())</f>
        <v>18200.3408536517</v>
      </c>
      <c r="C96" s="48" t="str">
        <f aca="false">VLOOKUP(A96,'Sovereign Ratings (Moody''s,S&amp;P)'!$A$2:$D$158,4,FALSE())</f>
        <v>B3</v>
      </c>
      <c r="D96" s="50" t="str">
        <f aca="false">VLOOKUP(A96,'10-year CDS Spreads'!$A$2:$C$158,3,FALSE())</f>
        <v>NA</v>
      </c>
      <c r="E96" s="49" t="n">
        <f aca="false">VLOOKUP(A96,'ERPs by country'!$A$9:$F$165,4,FALSE())</f>
        <v>0.0552348054028417</v>
      </c>
      <c r="F96" s="130" t="n">
        <f aca="false">VLOOKUP(A96,'ERPs by country'!$A$9:$F$165,5,FALSE())</f>
        <v>0.12644349465472</v>
      </c>
      <c r="G96" s="52" t="n">
        <f aca="false">VLOOKUP(A96,'ERPs by country'!$A$9:$F$165,6,FALSE())</f>
        <v>0.0841434946547197</v>
      </c>
      <c r="H96" s="52" t="n">
        <f aca="false">VLOOKUP(A96,'Country Tax Rates'!$A$2:$B$159,2,FALSE())</f>
        <v>0.12</v>
      </c>
      <c r="I96" s="80" t="str">
        <f aca="false">VLOOKUP(A96,'Regional lookup table'!$A$2:$B$162,2,FALSE())</f>
        <v>Eastern Europe &amp; Russia</v>
      </c>
    </row>
    <row r="97" customFormat="false" ht="15.75" hidden="false" customHeight="false" outlineLevel="0" collapsed="false">
      <c r="A97" s="129" t="str">
        <f aca="false">'Sovereign Ratings (Moody''s,S&amp;P)'!A97</f>
        <v>Mongolia</v>
      </c>
      <c r="B97" s="127" t="n">
        <f aca="false">VLOOKUP(A97,'Country GDP'!$A$2:$B$181,2,FALSE())</f>
        <v>23794.5400245132</v>
      </c>
      <c r="C97" s="48" t="str">
        <f aca="false">VLOOKUP(A97,'Sovereign Ratings (Moody''s,S&amp;P)'!$A$2:$D$158,4,FALSE())</f>
        <v>B1</v>
      </c>
      <c r="D97" s="50" t="str">
        <f aca="false">VLOOKUP(A97,'10-year CDS Spreads'!$A$2:$C$158,3,FALSE())</f>
        <v>NA</v>
      </c>
      <c r="E97" s="49" t="n">
        <f aca="false">VLOOKUP(A97,'ERPs by country'!$A$9:$F$165,4,FALSE())</f>
        <v>0.0382548471415703</v>
      </c>
      <c r="F97" s="130" t="n">
        <f aca="false">VLOOKUP(A97,'ERPs by country'!$A$9:$F$165,5,FALSE())</f>
        <v>0.100576597563757</v>
      </c>
      <c r="G97" s="52" t="n">
        <f aca="false">VLOOKUP(A97,'ERPs by country'!$A$9:$F$165,6,FALSE())</f>
        <v>0.058276597563757</v>
      </c>
      <c r="H97" s="52" t="n">
        <f aca="false">VLOOKUP(A97,'Country Tax Rates'!$A$2:$B$159,2,FALSE())</f>
        <v>0.25</v>
      </c>
      <c r="I97" s="80" t="str">
        <f aca="false">VLOOKUP(A97,'Regional lookup table'!$A$2:$B$162,2,FALSE())</f>
        <v>Asia</v>
      </c>
    </row>
    <row r="98" customFormat="false" ht="15.75" hidden="false" customHeight="false" outlineLevel="0" collapsed="false">
      <c r="A98" s="129" t="str">
        <f aca="false">'Sovereign Ratings (Moody''s,S&amp;P)'!A98</f>
        <v>Montenegro</v>
      </c>
      <c r="B98" s="127" t="n">
        <f aca="false">VLOOKUP(A98,'Country GDP'!$A$2:$B$181,2,FALSE())</f>
        <v>8270.01667086774</v>
      </c>
      <c r="C98" s="48" t="str">
        <f aca="false">VLOOKUP(A98,'Sovereign Ratings (Moody''s,S&amp;P)'!$A$2:$D$158,4,FALSE())</f>
        <v>B1</v>
      </c>
      <c r="D98" s="50" t="str">
        <f aca="false">VLOOKUP(A98,'10-year CDS Spreads'!$A$2:$C$158,3,FALSE())</f>
        <v>NA</v>
      </c>
      <c r="E98" s="49" t="n">
        <f aca="false">VLOOKUP(A98,'ERPs by country'!$A$9:$F$165,4,FALSE())</f>
        <v>0.0382548471415703</v>
      </c>
      <c r="F98" s="130" t="n">
        <f aca="false">VLOOKUP(A98,'ERPs by country'!$A$9:$F$165,5,FALSE())</f>
        <v>0.100576597563757</v>
      </c>
      <c r="G98" s="52" t="n">
        <f aca="false">VLOOKUP(A98,'ERPs by country'!$A$9:$F$165,6,FALSE())</f>
        <v>0.058276597563757</v>
      </c>
      <c r="H98" s="52" t="n">
        <f aca="false">VLOOKUP(A98,'Country Tax Rates'!$A$2:$B$159,2,FALSE())</f>
        <v>0.15</v>
      </c>
      <c r="I98" s="80" t="str">
        <f aca="false">VLOOKUP(A98,'Regional lookup table'!$A$2:$B$162,2,FALSE())</f>
        <v>Eastern Europe &amp; Russia</v>
      </c>
    </row>
    <row r="99" customFormat="false" ht="15.75" hidden="false" customHeight="false" outlineLevel="0" collapsed="false">
      <c r="A99" s="129" t="str">
        <f aca="false">'Sovereign Ratings (Moody''s,S&amp;P)'!A99</f>
        <v>Montserrat</v>
      </c>
      <c r="B99" s="127" t="n">
        <f aca="false">VLOOKUP(A99,'Country GDP'!$A$2:$B$181,2,FALSE())</f>
        <v>16199</v>
      </c>
      <c r="C99" s="48" t="str">
        <f aca="false">VLOOKUP(A99,'Sovereign Ratings (Moody''s,S&amp;P)'!$A$2:$D$158,4,FALSE())</f>
        <v>Baa3</v>
      </c>
      <c r="D99" s="50" t="str">
        <f aca="false">VLOOKUP(A99,'10-year CDS Spreads'!$A$2:$C$158,3,FALSE())</f>
        <v>NA</v>
      </c>
      <c r="E99" s="49" t="n">
        <f aca="false">VLOOKUP(A99,'ERPs by country'!$A$9:$F$165,4,FALSE())</f>
        <v>0.0186779540873986</v>
      </c>
      <c r="F99" s="130" t="n">
        <f aca="false">VLOOKUP(A99,'ERPs by country'!$A$9:$F$165,5,FALSE())</f>
        <v>0.0707535868000589</v>
      </c>
      <c r="G99" s="52" t="n">
        <f aca="false">VLOOKUP(A99,'ERPs by country'!$A$9:$F$165,6,FALSE())</f>
        <v>0.0284535868000589</v>
      </c>
      <c r="H99" s="52" t="n">
        <f aca="false">VLOOKUP(A99,'Country Tax Rates'!$A$2:$B$159,2,FALSE())</f>
        <v>0.3</v>
      </c>
      <c r="I99" s="80" t="str">
        <f aca="false">VLOOKUP(A99,'Regional lookup table'!$A$2:$B$162,2,FALSE())</f>
        <v>Caribbean</v>
      </c>
    </row>
    <row r="100" customFormat="false" ht="15.75" hidden="false" customHeight="false" outlineLevel="0" collapsed="false">
      <c r="A100" s="129" t="str">
        <f aca="false">'Sovereign Ratings (Moody''s,S&amp;P)'!A100</f>
        <v>Morocco</v>
      </c>
      <c r="B100" s="127" t="n">
        <f aca="false">VLOOKUP(A100,'Country GDP'!$A$2:$B$181,2,FALSE())</f>
        <v>160610.994054734</v>
      </c>
      <c r="C100" s="48" t="str">
        <f aca="false">VLOOKUP(A100,'Sovereign Ratings (Moody''s,S&amp;P)'!$A$2:$D$158,4,FALSE())</f>
        <v>Ba1</v>
      </c>
      <c r="D100" s="50" t="n">
        <f aca="false">VLOOKUP(A100,'10-year CDS Spreads'!$A$2:$C$158,3,FALSE())</f>
        <v>0.013</v>
      </c>
      <c r="E100" s="49" t="n">
        <f aca="false">VLOOKUP(A100,'ERPs by country'!$A$9:$F$165,4,FALSE())</f>
        <v>0.0212748888802989</v>
      </c>
      <c r="F100" s="130" t="n">
        <f aca="false">VLOOKUP(A100,'ERPs by country'!$A$9:$F$165,5,FALSE())</f>
        <v>0.0747097004727944</v>
      </c>
      <c r="G100" s="52" t="n">
        <f aca="false">VLOOKUP(A100,'ERPs by country'!$A$9:$F$165,6,FALSE())</f>
        <v>0.0324097004727944</v>
      </c>
      <c r="H100" s="52" t="n">
        <f aca="false">VLOOKUP(A100,'Country Tax Rates'!$A$2:$B$159,2,FALSE())</f>
        <v>0.33</v>
      </c>
      <c r="I100" s="80" t="str">
        <f aca="false">VLOOKUP(A100,'Regional lookup table'!$A$2:$B$162,2,FALSE())</f>
        <v>Africa</v>
      </c>
    </row>
    <row r="101" customFormat="false" ht="15.75" hidden="false" customHeight="false" outlineLevel="0" collapsed="false">
      <c r="A101" s="129" t="str">
        <f aca="false">'Sovereign Ratings (Moody''s,S&amp;P)'!A101</f>
        <v>Mozambique</v>
      </c>
      <c r="B101" s="127" t="n">
        <f aca="false">VLOOKUP(A101,'Country GDP'!$A$2:$B$181,2,FALSE())</f>
        <v>22745.3413050622</v>
      </c>
      <c r="C101" s="48" t="str">
        <f aca="false">VLOOKUP(A101,'Sovereign Ratings (Moody''s,S&amp;P)'!$A$2:$D$158,4,FALSE())</f>
        <v>Caa3</v>
      </c>
      <c r="D101" s="50" t="str">
        <f aca="false">VLOOKUP(A101,'10-year CDS Spreads'!$A$2:$C$158,3,FALSE())</f>
        <v>NA</v>
      </c>
      <c r="E101" s="49" t="n">
        <f aca="false">VLOOKUP(A101,'ERPs by country'!$A$9:$F$165,4,FALSE())</f>
        <v>0.0849996734137763</v>
      </c>
      <c r="F101" s="130" t="n">
        <f aca="false">VLOOKUP(A101,'ERPs by country'!$A$9:$F$165,5,FALSE())</f>
        <v>0.171786643672995</v>
      </c>
      <c r="G101" s="52" t="n">
        <f aca="false">VLOOKUP(A101,'ERPs by country'!$A$9:$F$165,6,FALSE())</f>
        <v>0.129486643672995</v>
      </c>
      <c r="H101" s="52" t="n">
        <f aca="false">VLOOKUP(A101,'Country Tax Rates'!$A$2:$B$159,2,FALSE())</f>
        <v>0.32</v>
      </c>
      <c r="I101" s="80" t="str">
        <f aca="false">VLOOKUP(A101,'Regional lookup table'!$A$2:$B$162,2,FALSE())</f>
        <v>Africa</v>
      </c>
    </row>
    <row r="102" customFormat="false" ht="15.75" hidden="false" customHeight="false" outlineLevel="0" collapsed="false">
      <c r="A102" s="129" t="str">
        <f aca="false">'Sovereign Ratings (Moody''s,S&amp;P)'!A102</f>
        <v>Namibia</v>
      </c>
      <c r="B102" s="127" t="n">
        <f aca="false">VLOOKUP(A102,'Country GDP'!$A$2:$B$181,2,FALSE())</f>
        <v>13372.354511716</v>
      </c>
      <c r="C102" s="48" t="str">
        <f aca="false">VLOOKUP(A102,'Sovereign Ratings (Moody''s,S&amp;P)'!$A$2:$D$158,4,FALSE())</f>
        <v>B1</v>
      </c>
      <c r="D102" s="50" t="str">
        <f aca="false">VLOOKUP(A102,'10-year CDS Spreads'!$A$2:$C$158,3,FALSE())</f>
        <v>NA</v>
      </c>
      <c r="E102" s="49" t="n">
        <f aca="false">VLOOKUP(A102,'ERPs by country'!$A$9:$F$165,4,FALSE())</f>
        <v>0.0382548471415703</v>
      </c>
      <c r="F102" s="130" t="n">
        <f aca="false">VLOOKUP(A102,'ERPs by country'!$A$9:$F$165,5,FALSE())</f>
        <v>0.100576597563757</v>
      </c>
      <c r="G102" s="52" t="n">
        <f aca="false">VLOOKUP(A102,'ERPs by country'!$A$9:$F$165,6,FALSE())</f>
        <v>0.058276597563757</v>
      </c>
      <c r="H102" s="52" t="n">
        <f aca="false">VLOOKUP(A102,'Country Tax Rates'!$A$2:$B$159,2,FALSE())</f>
        <v>0.32</v>
      </c>
      <c r="I102" s="80" t="str">
        <f aca="false">VLOOKUP(A102,'Regional lookup table'!$A$2:$B$162,2,FALSE())</f>
        <v>Africa</v>
      </c>
    </row>
    <row r="103" customFormat="false" ht="15.75" hidden="false" customHeight="false" outlineLevel="0" collapsed="false">
      <c r="A103" s="129" t="str">
        <f aca="false">'Sovereign Ratings (Moody''s,S&amp;P)'!A103</f>
        <v>Nepal</v>
      </c>
      <c r="B103" s="127" t="n">
        <f aca="false">VLOOKUP(A103,'Country GDP'!$A$2:$B$181,2,FALSE())</f>
        <v>42914.2682867109</v>
      </c>
      <c r="C103" s="48" t="str">
        <f aca="false">VLOOKUP(A103,'Sovereign Ratings (Moody''s,S&amp;P)'!$A$2:$D$158,4,FALSE())</f>
        <v>Ba3</v>
      </c>
      <c r="D103" s="50" t="str">
        <f aca="false">VLOOKUP(A103,'10-year CDS Spreads'!$A$2:$C$158,3,FALSE())</f>
        <v>NA</v>
      </c>
      <c r="E103" s="49" t="n">
        <f aca="false">VLOOKUP(A103,'ERPs by country'!$A$9:$F$165,4,FALSE())</f>
        <v>0.0305639248702886</v>
      </c>
      <c r="F103" s="130" t="n">
        <f aca="false">VLOOKUP(A103,'ERPs by country'!$A$9:$F$165,5,FALSE())</f>
        <v>0.0888604147637328</v>
      </c>
      <c r="G103" s="52" t="n">
        <f aca="false">VLOOKUP(A103,'ERPs by country'!$A$9:$F$165,6,FALSE())</f>
        <v>0.0465604147637328</v>
      </c>
      <c r="H103" s="52" t="n">
        <f aca="false">VLOOKUP(A103,'Country Tax Rates'!$A$2:$B$159,2,FALSE())</f>
        <v>0.25</v>
      </c>
      <c r="I103" s="80" t="str">
        <f aca="false">VLOOKUP(A103,'Regional lookup table'!$A$2:$B$162,2,FALSE())</f>
        <v>Asia</v>
      </c>
    </row>
    <row r="104" customFormat="false" ht="15.75" hidden="false" customHeight="false" outlineLevel="0" collapsed="false">
      <c r="A104" s="129" t="str">
        <f aca="false">'Sovereign Ratings (Moody''s,S&amp;P)'!A104</f>
        <v>Netherlands</v>
      </c>
      <c r="B104" s="127" t="n">
        <f aca="false">VLOOKUP(A104,'Country GDP'!$A$2:$B$181,2,FALSE())</f>
        <v>1214927.69857266</v>
      </c>
      <c r="C104" s="48" t="str">
        <f aca="false">VLOOKUP(A104,'Sovereign Ratings (Moody''s,S&amp;P)'!$A$2:$D$158,4,FALSE())</f>
        <v>Aaa</v>
      </c>
      <c r="D104" s="50" t="n">
        <f aca="false">VLOOKUP(A104,'10-year CDS Spreads'!$A$2:$C$158,3,FALSE())</f>
        <v>0.002</v>
      </c>
      <c r="E104" s="49" t="n">
        <f aca="false">VLOOKUP(A104,'ERPs by country'!$A$9:$F$165,4,FALSE())</f>
        <v>0</v>
      </c>
      <c r="F104" s="130" t="n">
        <f aca="false">VLOOKUP(A104,'ERPs by country'!$A$9:$F$165,5,FALSE())</f>
        <v>0.0423</v>
      </c>
      <c r="G104" s="52" t="n">
        <f aca="false">VLOOKUP(A104,'ERPs by country'!$A$9:$F$165,6,FALSE())</f>
        <v>0</v>
      </c>
      <c r="H104" s="52" t="n">
        <f aca="false">VLOOKUP(A104,'Country Tax Rates'!$A$2:$B$159,2,FALSE())</f>
        <v>0.258</v>
      </c>
      <c r="I104" s="80" t="str">
        <f aca="false">VLOOKUP(A104,'Regional lookup table'!$A$2:$B$162,2,FALSE())</f>
        <v>Western Europe</v>
      </c>
    </row>
    <row r="105" customFormat="false" ht="15.75" hidden="false" customHeight="false" outlineLevel="0" collapsed="false">
      <c r="A105" s="129" t="str">
        <f aca="false">'Sovereign Ratings (Moody''s,S&amp;P)'!A105</f>
        <v>New Zealand</v>
      </c>
      <c r="B105" s="127" t="n">
        <f aca="false">VLOOKUP(A105,'Country GDP'!$A$2:$B$181,2,FALSE())</f>
        <v>260172.385097616</v>
      </c>
      <c r="C105" s="48" t="str">
        <f aca="false">VLOOKUP(A105,'Sovereign Ratings (Moody''s,S&amp;P)'!$A$2:$D$158,4,FALSE())</f>
        <v>Aaa</v>
      </c>
      <c r="D105" s="50" t="n">
        <f aca="false">VLOOKUP(A105,'10-year CDS Spreads'!$A$2:$C$158,3,FALSE())</f>
        <v>0.0023</v>
      </c>
      <c r="E105" s="49" t="n">
        <f aca="false">VLOOKUP(A105,'ERPs by country'!$A$9:$F$165,4,FALSE())</f>
        <v>0</v>
      </c>
      <c r="F105" s="130" t="n">
        <f aca="false">VLOOKUP(A105,'ERPs by country'!$A$9:$F$165,5,FALSE())</f>
        <v>0.0423</v>
      </c>
      <c r="G105" s="52" t="n">
        <f aca="false">VLOOKUP(A105,'ERPs by country'!$A$9:$F$165,6,FALSE())</f>
        <v>0</v>
      </c>
      <c r="H105" s="52" t="n">
        <f aca="false">VLOOKUP(A105,'Country Tax Rates'!$A$2:$B$159,2,FALSE())</f>
        <v>0.28</v>
      </c>
      <c r="I105" s="80" t="str">
        <f aca="false">VLOOKUP(A105,'Regional lookup table'!$A$2:$B$162,2,FALSE())</f>
        <v>Australia &amp; New Zealand</v>
      </c>
    </row>
    <row r="106" customFormat="false" ht="15.75" hidden="false" customHeight="false" outlineLevel="0" collapsed="false">
      <c r="A106" s="129" t="str">
        <f aca="false">'Sovereign Ratings (Moody''s,S&amp;P)'!A106</f>
        <v>Nicaragua</v>
      </c>
      <c r="B106" s="127" t="n">
        <f aca="false">VLOOKUP(A106,'Country GDP'!$A$2:$B$181,2,FALSE())</f>
        <v>19693.9829675926</v>
      </c>
      <c r="C106" s="48" t="str">
        <f aca="false">VLOOKUP(A106,'Sovereign Ratings (Moody''s,S&amp;P)'!$A$2:$D$158,4,FALSE())</f>
        <v>B2</v>
      </c>
      <c r="D106" s="50" t="n">
        <f aca="false">VLOOKUP(A106,'10-year CDS Spreads'!$A$2:$C$158,3,FALSE())</f>
        <v>0.0529</v>
      </c>
      <c r="E106" s="49" t="n">
        <f aca="false">VLOOKUP(A106,'ERPs by country'!$A$9:$F$165,4,FALSE())</f>
        <v>0.046744826272206</v>
      </c>
      <c r="F106" s="130" t="n">
        <f aca="false">VLOOKUP(A106,'ERPs by country'!$A$9:$F$165,5,FALSE())</f>
        <v>0.113510046109238</v>
      </c>
      <c r="G106" s="52" t="n">
        <f aca="false">VLOOKUP(A106,'ERPs by country'!$A$9:$F$165,6,FALSE())</f>
        <v>0.0712100461092384</v>
      </c>
      <c r="H106" s="52" t="n">
        <f aca="false">VLOOKUP(A106,'Country Tax Rates'!$A$2:$B$159,2,FALSE())</f>
        <v>0.3</v>
      </c>
      <c r="I106" s="80" t="str">
        <f aca="false">VLOOKUP(A106,'Regional lookup table'!$A$2:$B$162,2,FALSE())</f>
        <v>Central and South America</v>
      </c>
    </row>
    <row r="107" customFormat="false" ht="15.75" hidden="false" customHeight="false" outlineLevel="0" collapsed="false">
      <c r="A107" s="129" t="str">
        <f aca="false">'Sovereign Ratings (Moody''s,S&amp;P)'!A107</f>
        <v>Niger</v>
      </c>
      <c r="B107" s="127" t="n">
        <f aca="false">VLOOKUP(A107,'Country GDP'!$A$2:$B$181,2,FALSE())</f>
        <v>19876.1284857857</v>
      </c>
      <c r="C107" s="48" t="str">
        <f aca="false">VLOOKUP(A107,'Sovereign Ratings (Moody''s,S&amp;P)'!$A$2:$D$158,4,FALSE())</f>
        <v>Caa3</v>
      </c>
      <c r="D107" s="50" t="str">
        <f aca="false">VLOOKUP(A107,'10-year CDS Spreads'!$A$2:$C$158,3,FALSE())</f>
        <v>NA</v>
      </c>
      <c r="E107" s="49" t="n">
        <f aca="false">VLOOKUP(A107,'ERPs by country'!$A$9:$F$165,4,FALSE())</f>
        <v>0.0849996734137763</v>
      </c>
      <c r="F107" s="130" t="n">
        <f aca="false">VLOOKUP(A107,'ERPs by country'!$A$9:$F$165,5,FALSE())</f>
        <v>0.171786643672995</v>
      </c>
      <c r="G107" s="52" t="n">
        <f aca="false">VLOOKUP(A107,'ERPs by country'!$A$9:$F$165,6,FALSE())</f>
        <v>0.129486643672995</v>
      </c>
      <c r="H107" s="52" t="n">
        <f aca="false">VLOOKUP(A107,'Country Tax Rates'!$A$2:$B$159,2,FALSE())</f>
        <v>0.3</v>
      </c>
      <c r="I107" s="80" t="str">
        <f aca="false">VLOOKUP(A107,'Regional lookup table'!$A$2:$B$162,2,FALSE())</f>
        <v>Africa</v>
      </c>
    </row>
    <row r="108" customFormat="false" ht="15.75" hidden="false" customHeight="false" outlineLevel="0" collapsed="false">
      <c r="A108" s="129" t="str">
        <f aca="false">'Sovereign Ratings (Moody''s,S&amp;P)'!A108</f>
        <v>Nigeria</v>
      </c>
      <c r="B108" s="127" t="n">
        <f aca="false">VLOOKUP(A108,'Country GDP'!$A$2:$B$181,2,FALSE())</f>
        <v>252261.880141151</v>
      </c>
      <c r="C108" s="48" t="str">
        <f aca="false">VLOOKUP(A108,'Sovereign Ratings (Moody''s,S&amp;P)'!$A$2:$D$158,4,FALSE())</f>
        <v>B3</v>
      </c>
      <c r="D108" s="50" t="n">
        <f aca="false">VLOOKUP(A108,'10-year CDS Spreads'!$A$2:$C$158,3,FALSE())</f>
        <v>0.0391</v>
      </c>
      <c r="E108" s="49" t="n">
        <f aca="false">VLOOKUP(A108,'ERPs by country'!$A$9:$F$165,4,FALSE())</f>
        <v>0.0552348054028417</v>
      </c>
      <c r="F108" s="130" t="n">
        <f aca="false">VLOOKUP(A108,'ERPs by country'!$A$9:$F$165,5,FALSE())</f>
        <v>0.12644349465472</v>
      </c>
      <c r="G108" s="52" t="n">
        <f aca="false">VLOOKUP(A108,'ERPs by country'!$A$9:$F$165,6,FALSE())</f>
        <v>0.0841434946547197</v>
      </c>
      <c r="H108" s="52" t="n">
        <f aca="false">VLOOKUP(A108,'Country Tax Rates'!$A$2:$B$159,2,FALSE())</f>
        <v>0.3</v>
      </c>
      <c r="I108" s="80" t="str">
        <f aca="false">VLOOKUP(A108,'Regional lookup table'!$A$2:$B$162,2,FALSE())</f>
        <v>Africa</v>
      </c>
    </row>
    <row r="109" customFormat="false" ht="15.75" hidden="false" customHeight="false" outlineLevel="0" collapsed="false">
      <c r="A109" s="129" t="str">
        <f aca="false">'Sovereign Ratings (Moody''s,S&amp;P)'!A109</f>
        <v>Norway</v>
      </c>
      <c r="B109" s="127" t="n">
        <f aca="false">VLOOKUP(A109,'Country GDP'!$A$2:$B$181,2,FALSE())</f>
        <v>483592.648313301</v>
      </c>
      <c r="C109" s="48" t="str">
        <f aca="false">VLOOKUP(A109,'Sovereign Ratings (Moody''s,S&amp;P)'!$A$2:$D$158,4,FALSE())</f>
        <v>Aaa</v>
      </c>
      <c r="D109" s="50" t="n">
        <f aca="false">VLOOKUP(A109,'10-year CDS Spreads'!$A$2:$C$158,3,FALSE())</f>
        <v>0.0018</v>
      </c>
      <c r="E109" s="49" t="n">
        <f aca="false">VLOOKUP(A109,'ERPs by country'!$A$9:$F$165,4,FALSE())</f>
        <v>0</v>
      </c>
      <c r="F109" s="130" t="n">
        <f aca="false">VLOOKUP(A109,'ERPs by country'!$A$9:$F$165,5,FALSE())</f>
        <v>0.0423</v>
      </c>
      <c r="G109" s="52" t="n">
        <f aca="false">VLOOKUP(A109,'ERPs by country'!$A$9:$F$165,6,FALSE())</f>
        <v>0</v>
      </c>
      <c r="H109" s="52" t="n">
        <f aca="false">VLOOKUP(A109,'Country Tax Rates'!$A$2:$B$159,2,FALSE())</f>
        <v>0.22</v>
      </c>
      <c r="I109" s="80" t="str">
        <f aca="false">VLOOKUP(A109,'Regional lookup table'!$A$2:$B$162,2,FALSE())</f>
        <v>Western Europe</v>
      </c>
    </row>
    <row r="110" customFormat="false" ht="15.75" hidden="false" customHeight="false" outlineLevel="0" collapsed="false">
      <c r="A110" s="129" t="str">
        <f aca="false">'Sovereign Ratings (Moody''s,S&amp;P)'!A110</f>
        <v>Oman</v>
      </c>
      <c r="B110" s="127" t="n">
        <f aca="false">VLOOKUP(A110,'Country GDP'!$A$2:$B$181,2,FALSE())</f>
        <v>107137.198769386</v>
      </c>
      <c r="C110" s="48" t="str">
        <f aca="false">VLOOKUP(A110,'Sovereign Ratings (Moody''s,S&amp;P)'!$A$2:$D$158,4,FALSE())</f>
        <v>Baa3</v>
      </c>
      <c r="D110" s="50" t="n">
        <f aca="false">VLOOKUP(A110,'10-year CDS Spreads'!$A$2:$C$158,3,FALSE())</f>
        <v>0.013</v>
      </c>
      <c r="E110" s="49" t="n">
        <f aca="false">VLOOKUP(A110,'ERPs by country'!$A$9:$F$165,4,FALSE())</f>
        <v>0.0186779540873986</v>
      </c>
      <c r="F110" s="130" t="n">
        <f aca="false">VLOOKUP(A110,'ERPs by country'!$A$9:$F$165,5,FALSE())</f>
        <v>0.0707535868000589</v>
      </c>
      <c r="G110" s="52" t="n">
        <f aca="false">VLOOKUP(A110,'ERPs by country'!$A$9:$F$165,6,FALSE())</f>
        <v>0.0284535868000589</v>
      </c>
      <c r="H110" s="52" t="n">
        <f aca="false">VLOOKUP(A110,'Country Tax Rates'!$A$2:$B$159,2,FALSE())</f>
        <v>0.15</v>
      </c>
      <c r="I110" s="80" t="str">
        <f aca="false">VLOOKUP(A110,'Regional lookup table'!$A$2:$B$162,2,FALSE())</f>
        <v>Middle East</v>
      </c>
    </row>
    <row r="111" customFormat="false" ht="15.75" hidden="false" customHeight="false" outlineLevel="0" collapsed="false">
      <c r="A111" s="129" t="str">
        <f aca="false">'Sovereign Ratings (Moody''s,S&amp;P)'!A111</f>
        <v>Pakistan</v>
      </c>
      <c r="B111" s="127" t="n">
        <f aca="false">VLOOKUP(A111,'Country GDP'!$A$2:$B$181,2,FALSE())</f>
        <v>371570.000121266</v>
      </c>
      <c r="C111" s="48" t="str">
        <f aca="false">VLOOKUP(A111,'Sovereign Ratings (Moody''s,S&amp;P)'!$A$2:$D$158,4,FALSE())</f>
        <v>Caa1</v>
      </c>
      <c r="D111" s="50" t="n">
        <f aca="false">VLOOKUP(A111,'10-year CDS Spreads'!$A$2:$C$158,3,FALSE())</f>
        <v>0.0523</v>
      </c>
      <c r="E111" s="49" t="n">
        <f aca="false">VLOOKUP(A111,'ERPs by country'!$A$9:$F$165,4,FALSE())</f>
        <v>0.0637247845334774</v>
      </c>
      <c r="F111" s="130" t="n">
        <f aca="false">VLOOKUP(A111,'ERPs by country'!$A$9:$F$165,5,FALSE())</f>
        <v>0.139376943200201</v>
      </c>
      <c r="G111" s="52" t="n">
        <f aca="false">VLOOKUP(A111,'ERPs by country'!$A$9:$F$165,6,FALSE())</f>
        <v>0.097076943200201</v>
      </c>
      <c r="H111" s="52" t="n">
        <f aca="false">VLOOKUP(A111,'Country Tax Rates'!$A$2:$B$159,2,FALSE())</f>
        <v>0.29</v>
      </c>
      <c r="I111" s="80" t="str">
        <f aca="false">VLOOKUP(A111,'Regional lookup table'!$A$2:$B$162,2,FALSE())</f>
        <v>Asia</v>
      </c>
    </row>
    <row r="112" customFormat="false" ht="15.75" hidden="false" customHeight="false" outlineLevel="0" collapsed="false">
      <c r="A112" s="129" t="str">
        <f aca="false">'Sovereign Ratings (Moody''s,S&amp;P)'!A112</f>
        <v>Panama</v>
      </c>
      <c r="B112" s="127" t="n">
        <f aca="false">VLOOKUP(A112,'Country GDP'!$A$2:$B$181,2,FALSE())</f>
        <v>86523.9591317472</v>
      </c>
      <c r="C112" s="48" t="str">
        <f aca="false">VLOOKUP(A112,'Sovereign Ratings (Moody''s,S&amp;P)'!$A$2:$D$158,4,FALSE())</f>
        <v>Baa3</v>
      </c>
      <c r="D112" s="50" t="n">
        <f aca="false">VLOOKUP(A112,'10-year CDS Spreads'!$A$2:$C$158,3,FALSE())</f>
        <v>0.0222</v>
      </c>
      <c r="E112" s="49" t="n">
        <f aca="false">VLOOKUP(A112,'ERPs by country'!$A$9:$F$165,4,FALSE())</f>
        <v>0.0186779540873986</v>
      </c>
      <c r="F112" s="130" t="n">
        <f aca="false">VLOOKUP(A112,'ERPs by country'!$A$9:$F$165,5,FALSE())</f>
        <v>0.0707535868000589</v>
      </c>
      <c r="G112" s="52" t="n">
        <f aca="false">VLOOKUP(A112,'ERPs by country'!$A$9:$F$165,6,FALSE())</f>
        <v>0.0284535868000589</v>
      </c>
      <c r="H112" s="52" t="n">
        <f aca="false">VLOOKUP(A112,'Country Tax Rates'!$A$2:$B$159,2,FALSE())</f>
        <v>0.25</v>
      </c>
      <c r="I112" s="80" t="str">
        <f aca="false">VLOOKUP(A112,'Regional lookup table'!$A$2:$B$162,2,FALSE())</f>
        <v>Central and South America</v>
      </c>
    </row>
    <row r="113" customFormat="false" ht="15.75" hidden="false" customHeight="false" outlineLevel="0" collapsed="false">
      <c r="A113" s="129" t="str">
        <f aca="false">'Sovereign Ratings (Moody''s,S&amp;P)'!A113</f>
        <v>Papua New Guinea</v>
      </c>
      <c r="B113" s="127" t="n">
        <f aca="false">VLOOKUP(A113,'Country GDP'!$A$2:$B$181,2,FALSE())</f>
        <v>31800.4282655246</v>
      </c>
      <c r="C113" s="48" t="str">
        <f aca="false">VLOOKUP(A113,'Sovereign Ratings (Moody''s,S&amp;P)'!$A$2:$D$158,4,FALSE())</f>
        <v>B2</v>
      </c>
      <c r="D113" s="50" t="str">
        <f aca="false">VLOOKUP(A113,'10-year CDS Spreads'!$A$2:$C$158,3,FALSE())</f>
        <v>NA</v>
      </c>
      <c r="E113" s="49" t="n">
        <f aca="false">VLOOKUP(A113,'ERPs by country'!$A$9:$F$165,4,FALSE())</f>
        <v>0.046744826272206</v>
      </c>
      <c r="F113" s="130" t="n">
        <f aca="false">VLOOKUP(A113,'ERPs by country'!$A$9:$F$165,5,FALSE())</f>
        <v>0.113510046109238</v>
      </c>
      <c r="G113" s="52" t="n">
        <f aca="false">VLOOKUP(A113,'ERPs by country'!$A$9:$F$165,6,FALSE())</f>
        <v>0.0712100461092384</v>
      </c>
      <c r="H113" s="52" t="n">
        <f aca="false">VLOOKUP(A113,'Country Tax Rates'!$A$2:$B$159,2,FALSE())</f>
        <v>0.3</v>
      </c>
      <c r="I113" s="80" t="str">
        <f aca="false">VLOOKUP(A113,'Regional lookup table'!$A$2:$B$162,2,FALSE())</f>
        <v>Asia</v>
      </c>
    </row>
    <row r="114" customFormat="false" ht="15.75" hidden="false" customHeight="false" outlineLevel="0" collapsed="false">
      <c r="A114" s="129" t="str">
        <f aca="false">'Sovereign Ratings (Moody''s,S&amp;P)'!A114</f>
        <v>Paraguay</v>
      </c>
      <c r="B114" s="127" t="n">
        <f aca="false">VLOOKUP(A114,'Country GDP'!$A$2:$B$181,2,FALSE())</f>
        <v>44458.1183974445</v>
      </c>
      <c r="C114" s="48" t="str">
        <f aca="false">VLOOKUP(A114,'Sovereign Ratings (Moody''s,S&amp;P)'!$A$2:$D$158,4,FALSE())</f>
        <v>Baa3</v>
      </c>
      <c r="D114" s="50" t="str">
        <f aca="false">VLOOKUP(A114,'10-year CDS Spreads'!$A$2:$C$158,3,FALSE())</f>
        <v>NA</v>
      </c>
      <c r="E114" s="49" t="n">
        <f aca="false">VLOOKUP(A114,'ERPs by country'!$A$9:$F$165,4,FALSE())</f>
        <v>0.0186779540873986</v>
      </c>
      <c r="F114" s="130" t="n">
        <f aca="false">VLOOKUP(A114,'ERPs by country'!$A$9:$F$165,5,FALSE())</f>
        <v>0.0707535868000589</v>
      </c>
      <c r="G114" s="52" t="n">
        <f aca="false">VLOOKUP(A114,'ERPs by country'!$A$9:$F$165,6,FALSE())</f>
        <v>0.0284535868000589</v>
      </c>
      <c r="H114" s="52" t="n">
        <f aca="false">VLOOKUP(A114,'Country Tax Rates'!$A$2:$B$159,2,FALSE())</f>
        <v>0.1</v>
      </c>
      <c r="I114" s="80" t="str">
        <f aca="false">VLOOKUP(A114,'Regional lookup table'!$A$2:$B$162,2,FALSE())</f>
        <v>Central and South America</v>
      </c>
    </row>
    <row r="115" customFormat="false" ht="15.75" hidden="false" customHeight="false" outlineLevel="0" collapsed="false">
      <c r="A115" s="129" t="str">
        <f aca="false">'Sovereign Ratings (Moody''s,S&amp;P)'!A115</f>
        <v>Peru</v>
      </c>
      <c r="B115" s="127" t="n">
        <f aca="false">VLOOKUP(A115,'Country GDP'!$A$2:$B$181,2,FALSE())</f>
        <v>289221.969062941</v>
      </c>
      <c r="C115" s="48" t="str">
        <f aca="false">VLOOKUP(A115,'Sovereign Ratings (Moody''s,S&amp;P)'!$A$2:$D$158,4,FALSE())</f>
        <v>Baa1</v>
      </c>
      <c r="D115" s="50" t="n">
        <f aca="false">VLOOKUP(A115,'10-year CDS Spreads'!$A$2:$C$158,3,FALSE())</f>
        <v>0.0126</v>
      </c>
      <c r="E115" s="49" t="n">
        <f aca="false">VLOOKUP(A115,'ERPs by country'!$A$9:$F$165,4,FALSE())</f>
        <v>0.0135839666090171</v>
      </c>
      <c r="F115" s="130" t="n">
        <f aca="false">VLOOKUP(A115,'ERPs by country'!$A$9:$F$165,5,FALSE())</f>
        <v>0.0629935176727701</v>
      </c>
      <c r="G115" s="52" t="n">
        <f aca="false">VLOOKUP(A115,'ERPs by country'!$A$9:$F$165,6,FALSE())</f>
        <v>0.0206935176727701</v>
      </c>
      <c r="H115" s="52" t="n">
        <f aca="false">VLOOKUP(A115,'Country Tax Rates'!$A$2:$B$159,2,FALSE())</f>
        <v>0.295</v>
      </c>
      <c r="I115" s="80" t="str">
        <f aca="false">VLOOKUP(A115,'Regional lookup table'!$A$2:$B$162,2,FALSE())</f>
        <v>Central and South America</v>
      </c>
    </row>
    <row r="116" customFormat="false" ht="15.75" hidden="false" customHeight="false" outlineLevel="0" collapsed="false">
      <c r="A116" s="129" t="str">
        <f aca="false">'Sovereign Ratings (Moody''s,S&amp;P)'!A116</f>
        <v>Philippines</v>
      </c>
      <c r="B116" s="127" t="n">
        <f aca="false">VLOOKUP(A116,'Country GDP'!$A$2:$B$181,2,FALSE())</f>
        <v>461617.509782355</v>
      </c>
      <c r="C116" s="48" t="str">
        <f aca="false">VLOOKUP(A116,'Sovereign Ratings (Moody''s,S&amp;P)'!$A$2:$D$158,4,FALSE())</f>
        <v>Baa2</v>
      </c>
      <c r="D116" s="50" t="n">
        <f aca="false">VLOOKUP(A116,'10-year CDS Spreads'!$A$2:$C$158,3,FALSE())</f>
        <v>0.0102</v>
      </c>
      <c r="E116" s="49" t="n">
        <f aca="false">VLOOKUP(A116,'ERPs by country'!$A$9:$F$165,4,FALSE())</f>
        <v>0.0161809014019175</v>
      </c>
      <c r="F116" s="130" t="n">
        <f aca="false">VLOOKUP(A116,'ERPs by country'!$A$9:$F$165,5,FALSE())</f>
        <v>0.0669496313455056</v>
      </c>
      <c r="G116" s="52" t="n">
        <f aca="false">VLOOKUP(A116,'ERPs by country'!$A$9:$F$165,6,FALSE())</f>
        <v>0.0246496313455056</v>
      </c>
      <c r="H116" s="52" t="n">
        <f aca="false">VLOOKUP(A116,'Country Tax Rates'!$A$2:$B$159,2,FALSE())</f>
        <v>0.25</v>
      </c>
      <c r="I116" s="80" t="str">
        <f aca="false">VLOOKUP(A116,'Regional lookup table'!$A$2:$B$162,2,FALSE())</f>
        <v>Asia</v>
      </c>
    </row>
    <row r="117" customFormat="false" ht="15.75" hidden="false" customHeight="false" outlineLevel="0" collapsed="false">
      <c r="A117" s="129" t="str">
        <f aca="false">'Sovereign Ratings (Moody''s,S&amp;P)'!A117</f>
        <v>Poland</v>
      </c>
      <c r="B117" s="127" t="n">
        <f aca="false">VLOOKUP(A117,'Country GDP'!$A$2:$B$181,2,FALSE())</f>
        <v>917767.106146762</v>
      </c>
      <c r="C117" s="48" t="str">
        <f aca="false">VLOOKUP(A117,'Sovereign Ratings (Moody''s,S&amp;P)'!$A$2:$D$158,4,FALSE())</f>
        <v>A2</v>
      </c>
      <c r="D117" s="50" t="n">
        <f aca="false">VLOOKUP(A117,'10-year CDS Spreads'!$A$2:$C$158,3,FALSE())</f>
        <v>0.01</v>
      </c>
      <c r="E117" s="49" t="n">
        <f aca="false">VLOOKUP(A117,'ERPs by country'!$A$9:$F$165,4,FALSE())</f>
        <v>0.00719151173418554</v>
      </c>
      <c r="F117" s="130" t="n">
        <f aca="false">VLOOKUP(A117,'ERPs by country'!$A$9:$F$165,5,FALSE())</f>
        <v>0.0532553917091136</v>
      </c>
      <c r="G117" s="52" t="n">
        <f aca="false">VLOOKUP(A117,'ERPs by country'!$A$9:$F$165,6,FALSE())</f>
        <v>0.0109553917091136</v>
      </c>
      <c r="H117" s="52" t="n">
        <f aca="false">VLOOKUP(A117,'Country Tax Rates'!$A$2:$B$159,2,FALSE())</f>
        <v>0.19</v>
      </c>
      <c r="I117" s="80" t="str">
        <f aca="false">VLOOKUP(A117,'Regional lookup table'!$A$2:$B$162,2,FALSE())</f>
        <v>Eastern Europe &amp; Russia</v>
      </c>
    </row>
    <row r="118" customFormat="false" ht="15.75" hidden="false" customHeight="false" outlineLevel="0" collapsed="false">
      <c r="A118" s="129" t="str">
        <f aca="false">'Sovereign Ratings (Moody''s,S&amp;P)'!A118</f>
        <v>Portugal</v>
      </c>
      <c r="B118" s="127" t="n">
        <f aca="false">VLOOKUP(A118,'Country GDP'!$A$2:$B$181,2,FALSE())</f>
        <v>313271.185085102</v>
      </c>
      <c r="C118" s="48" t="str">
        <f aca="false">VLOOKUP(A118,'Sovereign Ratings (Moody''s,S&amp;P)'!$A$2:$D$158,4,FALSE())</f>
        <v>A3</v>
      </c>
      <c r="D118" s="50" t="n">
        <f aca="false">VLOOKUP(A118,'10-year CDS Spreads'!$A$2:$C$158,3,FALSE())</f>
        <v>0.0045</v>
      </c>
      <c r="E118" s="49" t="n">
        <f aca="false">VLOOKUP(A118,'ERPs by country'!$A$9:$F$165,4,FALSE())</f>
        <v>0.0101879749567629</v>
      </c>
      <c r="F118" s="130" t="n">
        <f aca="false">VLOOKUP(A118,'ERPs by country'!$A$9:$F$165,5,FALSE())</f>
        <v>0.0578201382545776</v>
      </c>
      <c r="G118" s="52" t="n">
        <f aca="false">VLOOKUP(A118,'ERPs by country'!$A$9:$F$165,6,FALSE())</f>
        <v>0.0155201382545776</v>
      </c>
      <c r="H118" s="52" t="n">
        <f aca="false">VLOOKUP(A118,'Country Tax Rates'!$A$2:$B$159,2,FALSE())</f>
        <v>0.315</v>
      </c>
      <c r="I118" s="80" t="str">
        <f aca="false">VLOOKUP(A118,'Regional lookup table'!$A$2:$B$162,2,FALSE())</f>
        <v>Western Europe</v>
      </c>
    </row>
    <row r="119" customFormat="false" ht="15.75" hidden="false" customHeight="false" outlineLevel="0" collapsed="false">
      <c r="A119" s="129" t="str">
        <f aca="false">'Sovereign Ratings (Moody''s,S&amp;P)'!A119</f>
        <v>Qatar</v>
      </c>
      <c r="B119" s="127" t="n">
        <f aca="false">VLOOKUP(A119,'Country GDP'!$A$2:$B$181,2,FALSE())</f>
        <v>219162.637362637</v>
      </c>
      <c r="C119" s="48" t="str">
        <f aca="false">VLOOKUP(A119,'Sovereign Ratings (Moody''s,S&amp;P)'!$A$2:$D$158,4,FALSE())</f>
        <v>Aa2</v>
      </c>
      <c r="D119" s="50" t="n">
        <f aca="false">VLOOKUP(A119,'10-year CDS Spreads'!$A$2:$C$158,3,FALSE())</f>
        <v>0.0061</v>
      </c>
      <c r="E119" s="49" t="n">
        <f aca="false">VLOOKUP(A119,'ERPs by country'!$A$9:$F$165,4,FALSE())</f>
        <v>0.00419504851160823</v>
      </c>
      <c r="F119" s="130" t="n">
        <f aca="false">VLOOKUP(A119,'ERPs by country'!$A$9:$F$165,5,FALSE())</f>
        <v>0.0486906451636496</v>
      </c>
      <c r="G119" s="52" t="n">
        <f aca="false">VLOOKUP(A119,'ERPs by country'!$A$9:$F$165,6,FALSE())</f>
        <v>0.0063906451636496</v>
      </c>
      <c r="H119" s="52" t="n">
        <f aca="false">VLOOKUP(A119,'Country Tax Rates'!$A$2:$B$159,2,FALSE())</f>
        <v>0.1</v>
      </c>
      <c r="I119" s="80" t="str">
        <f aca="false">VLOOKUP(A119,'Regional lookup table'!$A$2:$B$162,2,FALSE())</f>
        <v>Middle East</v>
      </c>
    </row>
    <row r="120" customFormat="false" ht="15.75" hidden="false" customHeight="false" outlineLevel="0" collapsed="false">
      <c r="A120" s="129" t="str">
        <f aca="false">'Sovereign Ratings (Moody''s,S&amp;P)'!A120</f>
        <v>Ras Al Khaimah (Emirate of)</v>
      </c>
      <c r="B120" s="127" t="n">
        <f aca="false">VLOOKUP(A120,'Country GDP'!$A$2:$B$181,2,FALSE())</f>
        <v>11000</v>
      </c>
      <c r="C120" s="48" t="str">
        <f aca="false">VLOOKUP(A120,'Sovereign Ratings (Moody''s,S&amp;P)'!$A$2:$D$158,4,FALSE())</f>
        <v>A3</v>
      </c>
      <c r="D120" s="50" t="str">
        <f aca="false">VLOOKUP(A120,'10-year CDS Spreads'!$A$2:$C$158,3,FALSE())</f>
        <v>NA</v>
      </c>
      <c r="E120" s="49" t="n">
        <f aca="false">VLOOKUP(A120,'ERPs by country'!$A$9:$F$165,4,FALSE())</f>
        <v>0.0101879749567629</v>
      </c>
      <c r="F120" s="130" t="n">
        <f aca="false">VLOOKUP(A120,'ERPs by country'!$A$9:$F$165,5,FALSE())</f>
        <v>0.0578201382545776</v>
      </c>
      <c r="G120" s="52" t="n">
        <f aca="false">VLOOKUP(A120,'ERPs by country'!$A$9:$F$165,6,FALSE())</f>
        <v>0.0155201382545776</v>
      </c>
      <c r="H120" s="52" t="n">
        <f aca="false">VLOOKUP(A120,'Country Tax Rates'!$A$2:$B$159,2,FALSE())</f>
        <v>0.1894</v>
      </c>
      <c r="I120" s="80" t="str">
        <f aca="false">VLOOKUP(A120,'Regional lookup table'!$A$2:$B$162,2,FALSE())</f>
        <v>Middle East</v>
      </c>
    </row>
    <row r="121" customFormat="false" ht="15.75" hidden="false" customHeight="false" outlineLevel="0" collapsed="false">
      <c r="A121" s="129" t="str">
        <f aca="false">'Sovereign Ratings (Moody''s,S&amp;P)'!A121</f>
        <v>Romania</v>
      </c>
      <c r="B121" s="127" t="n">
        <f aca="false">VLOOKUP(A121,'Country GDP'!$A$2:$B$181,2,FALSE())</f>
        <v>382564.217988866</v>
      </c>
      <c r="C121" s="48" t="str">
        <f aca="false">VLOOKUP(A121,'Sovereign Ratings (Moody''s,S&amp;P)'!$A$2:$D$158,4,FALSE())</f>
        <v>Baa3</v>
      </c>
      <c r="D121" s="50" t="n">
        <f aca="false">VLOOKUP(A121,'10-year CDS Spreads'!$A$2:$C$158,3,FALSE())</f>
        <v>0.0211</v>
      </c>
      <c r="E121" s="49" t="n">
        <f aca="false">VLOOKUP(A121,'ERPs by country'!$A$9:$F$165,4,FALSE())</f>
        <v>0.0186779540873986</v>
      </c>
      <c r="F121" s="130" t="n">
        <f aca="false">VLOOKUP(A121,'ERPs by country'!$A$9:$F$165,5,FALSE())</f>
        <v>0.0707535868000589</v>
      </c>
      <c r="G121" s="52" t="n">
        <f aca="false">VLOOKUP(A121,'ERPs by country'!$A$9:$F$165,6,FALSE())</f>
        <v>0.0284535868000589</v>
      </c>
      <c r="H121" s="52" t="n">
        <f aca="false">VLOOKUP(A121,'Country Tax Rates'!$A$2:$B$159,2,FALSE())</f>
        <v>0.16</v>
      </c>
      <c r="I121" s="80" t="str">
        <f aca="false">VLOOKUP(A121,'Regional lookup table'!$A$2:$B$162,2,FALSE())</f>
        <v>Eastern Europe &amp; Russia</v>
      </c>
    </row>
    <row r="122" customFormat="false" ht="15.75" hidden="false" customHeight="false" outlineLevel="0" collapsed="false">
      <c r="A122" s="129" t="str">
        <f aca="false">'Sovereign Ratings (Moody''s,S&amp;P)'!A122</f>
        <v>Rwanda</v>
      </c>
      <c r="B122" s="127" t="n">
        <f aca="false">VLOOKUP(A122,'Country GDP'!$A$2:$B$181,2,FALSE())</f>
        <v>14251.6422350968</v>
      </c>
      <c r="C122" s="48" t="str">
        <f aca="false">VLOOKUP(A122,'Sovereign Ratings (Moody''s,S&amp;P)'!$A$2:$D$158,4,FALSE())</f>
        <v>B2</v>
      </c>
      <c r="D122" s="50" t="n">
        <f aca="false">VLOOKUP(A122,'10-year CDS Spreads'!$A$2:$C$158,3,FALSE())</f>
        <v>0.0403</v>
      </c>
      <c r="E122" s="49" t="n">
        <f aca="false">VLOOKUP(A122,'ERPs by country'!$A$9:$F$165,4,FALSE())</f>
        <v>0.046744826272206</v>
      </c>
      <c r="F122" s="130" t="n">
        <f aca="false">VLOOKUP(A122,'ERPs by country'!$A$9:$F$165,5,FALSE())</f>
        <v>0.113510046109238</v>
      </c>
      <c r="G122" s="52" t="n">
        <f aca="false">VLOOKUP(A122,'ERPs by country'!$A$9:$F$165,6,FALSE())</f>
        <v>0.0712100461092384</v>
      </c>
      <c r="H122" s="52" t="n">
        <f aca="false">VLOOKUP(A122,'Country Tax Rates'!$A$2:$B$159,2,FALSE())</f>
        <v>0.28</v>
      </c>
      <c r="I122" s="80" t="str">
        <f aca="false">VLOOKUP(A122,'Regional lookup table'!$A$2:$B$162,2,FALSE())</f>
        <v>Africa</v>
      </c>
      <c r="K122" s="146"/>
      <c r="L122" s="146"/>
      <c r="M122" s="146"/>
    </row>
    <row r="123" customFormat="false" ht="15.75" hidden="false" customHeight="false" outlineLevel="0" collapsed="false">
      <c r="A123" s="129" t="str">
        <f aca="false">'Sovereign Ratings (Moody''s,S&amp;P)'!A123</f>
        <v>Saudi Arabia</v>
      </c>
      <c r="B123" s="127" t="n">
        <f aca="false">VLOOKUP(A123,'Country GDP'!$A$2:$B$181,2,FALSE())</f>
        <v>1239804.53333333</v>
      </c>
      <c r="C123" s="48" t="str">
        <f aca="false">VLOOKUP(A123,'Sovereign Ratings (Moody''s,S&amp;P)'!$A$2:$D$158,4,FALSE())</f>
        <v>Aa3</v>
      </c>
      <c r="D123" s="50" t="n">
        <f aca="false">VLOOKUP(A123,'10-year CDS Spreads'!$A$2:$C$158,3,FALSE())</f>
        <v>0.0112</v>
      </c>
      <c r="E123" s="49" t="n">
        <f aca="false">VLOOKUP(A123,'ERPs by country'!$A$9:$F$165,4,FALSE())</f>
        <v>0.00509398747838143</v>
      </c>
      <c r="F123" s="130" t="n">
        <f aca="false">VLOOKUP(A123,'ERPs by country'!$A$9:$F$165,5,FALSE())</f>
        <v>0.0500600691272888</v>
      </c>
      <c r="G123" s="52" t="n">
        <f aca="false">VLOOKUP(A123,'ERPs by country'!$A$9:$F$165,6,FALSE())</f>
        <v>0.0077600691272888</v>
      </c>
      <c r="H123" s="52" t="n">
        <f aca="false">VLOOKUP(A123,'Country Tax Rates'!$A$2:$B$159,2,FALSE())</f>
        <v>0.2</v>
      </c>
      <c r="I123" s="80" t="str">
        <f aca="false">VLOOKUP(A123,'Regional lookup table'!$A$2:$B$162,2,FALSE())</f>
        <v>Middle East</v>
      </c>
    </row>
    <row r="124" customFormat="false" ht="15.75" hidden="false" customHeight="false" outlineLevel="0" collapsed="false">
      <c r="A124" s="129" t="str">
        <f aca="false">'Sovereign Ratings (Moody''s,S&amp;P)'!A124</f>
        <v>Senegal</v>
      </c>
      <c r="B124" s="127" t="n">
        <f aca="false">VLOOKUP(A124,'Country GDP'!$A$2:$B$181,2,FALSE())</f>
        <v>32808.0566009436</v>
      </c>
      <c r="C124" s="48" t="str">
        <f aca="false">VLOOKUP(A124,'Sovereign Ratings (Moody''s,S&amp;P)'!$A$2:$D$158,4,FALSE())</f>
        <v>Caa1</v>
      </c>
      <c r="D124" s="50" t="n">
        <f aca="false">VLOOKUP(A124,'10-year CDS Spreads'!$A$2:$C$158,3,FALSE())</f>
        <v>0.0993</v>
      </c>
      <c r="E124" s="49" t="n">
        <f aca="false">VLOOKUP(A124,'ERPs by country'!$A$9:$F$165,4,FALSE())</f>
        <v>0.0637247845334774</v>
      </c>
      <c r="F124" s="130" t="n">
        <f aca="false">VLOOKUP(A124,'ERPs by country'!$A$9:$F$165,5,FALSE())</f>
        <v>0.139376943200201</v>
      </c>
      <c r="G124" s="52" t="n">
        <f aca="false">VLOOKUP(A124,'ERPs by country'!$A$9:$F$165,6,FALSE())</f>
        <v>0.097076943200201</v>
      </c>
      <c r="H124" s="52" t="n">
        <f aca="false">VLOOKUP(A124,'Country Tax Rates'!$A$2:$B$159,2,FALSE())</f>
        <v>0.3</v>
      </c>
      <c r="I124" s="80" t="str">
        <f aca="false">VLOOKUP(A124,'Regional lookup table'!$A$2:$B$162,2,FALSE())</f>
        <v>Africa</v>
      </c>
    </row>
    <row r="125" customFormat="false" ht="15.75" hidden="false" customHeight="false" outlineLevel="0" collapsed="false">
      <c r="A125" s="129" t="str">
        <f aca="false">'Sovereign Ratings (Moody''s,S&amp;P)'!A125</f>
        <v>Serbia</v>
      </c>
      <c r="B125" s="127" t="n">
        <f aca="false">VLOOKUP(A125,'Country GDP'!$A$2:$B$181,2,FALSE())</f>
        <v>90097.7659591114</v>
      </c>
      <c r="C125" s="48" t="str">
        <f aca="false">VLOOKUP(A125,'Sovereign Ratings (Moody''s,S&amp;P)'!$A$2:$D$158,4,FALSE())</f>
        <v>Ba2</v>
      </c>
      <c r="D125" s="50" t="n">
        <f aca="false">VLOOKUP(A125,'10-year CDS Spreads'!$A$2:$C$158,3,FALSE())</f>
        <v>0.0196</v>
      </c>
      <c r="E125" s="49" t="n">
        <f aca="false">VLOOKUP(A125,'ERPs by country'!$A$9:$F$165,4,FALSE())</f>
        <v>0.0255698194993264</v>
      </c>
      <c r="F125" s="130" t="n">
        <f aca="false">VLOOKUP(A125,'ERPs by country'!$A$9:$F$165,5,FALSE())</f>
        <v>0.0812525038546261</v>
      </c>
      <c r="G125" s="52" t="n">
        <f aca="false">VLOOKUP(A125,'ERPs by country'!$A$9:$F$165,6,FALSE())</f>
        <v>0.0389525038546261</v>
      </c>
      <c r="H125" s="52" t="n">
        <f aca="false">VLOOKUP(A125,'Country Tax Rates'!$A$2:$B$159,2,FALSE())</f>
        <v>0.15</v>
      </c>
      <c r="I125" s="80" t="str">
        <f aca="false">VLOOKUP(A125,'Regional lookup table'!$A$2:$B$162,2,FALSE())</f>
        <v>Eastern Europe &amp; Russia</v>
      </c>
    </row>
    <row r="126" customFormat="false" ht="15.75" hidden="false" customHeight="false" outlineLevel="0" collapsed="false">
      <c r="A126" s="129" t="str">
        <f aca="false">'Sovereign Ratings (Moody''s,S&amp;P)'!A126</f>
        <v>Sharjah</v>
      </c>
      <c r="B126" s="127" t="n">
        <f aca="false">VLOOKUP(A126,'Country GDP'!$A$2:$B$181,2,FALSE())</f>
        <v>24800</v>
      </c>
      <c r="C126" s="48" t="str">
        <f aca="false">VLOOKUP(A126,'Sovereign Ratings (Moody''s,S&amp;P)'!$A$2:$D$158,4,FALSE())</f>
        <v>Ba1</v>
      </c>
      <c r="D126" s="50" t="e">
        <f aca="false">VLOOKUP(A126,'10-year CDS Spreads'!$A$2:$C$158,3,FALSE())</f>
        <v>#N/A</v>
      </c>
      <c r="E126" s="49" t="n">
        <f aca="false">VLOOKUP(A126,'ERPs by country'!$A$9:$F$165,4,FALSE())</f>
        <v>0.0212748888802989</v>
      </c>
      <c r="F126" s="130" t="n">
        <f aca="false">VLOOKUP(A126,'ERPs by country'!$A$9:$F$165,5,FALSE())</f>
        <v>0.0747097004727944</v>
      </c>
      <c r="G126" s="52" t="n">
        <f aca="false">VLOOKUP(A126,'ERPs by country'!$A$9:$F$165,6,FALSE())</f>
        <v>0.0324097004727944</v>
      </c>
      <c r="H126" s="52" t="n">
        <f aca="false">VLOOKUP(A126,'Country Tax Rates'!$A$2:$B$159,2,FALSE())</f>
        <v>0.1894</v>
      </c>
      <c r="I126" s="80" t="str">
        <f aca="false">VLOOKUP(A126,'Regional lookup table'!$A$2:$B$162,2,FALSE())</f>
        <v>Middle East</v>
      </c>
    </row>
    <row r="127" customFormat="false" ht="15.75" hidden="false" customHeight="false" outlineLevel="0" collapsed="false">
      <c r="A127" s="129" t="str">
        <f aca="false">'Sovereign Ratings (Moody''s,S&amp;P)'!A127</f>
        <v>Singapore</v>
      </c>
      <c r="B127" s="127" t="n">
        <f aca="false">VLOOKUP(A127,'Country GDP'!$A$2:$B$181,2,FALSE())</f>
        <v>547386.645891847</v>
      </c>
      <c r="C127" s="48" t="str">
        <f aca="false">VLOOKUP(A127,'Sovereign Ratings (Moody''s,S&amp;P)'!$A$2:$D$158,4,FALSE())</f>
        <v>Aaa</v>
      </c>
      <c r="D127" s="50" t="e">
        <f aca="false">VLOOKUP(A127,'10-year CDS Spreads'!$A$2:$C$158,3,FALSE())</f>
        <v>#N/A</v>
      </c>
      <c r="E127" s="49" t="n">
        <f aca="false">VLOOKUP(A127,'ERPs by country'!$A$9:$F$165,4,FALSE())</f>
        <v>0</v>
      </c>
      <c r="F127" s="130" t="n">
        <f aca="false">VLOOKUP(A127,'ERPs by country'!$A$9:$F$165,5,FALSE())</f>
        <v>0.0423</v>
      </c>
      <c r="G127" s="52" t="n">
        <f aca="false">VLOOKUP(A127,'ERPs by country'!$A$9:$F$165,6,FALSE())</f>
        <v>0</v>
      </c>
      <c r="H127" s="52" t="n">
        <f aca="false">VLOOKUP(A127,'Country Tax Rates'!$A$2:$B$159,2,FALSE())</f>
        <v>0.17</v>
      </c>
      <c r="I127" s="80" t="str">
        <f aca="false">VLOOKUP(A127,'Regional lookup table'!$A$2:$B$162,2,FALSE())</f>
        <v>Asia</v>
      </c>
    </row>
    <row r="128" customFormat="false" ht="15.75" hidden="false" customHeight="false" outlineLevel="0" collapsed="false">
      <c r="A128" s="129" t="str">
        <f aca="false">'Sovereign Ratings (Moody''s,S&amp;P)'!A128</f>
        <v>Slovakia</v>
      </c>
      <c r="B128" s="127" t="n">
        <f aca="false">VLOOKUP(A128,'Country GDP'!$A$2:$B$181,2,FALSE())</f>
        <v>140934.076532375</v>
      </c>
      <c r="C128" s="48" t="str">
        <f aca="false">VLOOKUP(A128,'Sovereign Ratings (Moody''s,S&amp;P)'!$A$2:$D$158,4,FALSE())</f>
        <v>A3</v>
      </c>
      <c r="D128" s="50" t="n">
        <f aca="false">VLOOKUP(A128,'10-year CDS Spreads'!$A$2:$C$158,3,FALSE())</f>
        <v>0.0057</v>
      </c>
      <c r="E128" s="49" t="n">
        <f aca="false">VLOOKUP(A128,'ERPs by country'!$A$9:$F$165,4,FALSE())</f>
        <v>0.0101879749567629</v>
      </c>
      <c r="F128" s="130" t="n">
        <f aca="false">VLOOKUP(A128,'ERPs by country'!$A$9:$F$165,5,FALSE())</f>
        <v>0.0578201382545776</v>
      </c>
      <c r="G128" s="52" t="n">
        <f aca="false">VLOOKUP(A128,'ERPs by country'!$A$9:$F$165,6,FALSE())</f>
        <v>0.0155201382545776</v>
      </c>
      <c r="H128" s="52" t="n">
        <f aca="false">VLOOKUP(A128,'Country Tax Rates'!$A$2:$B$159,2,FALSE())</f>
        <v>0.21</v>
      </c>
      <c r="I128" s="80" t="str">
        <f aca="false">VLOOKUP(A128,'Regional lookup table'!$A$2:$B$162,2,FALSE())</f>
        <v>Eastern Europe &amp; Russia</v>
      </c>
    </row>
    <row r="129" customFormat="false" ht="15.75" hidden="false" customHeight="false" outlineLevel="0" collapsed="false">
      <c r="A129" s="129" t="str">
        <f aca="false">'Sovereign Ratings (Moody''s,S&amp;P)'!A129</f>
        <v>Slovenia</v>
      </c>
      <c r="B129" s="127" t="n">
        <f aca="false">VLOOKUP(A129,'Country GDP'!$A$2:$B$181,2,FALSE())</f>
        <v>72972.0151973859</v>
      </c>
      <c r="C129" s="48" t="str">
        <f aca="false">VLOOKUP(A129,'Sovereign Ratings (Moody''s,S&amp;P)'!$A$2:$D$158,4,FALSE())</f>
        <v>A3</v>
      </c>
      <c r="D129" s="50" t="n">
        <f aca="false">VLOOKUP(A129,'10-year CDS Spreads'!$A$2:$C$158,3,FALSE())</f>
        <v>0.0067</v>
      </c>
      <c r="E129" s="49" t="n">
        <f aca="false">VLOOKUP(A129,'ERPs by country'!$A$9:$F$165,4,FALSE())</f>
        <v>0.0101879749567629</v>
      </c>
      <c r="F129" s="130" t="n">
        <f aca="false">VLOOKUP(A129,'ERPs by country'!$A$9:$F$165,5,FALSE())</f>
        <v>0.0578201382545776</v>
      </c>
      <c r="G129" s="52" t="n">
        <f aca="false">VLOOKUP(A129,'ERPs by country'!$A$9:$F$165,6,FALSE())</f>
        <v>0.0155201382545776</v>
      </c>
      <c r="H129" s="52" t="n">
        <f aca="false">VLOOKUP(A129,'Country Tax Rates'!$A$2:$B$159,2,FALSE())</f>
        <v>0.22</v>
      </c>
      <c r="I129" s="80" t="str">
        <f aca="false">VLOOKUP(A129,'Regional lookup table'!$A$2:$B$162,2,FALSE())</f>
        <v>Eastern Europe &amp; Russia</v>
      </c>
    </row>
    <row r="130" customFormat="false" ht="15.75" hidden="false" customHeight="false" outlineLevel="0" collapsed="false">
      <c r="A130" s="129" t="str">
        <f aca="false">'Sovereign Ratings (Moody''s,S&amp;P)'!A130</f>
        <v>Solomon Islands</v>
      </c>
      <c r="B130" s="127" t="n">
        <f aca="false">VLOOKUP(A130,'Country GDP'!$A$2:$B$181,2,FALSE())</f>
        <v>1583.96470375061</v>
      </c>
      <c r="C130" s="48" t="str">
        <f aca="false">VLOOKUP(A130,'Sovereign Ratings (Moody''s,S&amp;P)'!$A$2:$D$158,4,FALSE())</f>
        <v>Caa1</v>
      </c>
      <c r="D130" s="50" t="e">
        <f aca="false">VLOOKUP(A130,'10-year CDS Spreads'!$A$2:$C$158,3,FALSE())</f>
        <v>#N/A</v>
      </c>
      <c r="E130" s="49" t="n">
        <f aca="false">VLOOKUP(A130,'ERPs by country'!$A$9:$F$165,4,FALSE())</f>
        <v>0.0637247845334774</v>
      </c>
      <c r="F130" s="130" t="n">
        <f aca="false">VLOOKUP(A130,'ERPs by country'!$A$9:$F$165,5,FALSE())</f>
        <v>0.139376943200201</v>
      </c>
      <c r="G130" s="52" t="n">
        <f aca="false">VLOOKUP(A130,'ERPs by country'!$A$9:$F$165,6,FALSE())</f>
        <v>0.097076943200201</v>
      </c>
      <c r="H130" s="52" t="n">
        <f aca="false">VLOOKUP(A130,'Country Tax Rates'!$A$2:$B$159,2,FALSE())</f>
        <v>0.3</v>
      </c>
      <c r="I130" s="80" t="str">
        <f aca="false">VLOOKUP(A130,'Regional lookup table'!$A$2:$B$162,2,FALSE())</f>
        <v>Asia</v>
      </c>
    </row>
    <row r="131" customFormat="false" ht="15.75" hidden="false" customHeight="false" outlineLevel="0" collapsed="false">
      <c r="A131" s="129" t="str">
        <f aca="false">'Sovereign Ratings (Moody''s,S&amp;P)'!A131</f>
        <v>South Africa</v>
      </c>
      <c r="B131" s="127" t="n">
        <f aca="false">VLOOKUP(A131,'Country GDP'!$A$2:$B$181,2,FALSE())</f>
        <v>401144.998373585</v>
      </c>
      <c r="C131" s="48" t="str">
        <f aca="false">VLOOKUP(A131,'Sovereign Ratings (Moody''s,S&amp;P)'!$A$2:$D$158,4,FALSE())</f>
        <v>Ba2</v>
      </c>
      <c r="D131" s="50" t="n">
        <f aca="false">VLOOKUP(A131,'10-year CDS Spreads'!$A$2:$C$158,3,FALSE())</f>
        <v>0.024</v>
      </c>
      <c r="E131" s="49" t="n">
        <f aca="false">VLOOKUP(A131,'ERPs by country'!$A$9:$F$165,4,FALSE())</f>
        <v>0.0255698194993264</v>
      </c>
      <c r="F131" s="130" t="n">
        <f aca="false">VLOOKUP(A131,'ERPs by country'!$A$9:$F$165,5,FALSE())</f>
        <v>0.0812525038546261</v>
      </c>
      <c r="G131" s="52" t="n">
        <f aca="false">VLOOKUP(A131,'ERPs by country'!$A$9:$F$165,6,FALSE())</f>
        <v>0.0389525038546261</v>
      </c>
      <c r="H131" s="52" t="n">
        <f aca="false">VLOOKUP(A131,'Country Tax Rates'!$A$2:$B$159,2,FALSE())</f>
        <v>0.27</v>
      </c>
      <c r="I131" s="80" t="str">
        <f aca="false">VLOOKUP(A131,'Regional lookup table'!$A$2:$B$162,2,FALSE())</f>
        <v>Africa</v>
      </c>
    </row>
    <row r="132" customFormat="false" ht="15.75" hidden="false" customHeight="false" outlineLevel="0" collapsed="false">
      <c r="A132" s="129" t="str">
        <f aca="false">'Sovereign Ratings (Moody''s,S&amp;P)'!A132</f>
        <v>Spain</v>
      </c>
      <c r="B132" s="127" t="n">
        <f aca="false">VLOOKUP(A132,'Country GDP'!$A$2:$B$181,2,FALSE())</f>
        <v>1725671.65274219</v>
      </c>
      <c r="C132" s="48" t="str">
        <f aca="false">VLOOKUP(A132,'Sovereign Ratings (Moody''s,S&amp;P)'!$A$2:$D$158,4,FALSE())</f>
        <v>A3</v>
      </c>
      <c r="D132" s="50" t="n">
        <f aca="false">VLOOKUP(A132,'10-year CDS Spreads'!$A$2:$C$158,3,FALSE())</f>
        <v>0.0045</v>
      </c>
      <c r="E132" s="49" t="n">
        <f aca="false">VLOOKUP(A132,'ERPs by country'!$A$9:$F$165,4,FALSE())</f>
        <v>0.0101879749567629</v>
      </c>
      <c r="F132" s="130" t="n">
        <f aca="false">VLOOKUP(A132,'ERPs by country'!$A$9:$F$165,5,FALSE())</f>
        <v>0.0578201382545776</v>
      </c>
      <c r="G132" s="52" t="n">
        <f aca="false">VLOOKUP(A132,'ERPs by country'!$A$9:$F$165,6,FALSE())</f>
        <v>0.0155201382545776</v>
      </c>
      <c r="H132" s="52" t="n">
        <f aca="false">VLOOKUP(A132,'Country Tax Rates'!$A$2:$B$159,2,FALSE())</f>
        <v>0.25</v>
      </c>
      <c r="I132" s="80" t="str">
        <f aca="false">VLOOKUP(A132,'Regional lookup table'!$A$2:$B$162,2,FALSE())</f>
        <v>Western Europe</v>
      </c>
    </row>
    <row r="133" customFormat="false" ht="15.75" hidden="false" customHeight="false" outlineLevel="0" collapsed="false">
      <c r="A133" s="129" t="str">
        <f aca="false">'Sovereign Ratings (Moody''s,S&amp;P)'!A133</f>
        <v>Sri Lanka</v>
      </c>
      <c r="B133" s="127" t="n">
        <f aca="false">VLOOKUP(A133,'Country GDP'!$A$2:$B$181,2,FALSE())</f>
        <v>98963.18550965</v>
      </c>
      <c r="C133" s="48" t="str">
        <f aca="false">VLOOKUP(A133,'Sovereign Ratings (Moody''s,S&amp;P)'!$A$2:$D$158,4,FALSE())</f>
        <v>Ca</v>
      </c>
      <c r="D133" s="50" t="str">
        <f aca="false">VLOOKUP(A133,'10-year CDS Spreads'!$A$2:$C$158,3,FALSE())</f>
        <v>NA</v>
      </c>
      <c r="E133" s="49" t="n">
        <f aca="false">VLOOKUP(A133,'ERPs by country'!$A$9:$F$165,4,FALSE())</f>
        <v>0.101979631675048</v>
      </c>
      <c r="F133" s="130" t="n">
        <f aca="false">VLOOKUP(A133,'ERPs by country'!$A$9:$F$165,5,FALSE())</f>
        <v>0.197653540763958</v>
      </c>
      <c r="G133" s="52" t="n">
        <f aca="false">VLOOKUP(A133,'ERPs by country'!$A$9:$F$165,6,FALSE())</f>
        <v>0.155353540763958</v>
      </c>
      <c r="H133" s="52" t="n">
        <f aca="false">VLOOKUP(A133,'Country Tax Rates'!$A$2:$B$159,2,FALSE())</f>
        <v>0.3</v>
      </c>
      <c r="I133" s="80" t="str">
        <f aca="false">VLOOKUP(A133,'Regional lookup table'!$A$2:$B$162,2,FALSE())</f>
        <v>Asia</v>
      </c>
    </row>
    <row r="134" customFormat="false" ht="15.75" hidden="false" customHeight="false" outlineLevel="0" collapsed="false">
      <c r="A134" s="129" t="str">
        <f aca="false">'Sovereign Ratings (Moody''s,S&amp;P)'!A134</f>
        <v>St. Maarten</v>
      </c>
      <c r="B134" s="127" t="n">
        <f aca="false">VLOOKUP(A134,'Country GDP'!$A$2:$B$181,2,FALSE())</f>
        <v>1797.83666595136</v>
      </c>
      <c r="C134" s="48" t="str">
        <f aca="false">VLOOKUP(A134,'Sovereign Ratings (Moody''s,S&amp;P)'!$A$2:$D$158,4,FALSE())</f>
        <v>Ba2</v>
      </c>
      <c r="D134" s="50" t="e">
        <f aca="false">VLOOKUP(A134,'10-year CDS Spreads'!$A$2:$C$158,3,FALSE())</f>
        <v>#N/A</v>
      </c>
      <c r="E134" s="49" t="n">
        <f aca="false">VLOOKUP(A134,'ERPs by country'!$A$9:$F$165,4,FALSE())</f>
        <v>0.0255698194993264</v>
      </c>
      <c r="F134" s="130" t="n">
        <f aca="false">VLOOKUP(A134,'ERPs by country'!$A$9:$F$165,5,FALSE())</f>
        <v>0.0812525038546261</v>
      </c>
      <c r="G134" s="52" t="n">
        <f aca="false">VLOOKUP(A134,'ERPs by country'!$A$9:$F$165,6,FALSE())</f>
        <v>0.0389525038546261</v>
      </c>
      <c r="H134" s="52" t="n">
        <f aca="false">VLOOKUP(A134,'Country Tax Rates'!$A$2:$B$159,2,FALSE())</f>
        <v>0.2</v>
      </c>
      <c r="I134" s="80" t="str">
        <f aca="false">VLOOKUP(A134,'Regional lookup table'!$A$2:$B$162,2,FALSE())</f>
        <v>Caribbean</v>
      </c>
    </row>
    <row r="135" customFormat="false" ht="15.75" hidden="false" customHeight="false" outlineLevel="0" collapsed="false">
      <c r="A135" s="129" t="str">
        <f aca="false">'Sovereign Ratings (Moody''s,S&amp;P)'!A135</f>
        <v>St. Vincent &amp; the Grenadines</v>
      </c>
      <c r="B135" s="127" t="n">
        <f aca="false">VLOOKUP(A135,'Country GDP'!$A$2:$B$181,2,FALSE())</f>
        <v>1157.20740740741</v>
      </c>
      <c r="C135" s="48" t="str">
        <f aca="false">VLOOKUP(A135,'Sovereign Ratings (Moody''s,S&amp;P)'!$A$2:$D$158,4,FALSE())</f>
        <v>B3</v>
      </c>
      <c r="D135" s="50" t="e">
        <f aca="false">VLOOKUP(A135,'10-year CDS Spreads'!$A$2:$C$158,3,FALSE())</f>
        <v>#N/A</v>
      </c>
      <c r="E135" s="49" t="n">
        <f aca="false">VLOOKUP(A135,'ERPs by country'!$A$9:$F$165,4,FALSE())</f>
        <v>0.0552348054028417</v>
      </c>
      <c r="F135" s="130" t="n">
        <f aca="false">VLOOKUP(A135,'ERPs by country'!$A$9:$F$165,5,FALSE())</f>
        <v>0.12644349465472</v>
      </c>
      <c r="G135" s="52" t="n">
        <f aca="false">VLOOKUP(A135,'ERPs by country'!$A$9:$F$165,6,FALSE())</f>
        <v>0.0841434946547197</v>
      </c>
      <c r="H135" s="52" t="n">
        <f aca="false">VLOOKUP(A135,'Country Tax Rates'!$A$2:$B$159,2,FALSE())</f>
        <v>0.28</v>
      </c>
      <c r="I135" s="80" t="str">
        <f aca="false">VLOOKUP(A135,'Regional lookup table'!$A$2:$B$162,2,FALSE())</f>
        <v>Caribbean</v>
      </c>
    </row>
    <row r="136" customFormat="false" ht="15.75" hidden="false" customHeight="false" outlineLevel="0" collapsed="false">
      <c r="A136" s="129" t="str">
        <f aca="false">'Sovereign Ratings (Moody''s,S&amp;P)'!A136</f>
        <v>Suriname</v>
      </c>
      <c r="B136" s="127" t="n">
        <f aca="false">VLOOKUP(A136,'Country GDP'!$A$2:$B$181,2,FALSE())</f>
        <v>4416.77511209627</v>
      </c>
      <c r="C136" s="48" t="str">
        <f aca="false">VLOOKUP(A136,'Sovereign Ratings (Moody''s,S&amp;P)'!$A$2:$D$158,4,FALSE())</f>
        <v>Caa1</v>
      </c>
      <c r="D136" s="50" t="e">
        <f aca="false">VLOOKUP(A136,'10-year CDS Spreads'!$A$2:$C$158,3,FALSE())</f>
        <v>#N/A</v>
      </c>
      <c r="E136" s="49" t="n">
        <f aca="false">VLOOKUP(A136,'ERPs by country'!$A$9:$F$165,4,FALSE())</f>
        <v>0.0637247845334774</v>
      </c>
      <c r="F136" s="130" t="n">
        <f aca="false">VLOOKUP(A136,'ERPs by country'!$A$9:$F$165,5,FALSE())</f>
        <v>0.139376943200201</v>
      </c>
      <c r="G136" s="52" t="n">
        <f aca="false">VLOOKUP(A136,'ERPs by country'!$A$9:$F$165,6,FALSE())</f>
        <v>0.097076943200201</v>
      </c>
      <c r="H136" s="52" t="n">
        <f aca="false">VLOOKUP(A136,'Country Tax Rates'!$A$2:$B$159,2,FALSE())</f>
        <v>0.36</v>
      </c>
      <c r="I136" s="80" t="str">
        <f aca="false">VLOOKUP(A136,'Regional lookup table'!$A$2:$B$162,2,FALSE())</f>
        <v>Central and South America</v>
      </c>
    </row>
    <row r="137" customFormat="false" ht="15.75" hidden="false" customHeight="false" outlineLevel="0" collapsed="false">
      <c r="A137" s="129" t="str">
        <f aca="false">'Sovereign Ratings (Moody''s,S&amp;P)'!A137</f>
        <v>Swaziland</v>
      </c>
      <c r="B137" s="127" t="n">
        <f aca="false">VLOOKUP(A137,'Country GDP'!$A$2:$B$181,2,FALSE())</f>
        <v>4858.88584077236</v>
      </c>
      <c r="C137" s="48" t="str">
        <f aca="false">VLOOKUP(A137,'Sovereign Ratings (Moody''s,S&amp;P)'!$A$2:$D$158,4,FALSE())</f>
        <v>B2</v>
      </c>
      <c r="D137" s="50" t="e">
        <f aca="false">VLOOKUP(A137,'10-year CDS Spreads'!$A$2:$C$158,3,FALSE())</f>
        <v>#N/A</v>
      </c>
      <c r="E137" s="49" t="n">
        <f aca="false">VLOOKUP(A137,'ERPs by country'!$A$9:$F$165,4,FALSE())</f>
        <v>0.046744826272206</v>
      </c>
      <c r="F137" s="130" t="n">
        <f aca="false">VLOOKUP(A137,'ERPs by country'!$A$9:$F$165,5,FALSE())</f>
        <v>0.113510046109238</v>
      </c>
      <c r="G137" s="52" t="n">
        <f aca="false">VLOOKUP(A137,'ERPs by country'!$A$9:$F$165,6,FALSE())</f>
        <v>0.0712100461092384</v>
      </c>
      <c r="H137" s="52" t="n">
        <f aca="false">VLOOKUP(A137,'Country Tax Rates'!$A$2:$B$159,2,FALSE())</f>
        <v>0.25</v>
      </c>
      <c r="I137" s="80" t="str">
        <f aca="false">VLOOKUP(A137,'Regional lookup table'!$A$2:$B$162,2,FALSE())</f>
        <v>Africa</v>
      </c>
    </row>
    <row r="138" customFormat="false" ht="15.75" hidden="false" customHeight="false" outlineLevel="0" collapsed="false">
      <c r="A138" s="129" t="str">
        <f aca="false">'Sovereign Ratings (Moody''s,S&amp;P)'!A138</f>
        <v>Sweden</v>
      </c>
      <c r="B138" s="127" t="n">
        <f aca="false">VLOOKUP(A138,'Country GDP'!$A$2:$B$181,2,FALSE())</f>
        <v>603715.224265798</v>
      </c>
      <c r="C138" s="48" t="str">
        <f aca="false">VLOOKUP(A138,'Sovereign Ratings (Moody''s,S&amp;P)'!$A$2:$D$158,4,FALSE())</f>
        <v>Aaa</v>
      </c>
      <c r="D138" s="50" t="n">
        <f aca="false">VLOOKUP(A138,'10-year CDS Spreads'!$A$2:$C$158,3,FALSE())</f>
        <v>0.002</v>
      </c>
      <c r="E138" s="49" t="n">
        <f aca="false">VLOOKUP(A138,'ERPs by country'!$A$9:$F$165,4,FALSE())</f>
        <v>0</v>
      </c>
      <c r="F138" s="130" t="n">
        <f aca="false">VLOOKUP(A138,'ERPs by country'!$A$9:$F$165,5,FALSE())</f>
        <v>0.0423</v>
      </c>
      <c r="G138" s="52" t="n">
        <f aca="false">VLOOKUP(A138,'ERPs by country'!$A$9:$F$165,6,FALSE())</f>
        <v>0</v>
      </c>
      <c r="H138" s="52" t="n">
        <f aca="false">VLOOKUP(A138,'Country Tax Rates'!$A$2:$B$159,2,FALSE())</f>
        <v>0.206</v>
      </c>
      <c r="I138" s="80" t="str">
        <f aca="false">VLOOKUP(A138,'Regional lookup table'!$A$2:$B$162,2,FALSE())</f>
        <v>Western Europe</v>
      </c>
    </row>
    <row r="139" customFormat="false" ht="15.75" hidden="false" customHeight="false" outlineLevel="0" collapsed="false">
      <c r="A139" s="129" t="str">
        <f aca="false">'Sovereign Ratings (Moody''s,S&amp;P)'!A139</f>
        <v>Switzerland</v>
      </c>
      <c r="B139" s="127" t="n">
        <f aca="false">VLOOKUP(A139,'Country GDP'!$A$2:$B$181,2,FALSE())</f>
        <v>936564.198048516</v>
      </c>
      <c r="C139" s="48" t="str">
        <f aca="false">VLOOKUP(A139,'Sovereign Ratings (Moody''s,S&amp;P)'!$A$2:$D$158,4,FALSE())</f>
        <v>Aaa</v>
      </c>
      <c r="D139" s="50" t="n">
        <f aca="false">VLOOKUP(A139,'10-year CDS Spreads'!$A$2:$C$158,3,FALSE())</f>
        <v>0.0014</v>
      </c>
      <c r="E139" s="49" t="n">
        <f aca="false">VLOOKUP(A139,'ERPs by country'!$A$9:$F$165,4,FALSE())</f>
        <v>0</v>
      </c>
      <c r="F139" s="130" t="n">
        <f aca="false">VLOOKUP(A139,'ERPs by country'!$A$9:$F$165,5,FALSE())</f>
        <v>0.0423</v>
      </c>
      <c r="G139" s="52" t="n">
        <f aca="false">VLOOKUP(A139,'ERPs by country'!$A$9:$F$165,6,FALSE())</f>
        <v>0</v>
      </c>
      <c r="H139" s="52" t="n">
        <f aca="false">VLOOKUP(A139,'Country Tax Rates'!$A$2:$B$159,2,FALSE())</f>
        <v>0.1961</v>
      </c>
      <c r="I139" s="80" t="str">
        <f aca="false">VLOOKUP(A139,'Regional lookup table'!$A$2:$B$162,2,FALSE())</f>
        <v>Western Europe</v>
      </c>
    </row>
    <row r="140" customFormat="false" ht="15.75" hidden="false" customHeight="false" outlineLevel="0" collapsed="false">
      <c r="A140" s="129" t="str">
        <f aca="false">'Sovereign Ratings (Moody''s,S&amp;P)'!A140</f>
        <v>Taiwan</v>
      </c>
      <c r="B140" s="127" t="n">
        <f aca="false">VLOOKUP(A140,'Country GDP'!$A$2:$B$181,2,FALSE())</f>
        <v>791610</v>
      </c>
      <c r="C140" s="48" t="str">
        <f aca="false">VLOOKUP(A140,'Sovereign Ratings (Moody''s,S&amp;P)'!$A$2:$D$158,4,FALSE())</f>
        <v>Aa3</v>
      </c>
      <c r="D140" s="50" t="e">
        <f aca="false">VLOOKUP(A140,'10-year CDS Spreads'!$A$2:$C$158,3,FALSE())</f>
        <v>#N/A</v>
      </c>
      <c r="E140" s="49" t="n">
        <f aca="false">VLOOKUP(A140,'ERPs by country'!$A$9:$F$165,4,FALSE())</f>
        <v>0.00509398747838143</v>
      </c>
      <c r="F140" s="130" t="n">
        <f aca="false">VLOOKUP(A140,'ERPs by country'!$A$9:$F$165,5,FALSE())</f>
        <v>0.0500600691272888</v>
      </c>
      <c r="G140" s="52" t="n">
        <f aca="false">VLOOKUP(A140,'ERPs by country'!$A$9:$F$165,6,FALSE())</f>
        <v>0.0077600691272888</v>
      </c>
      <c r="H140" s="52" t="n">
        <f aca="false">VLOOKUP(A140,'Country Tax Rates'!$A$2:$B$159,2,FALSE())</f>
        <v>0.2</v>
      </c>
      <c r="I140" s="80" t="str">
        <f aca="false">VLOOKUP(A140,'Regional lookup table'!$A$2:$B$162,2,FALSE())</f>
        <v>Asia</v>
      </c>
    </row>
    <row r="141" customFormat="false" ht="15.75" hidden="false" customHeight="false" outlineLevel="0" collapsed="false">
      <c r="A141" s="129" t="str">
        <f aca="false">'Sovereign Ratings (Moody''s,S&amp;P)'!A141</f>
        <v>Tajikistan</v>
      </c>
      <c r="B141" s="127" t="n">
        <f aca="false">VLOOKUP(A141,'Country GDP'!$A$2:$B$181,2,FALSE())</f>
        <v>14204.5755485536</v>
      </c>
      <c r="C141" s="48" t="str">
        <f aca="false">VLOOKUP(A141,'Sovereign Ratings (Moody''s,S&amp;P)'!$A$2:$D$158,4,FALSE())</f>
        <v>B3</v>
      </c>
      <c r="D141" s="50" t="e">
        <f aca="false">VLOOKUP(A141,'10-year CDS Spreads'!$A$2:$C$158,3,FALSE())</f>
        <v>#N/A</v>
      </c>
      <c r="E141" s="49" t="n">
        <f aca="false">VLOOKUP(A141,'ERPs by country'!$A$9:$F$165,4,FALSE())</f>
        <v>0.0552348054028417</v>
      </c>
      <c r="F141" s="130" t="n">
        <f aca="false">VLOOKUP(A141,'ERPs by country'!$A$9:$F$165,5,FALSE())</f>
        <v>0.12644349465472</v>
      </c>
      <c r="G141" s="52" t="n">
        <f aca="false">VLOOKUP(A141,'ERPs by country'!$A$9:$F$165,6,FALSE())</f>
        <v>0.0841434946547197</v>
      </c>
      <c r="H141" s="52" t="n">
        <f aca="false">VLOOKUP(A141,'Country Tax Rates'!$A$2:$B$159,2,FALSE())</f>
        <v>0.18</v>
      </c>
      <c r="I141" s="80" t="str">
        <f aca="false">VLOOKUP(A141,'Regional lookup table'!$A$2:$B$162,2,FALSE())</f>
        <v>Eastern Europe &amp; Russia</v>
      </c>
    </row>
    <row r="142" customFormat="false" ht="15.75" hidden="false" customHeight="false" outlineLevel="0" collapsed="false">
      <c r="A142" s="129" t="str">
        <f aca="false">'Sovereign Ratings (Moody''s,S&amp;P)'!A142</f>
        <v>Tanzania</v>
      </c>
      <c r="B142" s="127" t="n">
        <f aca="false">VLOOKUP(A142,'Country GDP'!$A$2:$B$181,2,FALSE())</f>
        <v>78844.4053852195</v>
      </c>
      <c r="C142" s="48" t="str">
        <f aca="false">VLOOKUP(A142,'Sovereign Ratings (Moody''s,S&amp;P)'!$A$2:$D$158,4,FALSE())</f>
        <v>B1</v>
      </c>
      <c r="D142" s="50" t="e">
        <f aca="false">VLOOKUP(A142,'10-year CDS Spreads'!$A$2:$C$158,3,FALSE())</f>
        <v>#N/A</v>
      </c>
      <c r="E142" s="49" t="n">
        <f aca="false">VLOOKUP(A142,'ERPs by country'!$A$9:$F$165,4,FALSE())</f>
        <v>0.0382548471415703</v>
      </c>
      <c r="F142" s="130" t="n">
        <f aca="false">VLOOKUP(A142,'ERPs by country'!$A$9:$F$165,5,FALSE())</f>
        <v>0.100576597563757</v>
      </c>
      <c r="G142" s="52" t="n">
        <f aca="false">VLOOKUP(A142,'ERPs by country'!$A$9:$F$165,6,FALSE())</f>
        <v>0.058276597563757</v>
      </c>
      <c r="H142" s="52" t="n">
        <f aca="false">VLOOKUP(A142,'Country Tax Rates'!$A$2:$B$159,2,FALSE())</f>
        <v>0.3</v>
      </c>
      <c r="I142" s="80" t="str">
        <f aca="false">VLOOKUP(A142,'Regional lookup table'!$A$2:$B$162,2,FALSE())</f>
        <v>Africa</v>
      </c>
    </row>
    <row r="143" customFormat="false" ht="15.75" hidden="false" customHeight="false" outlineLevel="0" collapsed="false">
      <c r="A143" s="129" t="str">
        <f aca="false">'Sovereign Ratings (Moody''s,S&amp;P)'!A143</f>
        <v>Thailand</v>
      </c>
      <c r="B143" s="127" t="n">
        <f aca="false">VLOOKUP(A143,'Country GDP'!$A$2:$B$181,2,FALSE())</f>
        <v>526517.658841684</v>
      </c>
      <c r="C143" s="48" t="str">
        <f aca="false">VLOOKUP(A143,'Sovereign Ratings (Moody''s,S&amp;P)'!$A$2:$D$158,4,FALSE())</f>
        <v>Baa1</v>
      </c>
      <c r="D143" s="50" t="n">
        <f aca="false">VLOOKUP(A143,'10-year CDS Spreads'!$A$2:$C$158,3,FALSE())</f>
        <v>0.0066</v>
      </c>
      <c r="E143" s="49" t="n">
        <f aca="false">VLOOKUP(A143,'ERPs by country'!$A$9:$F$165,4,FALSE())</f>
        <v>0.0135839666090171</v>
      </c>
      <c r="F143" s="130" t="n">
        <f aca="false">VLOOKUP(A143,'ERPs by country'!$A$9:$F$165,5,FALSE())</f>
        <v>0.0629935176727701</v>
      </c>
      <c r="G143" s="52" t="n">
        <f aca="false">VLOOKUP(A143,'ERPs by country'!$A$9:$F$165,6,FALSE())</f>
        <v>0.0206935176727701</v>
      </c>
      <c r="H143" s="52" t="n">
        <f aca="false">VLOOKUP(A143,'Country Tax Rates'!$A$2:$B$159,2,FALSE())</f>
        <v>0.2</v>
      </c>
      <c r="I143" s="80" t="str">
        <f aca="false">VLOOKUP(A143,'Regional lookup table'!$A$2:$B$162,2,FALSE())</f>
        <v>Asia</v>
      </c>
    </row>
    <row r="144" customFormat="false" ht="15.75" hidden="false" customHeight="false" outlineLevel="0" collapsed="false">
      <c r="A144" s="129" t="str">
        <f aca="false">'Sovereign Ratings (Moody''s,S&amp;P)'!A144</f>
        <v>Togo</v>
      </c>
      <c r="B144" s="127" t="n">
        <f aca="false">VLOOKUP(A144,'Country GDP'!$A$2:$B$181,2,FALSE())</f>
        <v>10651.180146531</v>
      </c>
      <c r="C144" s="48" t="str">
        <f aca="false">VLOOKUP(A144,'Sovereign Ratings (Moody''s,S&amp;P)'!$A$2:$D$158,4,FALSE())</f>
        <v>B3</v>
      </c>
      <c r="D144" s="50" t="e">
        <f aca="false">VLOOKUP(A144,'10-year CDS Spreads'!$A$2:$C$158,3,FALSE())</f>
        <v>#N/A</v>
      </c>
      <c r="E144" s="49" t="n">
        <f aca="false">VLOOKUP(A144,'ERPs by country'!$A$9:$F$165,4,FALSE())</f>
        <v>0.0552348054028417</v>
      </c>
      <c r="F144" s="130" t="n">
        <f aca="false">VLOOKUP(A144,'ERPs by country'!$A$9:$F$165,5,FALSE())</f>
        <v>0.12644349465472</v>
      </c>
      <c r="G144" s="52" t="n">
        <f aca="false">VLOOKUP(A144,'ERPs by country'!$A$9:$F$165,6,FALSE())</f>
        <v>0.0841434946547197</v>
      </c>
      <c r="H144" s="52" t="n">
        <f aca="false">VLOOKUP(A144,'Country Tax Rates'!$A$2:$B$159,2,FALSE())</f>
        <v>0.27</v>
      </c>
      <c r="I144" s="80" t="str">
        <f aca="false">VLOOKUP(A144,'Regional lookup table'!$A$2:$B$162,2,FALSE())</f>
        <v>Africa</v>
      </c>
    </row>
    <row r="145" customFormat="false" ht="15.75" hidden="false" customHeight="false" outlineLevel="0" collapsed="false">
      <c r="A145" s="129" t="str">
        <f aca="false">'Sovereign Ratings (Moody''s,S&amp;P)'!A145</f>
        <v>Trinidad and Tobago</v>
      </c>
      <c r="B145" s="127" t="n">
        <f aca="false">VLOOKUP(A145,'Country GDP'!$A$2:$B$181,2,FALSE())</f>
        <v>25633.5445294849</v>
      </c>
      <c r="C145" s="48" t="str">
        <f aca="false">VLOOKUP(A145,'Sovereign Ratings (Moody''s,S&amp;P)'!$A$2:$D$158,4,FALSE())</f>
        <v>Ba2</v>
      </c>
      <c r="D145" s="50" t="e">
        <f aca="false">VLOOKUP(A145,'10-year CDS Spreads'!$A$2:$C$158,3,FALSE())</f>
        <v>#N/A</v>
      </c>
      <c r="E145" s="49" t="n">
        <f aca="false">VLOOKUP(A145,'ERPs by country'!$A$9:$F$165,4,FALSE())</f>
        <v>0.0255698194993264</v>
      </c>
      <c r="F145" s="130" t="n">
        <f aca="false">VLOOKUP(A145,'ERPs by country'!$A$9:$F$165,5,FALSE())</f>
        <v>0.0812525038546261</v>
      </c>
      <c r="G145" s="52" t="n">
        <f aca="false">VLOOKUP(A145,'ERPs by country'!$A$9:$F$165,6,FALSE())</f>
        <v>0.0389525038546261</v>
      </c>
      <c r="H145" s="52" t="n">
        <f aca="false">VLOOKUP(A145,'Country Tax Rates'!$A$2:$B$159,2,FALSE())</f>
        <v>0.3</v>
      </c>
      <c r="I145" s="80" t="str">
        <f aca="false">VLOOKUP(A145,'Regional lookup table'!$A$2:$B$162,2,FALSE())</f>
        <v>Caribbean</v>
      </c>
    </row>
    <row r="146" customFormat="false" ht="15.75" hidden="false" customHeight="false" outlineLevel="0" collapsed="false">
      <c r="A146" s="129" t="str">
        <f aca="false">'Sovereign Ratings (Moody''s,S&amp;P)'!A146</f>
        <v>Tunisia</v>
      </c>
      <c r="B146" s="127" t="n">
        <f aca="false">VLOOKUP(A146,'Country GDP'!$A$2:$B$181,2,FALSE())</f>
        <v>51332.2856565422</v>
      </c>
      <c r="C146" s="48" t="str">
        <f aca="false">VLOOKUP(A146,'Sovereign Ratings (Moody''s,S&amp;P)'!$A$2:$D$158,4,FALSE())</f>
        <v>Caa1</v>
      </c>
      <c r="D146" s="50" t="n">
        <f aca="false">VLOOKUP(A146,'10-year CDS Spreads'!$A$2:$C$158,3,FALSE())</f>
        <v>0.0701</v>
      </c>
      <c r="E146" s="49" t="n">
        <f aca="false">VLOOKUP(A146,'ERPs by country'!$A$9:$F$165,4,FALSE())</f>
        <v>0.0637247845334774</v>
      </c>
      <c r="F146" s="130" t="n">
        <f aca="false">VLOOKUP(A146,'ERPs by country'!$A$9:$F$165,5,FALSE())</f>
        <v>0.139376943200201</v>
      </c>
      <c r="G146" s="52" t="n">
        <f aca="false">VLOOKUP(A146,'ERPs by country'!$A$9:$F$165,6,FALSE())</f>
        <v>0.097076943200201</v>
      </c>
      <c r="H146" s="52" t="n">
        <f aca="false">VLOOKUP(A146,'Country Tax Rates'!$A$2:$B$159,2,FALSE())</f>
        <v>0.15</v>
      </c>
      <c r="I146" s="80" t="str">
        <f aca="false">VLOOKUP(A146,'Regional lookup table'!$A$2:$B$162,2,FALSE())</f>
        <v>Africa</v>
      </c>
    </row>
    <row r="147" customFormat="false" ht="15.75" hidden="false" customHeight="false" outlineLevel="0" collapsed="false">
      <c r="A147" s="129" t="str">
        <f aca="false">'Sovereign Ratings (Moody''s,S&amp;P)'!A147</f>
        <v>Turkey</v>
      </c>
      <c r="B147" s="127" t="n">
        <f aca="false">VLOOKUP(A147,'Country GDP'!$A$2:$B$181,2,FALSE())</f>
        <v>1359123.76877412</v>
      </c>
      <c r="C147" s="48" t="str">
        <f aca="false">VLOOKUP(A147,'Sovereign Ratings (Moody''s,S&amp;P)'!$A$2:$D$158,4,FALSE())</f>
        <v>Ba3</v>
      </c>
      <c r="D147" s="50" t="n">
        <f aca="false">VLOOKUP(A147,'10-year CDS Spreads'!$A$2:$C$158,3,FALSE())</f>
        <v>0.0299</v>
      </c>
      <c r="E147" s="49" t="n">
        <f aca="false">VLOOKUP(A147,'ERPs by country'!$A$9:$F$165,4,FALSE())</f>
        <v>0.0305639248702886</v>
      </c>
      <c r="F147" s="130" t="n">
        <f aca="false">VLOOKUP(A147,'ERPs by country'!$A$9:$F$165,5,FALSE())</f>
        <v>0.0888604147637328</v>
      </c>
      <c r="G147" s="52" t="n">
        <f aca="false">VLOOKUP(A147,'ERPs by country'!$A$9:$F$165,6,FALSE())</f>
        <v>0.0465604147637328</v>
      </c>
      <c r="H147" s="52" t="n">
        <f aca="false">VLOOKUP(A147,'Country Tax Rates'!$A$2:$B$159,2,FALSE())</f>
        <v>0.25</v>
      </c>
      <c r="I147" s="80" t="str">
        <f aca="false">VLOOKUP(A147,'Regional lookup table'!$A$2:$B$162,2,FALSE())</f>
        <v>Western Europe</v>
      </c>
    </row>
    <row r="148" customFormat="false" ht="15.75" hidden="false" customHeight="false" outlineLevel="0" collapsed="false">
      <c r="A148" s="129" t="str">
        <f aca="false">'Sovereign Ratings (Moody''s,S&amp;P)'!A148</f>
        <v>Turks and Caicos Islands</v>
      </c>
      <c r="B148" s="127" t="n">
        <f aca="false">VLOOKUP(A148,'Country GDP'!$A$2:$B$181,2,FALSE())</f>
        <v>1745.378</v>
      </c>
      <c r="C148" s="48" t="str">
        <f aca="false">VLOOKUP(A148,'Sovereign Ratings (Moody''s,S&amp;P)'!$A$2:$D$158,4,FALSE())</f>
        <v>Baa1</v>
      </c>
      <c r="D148" s="50" t="e">
        <f aca="false">VLOOKUP(A148,'10-year CDS Spreads'!$A$2:$C$158,3,FALSE())</f>
        <v>#N/A</v>
      </c>
      <c r="E148" s="49" t="n">
        <f aca="false">VLOOKUP(A148,'ERPs by country'!$A$9:$F$165,4,FALSE())</f>
        <v>0.0135839666090171</v>
      </c>
      <c r="F148" s="130" t="n">
        <f aca="false">VLOOKUP(A148,'ERPs by country'!$A$9:$F$165,5,FALSE())</f>
        <v>0.0629935176727701</v>
      </c>
      <c r="G148" s="52" t="n">
        <f aca="false">VLOOKUP(A148,'ERPs by country'!$A$9:$F$165,6,FALSE())</f>
        <v>0.0206935176727701</v>
      </c>
      <c r="H148" s="52" t="n">
        <f aca="false">VLOOKUP(A148,'Country Tax Rates'!$A$2:$B$159,2,FALSE())</f>
        <v>0</v>
      </c>
      <c r="I148" s="80" t="str">
        <f aca="false">VLOOKUP(A148,'Regional lookup table'!$A$2:$B$162,2,FALSE())</f>
        <v>Caribbean</v>
      </c>
    </row>
    <row r="149" customFormat="false" ht="15.75" hidden="false" customHeight="false" outlineLevel="0" collapsed="false">
      <c r="A149" s="129" t="str">
        <f aca="false">'Sovereign Ratings (Moody''s,S&amp;P)'!A149</f>
        <v>Uganda</v>
      </c>
      <c r="B149" s="127" t="n">
        <f aca="false">VLOOKUP(A149,'Country GDP'!$A$2:$B$181,2,FALSE())</f>
        <v>53911.9070861525</v>
      </c>
      <c r="C149" s="48" t="str">
        <f aca="false">VLOOKUP(A149,'Sovereign Ratings (Moody''s,S&amp;P)'!$A$2:$D$158,4,FALSE())</f>
        <v>B3</v>
      </c>
      <c r="D149" s="50" t="e">
        <f aca="false">VLOOKUP(A149,'10-year CDS Spreads'!$A$2:$C$158,3,FALSE())</f>
        <v>#N/A</v>
      </c>
      <c r="E149" s="49" t="n">
        <f aca="false">VLOOKUP(A149,'ERPs by country'!$A$9:$F$165,4,FALSE())</f>
        <v>0.0552348054028417</v>
      </c>
      <c r="F149" s="130" t="n">
        <f aca="false">VLOOKUP(A149,'ERPs by country'!$A$9:$F$165,5,FALSE())</f>
        <v>0.12644349465472</v>
      </c>
      <c r="G149" s="52" t="n">
        <f aca="false">VLOOKUP(A149,'ERPs by country'!$A$9:$F$165,6,FALSE())</f>
        <v>0.0841434946547197</v>
      </c>
      <c r="H149" s="52" t="n">
        <f aca="false">VLOOKUP(A149,'Country Tax Rates'!$A$2:$B$159,2,FALSE())</f>
        <v>0.3</v>
      </c>
      <c r="I149" s="80" t="str">
        <f aca="false">VLOOKUP(A149,'Regional lookup table'!$A$2:$B$162,2,FALSE())</f>
        <v>Africa</v>
      </c>
    </row>
    <row r="150" customFormat="false" ht="15.75" hidden="false" customHeight="false" outlineLevel="0" collapsed="false">
      <c r="A150" s="129" t="str">
        <f aca="false">'Sovereign Ratings (Moody''s,S&amp;P)'!A150</f>
        <v>Ukraine</v>
      </c>
      <c r="B150" s="127" t="n">
        <f aca="false">VLOOKUP(A150,'Country GDP'!$A$2:$B$181,2,FALSE())</f>
        <v>190741.262414705</v>
      </c>
      <c r="C150" s="48" t="str">
        <f aca="false">VLOOKUP(A150,'Sovereign Ratings (Moody''s,S&amp;P)'!$A$2:$D$158,4,FALSE())</f>
        <v>Ca</v>
      </c>
      <c r="D150" s="50" t="str">
        <f aca="false">VLOOKUP(A150,'10-year CDS Spreads'!$A$2:$C$158,3,FALSE())</f>
        <v>NA</v>
      </c>
      <c r="E150" s="49" t="n">
        <f aca="false">VLOOKUP(A150,'ERPs by country'!$A$9:$F$165,4,FALSE())</f>
        <v>0.101979631675048</v>
      </c>
      <c r="F150" s="130" t="n">
        <f aca="false">VLOOKUP(A150,'ERPs by country'!$A$9:$F$165,5,FALSE())</f>
        <v>0.197653540763958</v>
      </c>
      <c r="G150" s="52" t="n">
        <f aca="false">VLOOKUP(A150,'ERPs by country'!$A$9:$F$165,6,FALSE())</f>
        <v>0.155353540763958</v>
      </c>
      <c r="H150" s="52" t="n">
        <f aca="false">VLOOKUP(A150,'Country Tax Rates'!$A$2:$B$159,2,FALSE())</f>
        <v>0.18</v>
      </c>
      <c r="I150" s="80" t="str">
        <f aca="false">VLOOKUP(A150,'Regional lookup table'!$A$2:$B$162,2,FALSE())</f>
        <v>Eastern Europe &amp; Russia</v>
      </c>
    </row>
    <row r="151" customFormat="false" ht="15.75" hidden="false" customHeight="false" outlineLevel="0" collapsed="false">
      <c r="A151" s="129" t="str">
        <f aca="false">'Sovereign Ratings (Moody''s,S&amp;P)'!A151</f>
        <v>United Arab Emirates</v>
      </c>
      <c r="B151" s="127" t="n">
        <f aca="false">VLOOKUP(A151,'Country GDP'!$A$2:$B$181,2,FALSE())</f>
        <v>552324.846834581</v>
      </c>
      <c r="C151" s="48" t="str">
        <f aca="false">VLOOKUP(A151,'Sovereign Ratings (Moody''s,S&amp;P)'!$A$2:$D$158,4,FALSE())</f>
        <v>Aa2</v>
      </c>
      <c r="D151" s="50" t="e">
        <f aca="false">VLOOKUP(A151,'10-year CDS Spreads'!$A$2:$C$158,3,FALSE())</f>
        <v>#N/A</v>
      </c>
      <c r="E151" s="49" t="n">
        <f aca="false">VLOOKUP(A151,'ERPs by country'!$A$9:$F$165,4,FALSE())</f>
        <v>0.00419504851160823</v>
      </c>
      <c r="F151" s="130" t="n">
        <f aca="false">VLOOKUP(A151,'ERPs by country'!$A$9:$F$165,5,FALSE())</f>
        <v>0.0486906451636496</v>
      </c>
      <c r="G151" s="52" t="n">
        <f aca="false">VLOOKUP(A151,'ERPs by country'!$A$9:$F$165,6,FALSE())</f>
        <v>0.0063906451636496</v>
      </c>
      <c r="H151" s="52" t="n">
        <f aca="false">VLOOKUP(A151,'Country Tax Rates'!$A$2:$B$159,2,FALSE())</f>
        <v>0.09</v>
      </c>
      <c r="I151" s="80" t="str">
        <f aca="false">VLOOKUP(A151,'Regional lookup table'!$A$2:$B$162,2,FALSE())</f>
        <v>Middle East</v>
      </c>
    </row>
    <row r="152" customFormat="false" ht="15.75" hidden="false" customHeight="false" outlineLevel="0" collapsed="false">
      <c r="A152" s="129" t="str">
        <f aca="false">'Sovereign Ratings (Moody''s,S&amp;P)'!A152</f>
        <v>United Kingdom</v>
      </c>
      <c r="B152" s="127" t="n">
        <f aca="false">VLOOKUP(A152,'Country GDP'!$A$2:$B$181,2,FALSE())</f>
        <v>3686033.04448213</v>
      </c>
      <c r="C152" s="48" t="str">
        <f aca="false">VLOOKUP(A152,'Sovereign Ratings (Moody''s,S&amp;P)'!$A$2:$D$158,4,FALSE())</f>
        <v>Aa3</v>
      </c>
      <c r="D152" s="50" t="n">
        <f aca="false">VLOOKUP(A152,'10-year CDS Spreads'!$A$2:$C$158,3,FALSE())</f>
        <v>0.0037</v>
      </c>
      <c r="E152" s="49" t="n">
        <f aca="false">VLOOKUP(A152,'ERPs by country'!$A$9:$F$165,4,FALSE())</f>
        <v>0.00509398747838143</v>
      </c>
      <c r="F152" s="130" t="n">
        <f aca="false">VLOOKUP(A152,'ERPs by country'!$A$9:$F$165,5,FALSE())</f>
        <v>0.0500600691272888</v>
      </c>
      <c r="G152" s="52" t="n">
        <f aca="false">VLOOKUP(A152,'ERPs by country'!$A$9:$F$165,6,FALSE())</f>
        <v>0.0077600691272888</v>
      </c>
      <c r="H152" s="52" t="n">
        <f aca="false">VLOOKUP(A152,'Country Tax Rates'!$A$2:$B$159,2,FALSE())</f>
        <v>0.25</v>
      </c>
      <c r="I152" s="80" t="str">
        <f aca="false">VLOOKUP(A152,'Regional lookup table'!$A$2:$B$162,2,FALSE())</f>
        <v>Western Europe</v>
      </c>
    </row>
    <row r="153" customFormat="false" ht="15.75" hidden="false" customHeight="false" outlineLevel="0" collapsed="false">
      <c r="A153" s="129" t="str">
        <f aca="false">'Sovereign Ratings (Moody''s,S&amp;P)'!A153</f>
        <v>United States</v>
      </c>
      <c r="B153" s="127" t="n">
        <f aca="false">VLOOKUP(A153,'Country GDP'!$A$2:$B$181,2,FALSE())</f>
        <v>28750956.1307312</v>
      </c>
      <c r="C153" s="48" t="str">
        <f aca="false">VLOOKUP(A153,'Sovereign Ratings (Moody''s,S&amp;P)'!$A$2:$D$158,4,FALSE())</f>
        <v>Aa1</v>
      </c>
      <c r="D153" s="50" t="n">
        <f aca="false">VLOOKUP(A153,'10-year CDS Spreads'!$A$2:$C$158,3,FALSE())</f>
        <v>0.0044</v>
      </c>
      <c r="E153" s="49" t="n">
        <f aca="false">VLOOKUP(A153,'ERPs by country'!$A$9:$F$165,4,FALSE())</f>
        <v>0.00233367916999202</v>
      </c>
      <c r="F153" s="130" t="n">
        <f aca="false">VLOOKUP(A153,'ERPs by country'!$A$9:$F$165,5,FALSE())</f>
        <v>0.0446</v>
      </c>
      <c r="G153" s="52" t="n">
        <f aca="false">VLOOKUP(A153,'ERPs by country'!$A$9:$F$165,6,FALSE())</f>
        <v>0.00233367916999202</v>
      </c>
      <c r="H153" s="52" t="n">
        <f aca="false">VLOOKUP(A153,'Country Tax Rates'!$A$2:$B$159,2,FALSE())</f>
        <v>0.25</v>
      </c>
      <c r="I153" s="80" t="str">
        <f aca="false">VLOOKUP(A153,'Regional lookup table'!$A$2:$B$162,2,FALSE())</f>
        <v>North America</v>
      </c>
    </row>
    <row r="154" customFormat="false" ht="15" hidden="false" customHeight="true" outlineLevel="0" collapsed="false">
      <c r="A154" s="129" t="str">
        <f aca="false">'Sovereign Ratings (Moody''s,S&amp;P)'!A154</f>
        <v>Uruguay</v>
      </c>
      <c r="B154" s="127" t="n">
        <f aca="false">VLOOKUP(A154,'Country GDP'!$A$2:$B$181,2,FALSE())</f>
        <v>80961.5110735797</v>
      </c>
      <c r="C154" s="48" t="str">
        <f aca="false">VLOOKUP(A154,'Sovereign Ratings (Moody''s,S&amp;P)'!$A$2:$D$158,4,FALSE())</f>
        <v>Baa1</v>
      </c>
      <c r="D154" s="50" t="n">
        <f aca="false">VLOOKUP(A154,'10-year CDS Spreads'!$A$2:$C$158,3,FALSE())</f>
        <v>0.0077</v>
      </c>
      <c r="E154" s="49" t="n">
        <f aca="false">VLOOKUP(A154,'ERPs by country'!$A$9:$F$165,4,FALSE())</f>
        <v>0.0135839666090171</v>
      </c>
      <c r="F154" s="130" t="n">
        <f aca="false">VLOOKUP(A154,'ERPs by country'!$A$9:$F$165,5,FALSE())</f>
        <v>0.0629935176727701</v>
      </c>
      <c r="G154" s="52" t="n">
        <f aca="false">VLOOKUP(A154,'ERPs by country'!$A$9:$F$165,6,FALSE())</f>
        <v>0.0206935176727701</v>
      </c>
      <c r="H154" s="52" t="n">
        <f aca="false">VLOOKUP(A154,'Country Tax Rates'!$A$2:$B$159,2,FALSE())</f>
        <v>0.25</v>
      </c>
      <c r="I154" s="80" t="str">
        <f aca="false">VLOOKUP(A154,'Regional lookup table'!$A$2:$B$162,2,FALSE())</f>
        <v>Central and South America</v>
      </c>
    </row>
    <row r="155" customFormat="false" ht="15.75" hidden="false" customHeight="false" outlineLevel="0" collapsed="false">
      <c r="A155" s="129" t="str">
        <f aca="false">'Sovereign Ratings (Moody''s,S&amp;P)'!A155</f>
        <v>Uzbekistan</v>
      </c>
      <c r="B155" s="127" t="n">
        <f aca="false">VLOOKUP(A155,'Country GDP'!$A$2:$B$181,2,FALSE())</f>
        <v>114965.293466611</v>
      </c>
      <c r="C155" s="48" t="str">
        <f aca="false">VLOOKUP(A155,'Sovereign Ratings (Moody''s,S&amp;P)'!$A$2:$D$158,4,FALSE())</f>
        <v>Ba3</v>
      </c>
      <c r="D155" s="50" t="e">
        <f aca="false">VLOOKUP(A155,'10-year CDS Spreads'!$A$2:$C$158,3,FALSE())</f>
        <v>#N/A</v>
      </c>
      <c r="E155" s="49" t="n">
        <f aca="false">VLOOKUP(A155,'ERPs by country'!$A$9:$F$165,4,FALSE())</f>
        <v>0.0305639248702886</v>
      </c>
      <c r="F155" s="130" t="n">
        <f aca="false">VLOOKUP(A155,'ERPs by country'!$A$9:$F$165,5,FALSE())</f>
        <v>0.0888604147637328</v>
      </c>
      <c r="G155" s="52" t="n">
        <f aca="false">VLOOKUP(A155,'ERPs by country'!$A$9:$F$165,6,FALSE())</f>
        <v>0.0465604147637328</v>
      </c>
      <c r="H155" s="52" t="n">
        <f aca="false">VLOOKUP(A155,'Country Tax Rates'!$A$2:$B$159,2,FALSE())</f>
        <v>0.15</v>
      </c>
      <c r="I155" s="80" t="str">
        <f aca="false">VLOOKUP(A155,'Regional lookup table'!$A$2:$B$162,2,FALSE())</f>
        <v>Eastern Europe &amp; Russia</v>
      </c>
    </row>
    <row r="156" customFormat="false" ht="15.75" hidden="false" customHeight="false" outlineLevel="0" collapsed="false">
      <c r="A156" s="129" t="str">
        <f aca="false">'Sovereign Ratings (Moody''s,S&amp;P)'!A156</f>
        <v>Venezuela</v>
      </c>
      <c r="B156" s="127" t="n">
        <f aca="false">VLOOKUP(A156,'Country GDP'!$A$2:$B$181,2,FALSE())</f>
        <v>119802.963257783</v>
      </c>
      <c r="C156" s="48" t="str">
        <f aca="false">VLOOKUP(A156,'Sovereign Ratings (Moody''s,S&amp;P)'!$A$2:$D$158,4,FALSE())</f>
        <v>C</v>
      </c>
      <c r="D156" s="50" t="n">
        <f aca="false">VLOOKUP(A156,'10-year CDS Spreads'!$A$2:$C$158,3,FALSE())</f>
        <v>0.0929</v>
      </c>
      <c r="E156" s="49" t="n">
        <f aca="false">VLOOKUP(A156,'ERPs by country'!$A$9:$F$165,4,FALSE())</f>
        <v>0.175</v>
      </c>
      <c r="F156" s="130" t="n">
        <f aca="false">VLOOKUP(A156,'ERPs by country'!$A$9:$F$165,5,FALSE())</f>
        <v>0.30889117303269</v>
      </c>
      <c r="G156" s="52" t="n">
        <f aca="false">VLOOKUP(A156,'ERPs by country'!$A$9:$F$165,6,FALSE())</f>
        <v>0.26659117303269</v>
      </c>
      <c r="H156" s="52" t="n">
        <f aca="false">VLOOKUP(A156,'Country Tax Rates'!$A$2:$B$159,2,FALSE())</f>
        <v>0.34</v>
      </c>
      <c r="I156" s="80" t="str">
        <f aca="false">VLOOKUP(A156,'Regional lookup table'!$A$2:$B$162,2,FALSE())</f>
        <v>Central and South America</v>
      </c>
    </row>
    <row r="157" customFormat="false" ht="15.75" hidden="false" customHeight="false" outlineLevel="0" collapsed="false">
      <c r="A157" s="129" t="str">
        <f aca="false">'Sovereign Ratings (Moody''s,S&amp;P)'!A157</f>
        <v>Vietnam</v>
      </c>
      <c r="B157" s="127" t="n">
        <f aca="false">VLOOKUP(A157,'Country GDP'!$A$2:$B$181,2,FALSE())</f>
        <v>476388.230307175</v>
      </c>
      <c r="C157" s="48" t="str">
        <f aca="false">VLOOKUP(A157,'Sovereign Ratings (Moody''s,S&amp;P)'!$A$2:$D$158,4,FALSE())</f>
        <v>Ba2</v>
      </c>
      <c r="D157" s="50" t="n">
        <f aca="false">VLOOKUP(A157,'10-year CDS Spreads'!$A$2:$C$158,3,FALSE())</f>
        <v>0.0151</v>
      </c>
      <c r="E157" s="49" t="n">
        <f aca="false">VLOOKUP(A157,'ERPs by country'!$A$9:$F$165,4,FALSE())</f>
        <v>0.0255698194993264</v>
      </c>
      <c r="F157" s="130" t="n">
        <f aca="false">VLOOKUP(A157,'ERPs by country'!$A$9:$F$165,5,FALSE())</f>
        <v>0.0812525038546261</v>
      </c>
      <c r="G157" s="52" t="n">
        <f aca="false">VLOOKUP(A157,'ERPs by country'!$A$9:$F$165,6,FALSE())</f>
        <v>0.0389525038546261</v>
      </c>
      <c r="H157" s="52" t="n">
        <f aca="false">VLOOKUP(A157,'Country Tax Rates'!$A$2:$B$159,2,FALSE())</f>
        <v>0.2</v>
      </c>
      <c r="I157" s="80" t="str">
        <f aca="false">VLOOKUP(A157,'Regional lookup table'!$A$2:$B$162,2,FALSE())</f>
        <v>Asia</v>
      </c>
    </row>
    <row r="158" customFormat="false" ht="15.75" hidden="false" customHeight="false" outlineLevel="0" collapsed="false">
      <c r="A158" s="129" t="str">
        <f aca="false">'Sovereign Ratings (Moody''s,S&amp;P)'!A158</f>
        <v>Zambia</v>
      </c>
      <c r="B158" s="127" t="n">
        <f aca="false">VLOOKUP(A158,'Country GDP'!$A$2:$B$181,2,FALSE())</f>
        <v>25303.1853422511</v>
      </c>
      <c r="C158" s="48" t="str">
        <f aca="false">VLOOKUP(A158,'Sovereign Ratings (Moody''s,S&amp;P)'!$A$2:$D$158,4,FALSE())</f>
        <v>Caa2</v>
      </c>
      <c r="D158" s="50" t="n">
        <f aca="false">VLOOKUP(A158,'10-year CDS Spreads'!$A$2:$C$158,3,FALSE())</f>
        <v>0.0408</v>
      </c>
      <c r="E158" s="49" t="n">
        <f aca="false">VLOOKUP(A158,'ERPs by country'!$A$9:$F$165,4,FALSE())</f>
        <v>0.0765096942831406</v>
      </c>
      <c r="F158" s="130" t="n">
        <f aca="false">VLOOKUP(A158,'ERPs by country'!$A$9:$F$165,5,FALSE())</f>
        <v>0.158853195127514</v>
      </c>
      <c r="G158" s="52" t="n">
        <f aca="false">VLOOKUP(A158,'ERPs by country'!$A$9:$F$165,6,FALSE())</f>
        <v>0.116553195127514</v>
      </c>
      <c r="H158" s="52" t="n">
        <f aca="false">VLOOKUP(A158,'Country Tax Rates'!$A$2:$B$159,2,FALSE())</f>
        <v>0.3</v>
      </c>
      <c r="I158" s="80" t="str">
        <f aca="false">VLOOKUP(A158,'Regional lookup table'!$A$2:$B$162,2,FALSE())</f>
        <v>Africa</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58"/>
  <sheetViews>
    <sheetView showFormulas="false" showGridLines="true" showRowColHeaders="true" showZeros="true" rightToLeft="false" tabSelected="false" showOutlineSymbols="true" defaultGridColor="true" view="normal" topLeftCell="A78" colorId="64" zoomScale="100" zoomScaleNormal="100" zoomScalePageLayoutView="100" workbookViewId="0">
      <selection pane="topLeft" activeCell="E49" activeCellId="0" sqref="E49"/>
    </sheetView>
  </sheetViews>
  <sheetFormatPr defaultColWidth="10.65234375" defaultRowHeight="15.75" zeroHeight="false" outlineLevelRow="0" outlineLevelCol="0"/>
  <cols>
    <col collapsed="false" customWidth="true" hidden="false" outlineLevel="0" max="1" min="1" style="2" width="24.84"/>
    <col collapsed="false" customWidth="true" hidden="false" outlineLevel="0" max="3" min="2" style="2" width="16.16"/>
    <col collapsed="false" customWidth="true" hidden="false" outlineLevel="0" max="4" min="4" style="2" width="19.67"/>
    <col collapsed="false" customWidth="true" hidden="false" outlineLevel="0" max="5" min="5" style="147" width="19.33"/>
  </cols>
  <sheetData>
    <row r="1" customFormat="false" ht="16.5" hidden="false" customHeight="false" outlineLevel="0" collapsed="false">
      <c r="A1" s="148" t="s">
        <v>61</v>
      </c>
      <c r="B1" s="149" t="s">
        <v>361</v>
      </c>
      <c r="C1" s="149" t="s">
        <v>362</v>
      </c>
      <c r="D1" s="150" t="s">
        <v>99</v>
      </c>
      <c r="E1" s="151" t="s">
        <v>363</v>
      </c>
    </row>
    <row r="2" customFormat="false" ht="15.75" hidden="false" customHeight="false" outlineLevel="0" collapsed="false">
      <c r="A2" s="64" t="str">
        <f aca="false">'Ratings worksheet'!A2</f>
        <v>Abu Dhabi</v>
      </c>
      <c r="B2" s="65" t="e">
        <f aca="false">VLOOKUP(A2,'Ratings worksheet'!$A$2:$C$159,2,FALSE())</f>
        <v>#N/A</v>
      </c>
      <c r="C2" s="65" t="e">
        <f aca="false">VLOOKUP(A2,'Ratings worksheet'!$E$2:$H$159,4,FALSE())</f>
        <v>#N/A</v>
      </c>
      <c r="D2" s="152" t="str">
        <f aca="false">IF(E2="NR",VLOOKUP(B2,'Sovereign Ratings (Moody''s,S&amp;P)'!$G$9:$H$34,2,FALSE()),E2)</f>
        <v>Aa2</v>
      </c>
      <c r="E2" s="153" t="str">
        <f aca="false">VLOOKUP(A2,'Ratings worksheet'!$A$2:$C$159,3,FALSE())</f>
        <v>Aa2</v>
      </c>
      <c r="G2" s="154" t="s">
        <v>364</v>
      </c>
      <c r="H2" s="154"/>
      <c r="I2" s="154"/>
      <c r="J2" s="154"/>
      <c r="K2" s="154"/>
      <c r="L2" s="154"/>
      <c r="M2" s="154"/>
      <c r="N2" s="154"/>
      <c r="O2" s="154"/>
      <c r="P2" s="154"/>
    </row>
    <row r="3" customFormat="false" ht="15.75" hidden="false" customHeight="false" outlineLevel="0" collapsed="false">
      <c r="A3" s="64" t="str">
        <f aca="false">'Ratings worksheet'!A3</f>
        <v>Albania</v>
      </c>
      <c r="B3" s="65" t="str">
        <f aca="false">VLOOKUP(A3,'Ratings worksheet'!$A$2:$C$159,2,FALSE())</f>
        <v>BB</v>
      </c>
      <c r="C3" s="65" t="str">
        <f aca="false">VLOOKUP(A3,'Ratings worksheet'!$E$2:$H$159,4,FALSE())</f>
        <v>NR</v>
      </c>
      <c r="D3" s="152" t="str">
        <f aca="false">IF(E3="NR",VLOOKUP(B3,'Sovereign Ratings (Moody''s,S&amp;P)'!$G$9:$H$34,2,FALSE()),E3)</f>
        <v>Ba3</v>
      </c>
      <c r="E3" s="153" t="str">
        <f aca="false">VLOOKUP(A3,'Ratings worksheet'!$A$2:$C$159,3,FALSE())</f>
        <v>Ba3</v>
      </c>
      <c r="G3" s="154" t="s">
        <v>365</v>
      </c>
      <c r="H3" s="154"/>
      <c r="I3" s="154"/>
      <c r="J3" s="154"/>
      <c r="K3" s="154"/>
      <c r="L3" s="154"/>
      <c r="M3" s="154"/>
      <c r="N3" s="154"/>
      <c r="O3" s="154"/>
      <c r="P3" s="154"/>
    </row>
    <row r="4" customFormat="false" ht="15.75" hidden="false" customHeight="true" outlineLevel="0" collapsed="false">
      <c r="A4" s="64" t="str">
        <f aca="false">'Ratings worksheet'!A4</f>
        <v>Andorra (Principality of)</v>
      </c>
      <c r="B4" s="65" t="str">
        <f aca="false">VLOOKUP(A4,'Ratings worksheet'!$A$2:$C$159,2,FALSE())</f>
        <v>A-</v>
      </c>
      <c r="C4" s="65" t="e">
        <f aca="false">VLOOKUP(A4,'Ratings worksheet'!$E$2:$H$159,4,FALSE())</f>
        <v>#N/A</v>
      </c>
      <c r="D4" s="152" t="str">
        <f aca="false">IF(E4="NR",VLOOKUP(B4,'Sovereign Ratings (Moody''s,S&amp;P)'!$G$9:$H$34,2,FALSE()),E4)</f>
        <v>Baa1</v>
      </c>
      <c r="E4" s="153" t="str">
        <f aca="false">VLOOKUP(A4,'Ratings worksheet'!$A$2:$C$159,3,FALSE())</f>
        <v>Baa1</v>
      </c>
      <c r="G4" s="155" t="s">
        <v>366</v>
      </c>
      <c r="H4" s="155"/>
      <c r="I4" s="155"/>
      <c r="J4" s="155"/>
      <c r="K4" s="155"/>
      <c r="L4" s="155"/>
      <c r="M4" s="155"/>
      <c r="N4" s="155"/>
      <c r="O4" s="155"/>
      <c r="P4" s="155"/>
    </row>
    <row r="5" customFormat="false" ht="15.75" hidden="false" customHeight="true" outlineLevel="0" collapsed="false">
      <c r="A5" s="64" t="str">
        <f aca="false">'Ratings worksheet'!A5</f>
        <v>Angola</v>
      </c>
      <c r="B5" s="65" t="str">
        <f aca="false">VLOOKUP(A5,'Ratings worksheet'!$A$2:$C$159,2,FALSE())</f>
        <v>B-</v>
      </c>
      <c r="C5" s="65" t="str">
        <f aca="false">VLOOKUP(A5,'Ratings worksheet'!$E$2:$H$159,4,FALSE())</f>
        <v>B-</v>
      </c>
      <c r="D5" s="152" t="str">
        <f aca="false">IF(E5="NR",VLOOKUP(B5,'Sovereign Ratings (Moody''s,S&amp;P)'!$G$9:$H$34,2,FALSE()),E5)</f>
        <v>B3</v>
      </c>
      <c r="E5" s="153" t="str">
        <f aca="false">VLOOKUP(A5,'Ratings worksheet'!$A$2:$C$159,3,FALSE())</f>
        <v>B3</v>
      </c>
      <c r="G5" s="155" t="s">
        <v>367</v>
      </c>
      <c r="H5" s="155"/>
      <c r="I5" s="155"/>
      <c r="J5" s="155"/>
      <c r="K5" s="155"/>
      <c r="L5" s="155"/>
      <c r="M5" s="155"/>
      <c r="N5" s="155"/>
      <c r="O5" s="155"/>
      <c r="P5" s="155"/>
    </row>
    <row r="6" customFormat="false" ht="15.75" hidden="false" customHeight="false" outlineLevel="0" collapsed="false">
      <c r="A6" s="64" t="str">
        <f aca="false">'Ratings worksheet'!A6</f>
        <v>Argentina</v>
      </c>
      <c r="B6" s="65" t="str">
        <f aca="false">VLOOKUP(A6,'Ratings worksheet'!$A$2:$C$159,2,FALSE())</f>
        <v>CCC+</v>
      </c>
      <c r="C6" s="65" t="str">
        <f aca="false">VLOOKUP(A6,'Ratings worksheet'!$E$2:$H$159,4,FALSE())</f>
        <v>CCC+</v>
      </c>
      <c r="D6" s="152" t="str">
        <f aca="false">IF(E6="NR",VLOOKUP(B6,'Sovereign Ratings (Moody''s,S&amp;P)'!$G$9:$H$34,2,FALSE()),E6)</f>
        <v>Caa1</v>
      </c>
      <c r="E6" s="153" t="str">
        <f aca="false">VLOOKUP(A6,'Ratings worksheet'!$A$2:$C$159,3,FALSE())</f>
        <v>Caa1</v>
      </c>
      <c r="G6" s="156" t="s">
        <v>368</v>
      </c>
    </row>
    <row r="7" customFormat="false" ht="15.75" hidden="false" customHeight="false" outlineLevel="0" collapsed="false">
      <c r="A7" s="64" t="str">
        <f aca="false">'Ratings worksheet'!A7</f>
        <v>Armenia</v>
      </c>
      <c r="B7" s="65" t="str">
        <f aca="false">VLOOKUP(A7,'Ratings worksheet'!$A$2:$C$159,2,FALSE())</f>
        <v>BB-</v>
      </c>
      <c r="C7" s="65" t="str">
        <f aca="false">VLOOKUP(A7,'Ratings worksheet'!$E$2:$H$159,4,FALSE())</f>
        <v>BB-</v>
      </c>
      <c r="D7" s="152" t="str">
        <f aca="false">IF(E7="NR",VLOOKUP(B7,'Sovereign Ratings (Moody''s,S&amp;P)'!$G$9:$H$34,2,FALSE()),E7)</f>
        <v>Ba3</v>
      </c>
      <c r="E7" s="153" t="str">
        <f aca="false">VLOOKUP(A7,'Ratings worksheet'!$A$2:$C$159,3,FALSE())</f>
        <v>Ba3</v>
      </c>
      <c r="G7" s="156" t="s">
        <v>369</v>
      </c>
    </row>
    <row r="8" customFormat="false" ht="15.75" hidden="false" customHeight="false" outlineLevel="0" collapsed="false">
      <c r="A8" s="64" t="str">
        <f aca="false">'Ratings worksheet'!A8</f>
        <v>Aruba</v>
      </c>
      <c r="B8" s="65" t="str">
        <f aca="false">VLOOKUP(A8,'Ratings worksheet'!$A$2:$C$159,2,FALSE())</f>
        <v>BBB+</v>
      </c>
      <c r="C8" s="65" t="str">
        <f aca="false">VLOOKUP(A8,'Ratings worksheet'!$E$2:$H$159,4,FALSE())</f>
        <v>BBB-</v>
      </c>
      <c r="D8" s="152" t="str">
        <f aca="false">IF(E8="NR",VLOOKUP(B8,'Sovereign Ratings (Moody''s,S&amp;P)'!$G$9:$H$34,2,FALSE()),E8)</f>
        <v>Baa3</v>
      </c>
      <c r="E8" s="153" t="str">
        <f aca="false">VLOOKUP(A8,'Ratings worksheet'!$A$2:$C$159,3,FALSE())</f>
        <v>Baa3</v>
      </c>
      <c r="G8" s="157" t="s">
        <v>370</v>
      </c>
      <c r="H8" s="157" t="s">
        <v>371</v>
      </c>
    </row>
    <row r="9" customFormat="false" ht="15.75" hidden="false" customHeight="false" outlineLevel="0" collapsed="false">
      <c r="A9" s="64" t="str">
        <f aca="false">'Ratings worksheet'!A9</f>
        <v>Australia</v>
      </c>
      <c r="B9" s="65" t="str">
        <f aca="false">VLOOKUP(A9,'Ratings worksheet'!$A$2:$C$159,2,FALSE())</f>
        <v>AAA</v>
      </c>
      <c r="C9" s="65" t="str">
        <f aca="false">VLOOKUP(A9,'Ratings worksheet'!$E$2:$H$159,4,FALSE())</f>
        <v>AAA</v>
      </c>
      <c r="D9" s="152" t="str">
        <f aca="false">IF(E9="NR",VLOOKUP(B9,'Sovereign Ratings (Moody''s,S&amp;P)'!$G$9:$H$34,2,FALSE()),E9)</f>
        <v>Aaa</v>
      </c>
      <c r="E9" s="153" t="str">
        <f aca="false">VLOOKUP(A9,'Ratings worksheet'!$A$2:$C$159,3,FALSE())</f>
        <v>Aaa</v>
      </c>
      <c r="G9" s="158" t="s">
        <v>372</v>
      </c>
      <c r="H9" s="80" t="s">
        <v>110</v>
      </c>
    </row>
    <row r="10" customFormat="false" ht="15.75" hidden="false" customHeight="false" outlineLevel="0" collapsed="false">
      <c r="A10" s="64" t="str">
        <f aca="false">'Ratings worksheet'!A10</f>
        <v>Austria</v>
      </c>
      <c r="B10" s="65" t="str">
        <f aca="false">VLOOKUP(A10,'Ratings worksheet'!$A$2:$C$159,2,FALSE())</f>
        <v>AA+</v>
      </c>
      <c r="C10" s="65" t="str">
        <f aca="false">VLOOKUP(A10,'Ratings worksheet'!$E$2:$H$159,4,FALSE())</f>
        <v>AA</v>
      </c>
      <c r="D10" s="152" t="str">
        <f aca="false">IF(E10="NR",VLOOKUP(B10,'Sovereign Ratings (Moody''s,S&amp;P)'!$G$9:$H$34,2,FALSE()),E10)</f>
        <v>Aa1</v>
      </c>
      <c r="E10" s="153" t="str">
        <f aca="false">VLOOKUP(A10,'Ratings worksheet'!$A$2:$C$159,3,FALSE())</f>
        <v>Aa1</v>
      </c>
      <c r="G10" s="158" t="s">
        <v>373</v>
      </c>
      <c r="H10" s="80" t="s">
        <v>111</v>
      </c>
    </row>
    <row r="11" customFormat="false" ht="15.75" hidden="false" customHeight="false" outlineLevel="0" collapsed="false">
      <c r="A11" s="64" t="str">
        <f aca="false">'Ratings worksheet'!A11</f>
        <v>Azerbaijan</v>
      </c>
      <c r="B11" s="65" t="str">
        <f aca="false">VLOOKUP(A11,'Ratings worksheet'!$A$2:$C$159,2,FALSE())</f>
        <v>NR</v>
      </c>
      <c r="C11" s="65" t="str">
        <f aca="false">VLOOKUP(A11,'Ratings worksheet'!$E$2:$H$159,4,FALSE())</f>
        <v>BBB-</v>
      </c>
      <c r="D11" s="152" t="str">
        <f aca="false">IF(E11="NR",VLOOKUP(B11,'Sovereign Ratings (Moody''s,S&amp;P)'!$G$9:$H$34,2,FALSE()),E11)</f>
        <v>Baa3</v>
      </c>
      <c r="E11" s="153" t="str">
        <f aca="false">VLOOKUP(A11,'Ratings worksheet'!$A$2:$C$159,3,FALSE())</f>
        <v>Baa3</v>
      </c>
      <c r="G11" s="158" t="s">
        <v>374</v>
      </c>
      <c r="H11" s="80" t="s">
        <v>109</v>
      </c>
    </row>
    <row r="12" customFormat="false" ht="15.75" hidden="false" customHeight="false" outlineLevel="0" collapsed="false">
      <c r="A12" s="64" t="str">
        <f aca="false">'Ratings worksheet'!A12</f>
        <v>Bahamas</v>
      </c>
      <c r="B12" s="65" t="str">
        <f aca="false">VLOOKUP(A12,'Ratings worksheet'!$A$2:$C$159,2,FALSE())</f>
        <v>BB-</v>
      </c>
      <c r="C12" s="65" t="str">
        <f aca="false">VLOOKUP(A12,'Ratings worksheet'!$E$2:$H$159,4,FALSE())</f>
        <v>BB-</v>
      </c>
      <c r="D12" s="152" t="str">
        <f aca="false">IF(E12="NR",VLOOKUP(B12,'Sovereign Ratings (Moody''s,S&amp;P)'!$G$9:$H$34,2,FALSE()),E12)</f>
        <v>B1</v>
      </c>
      <c r="E12" s="153" t="str">
        <f aca="false">VLOOKUP(A12,'Ratings worksheet'!$A$2:$C$159,3,FALSE())</f>
        <v>B1</v>
      </c>
      <c r="G12" s="158" t="s">
        <v>375</v>
      </c>
      <c r="H12" s="80" t="s">
        <v>113</v>
      </c>
    </row>
    <row r="13" customFormat="false" ht="15.75" hidden="false" customHeight="false" outlineLevel="0" collapsed="false">
      <c r="A13" s="64" t="str">
        <f aca="false">'Ratings worksheet'!A13</f>
        <v>Bahrain</v>
      </c>
      <c r="B13" s="65" t="str">
        <f aca="false">VLOOKUP(A13,'Ratings worksheet'!$A$2:$C$159,2,FALSE())</f>
        <v>B</v>
      </c>
      <c r="C13" s="65" t="str">
        <f aca="false">VLOOKUP(A13,'Ratings worksheet'!$E$2:$H$159,4,FALSE())</f>
        <v>B+</v>
      </c>
      <c r="D13" s="152" t="str">
        <f aca="false">IF(E13="NR",VLOOKUP(B13,'Sovereign Ratings (Moody''s,S&amp;P)'!$G$9:$H$34,2,FALSE()),E13)</f>
        <v>B2</v>
      </c>
      <c r="E13" s="153" t="str">
        <f aca="false">VLOOKUP(A13,'Ratings worksheet'!$A$2:$C$159,3,FALSE())</f>
        <v>B2</v>
      </c>
      <c r="G13" s="158" t="s">
        <v>376</v>
      </c>
      <c r="H13" s="80" t="s">
        <v>114</v>
      </c>
    </row>
    <row r="14" customFormat="false" ht="15.75" hidden="false" customHeight="false" outlineLevel="0" collapsed="false">
      <c r="A14" s="64" t="str">
        <f aca="false">'Ratings worksheet'!A14</f>
        <v>Bangladesh</v>
      </c>
      <c r="B14" s="65" t="str">
        <f aca="false">VLOOKUP(A14,'Ratings worksheet'!$A$2:$C$159,2,FALSE())</f>
        <v>B+</v>
      </c>
      <c r="C14" s="65" t="str">
        <f aca="false">VLOOKUP(A14,'Ratings worksheet'!$E$2:$H$159,4,FALSE())</f>
        <v>B+</v>
      </c>
      <c r="D14" s="152" t="str">
        <f aca="false">IF(E14="NR",VLOOKUP(B14,'Sovereign Ratings (Moody''s,S&amp;P)'!$G$9:$H$34,2,FALSE()),E14)</f>
        <v>B2</v>
      </c>
      <c r="E14" s="153" t="str">
        <f aca="false">VLOOKUP(A14,'Ratings worksheet'!$A$2:$C$159,3,FALSE())</f>
        <v>B2</v>
      </c>
      <c r="G14" s="158" t="s">
        <v>377</v>
      </c>
      <c r="H14" s="80" t="s">
        <v>112</v>
      </c>
    </row>
    <row r="15" customFormat="false" ht="15.75" hidden="false" customHeight="false" outlineLevel="0" collapsed="false">
      <c r="A15" s="64" t="str">
        <f aca="false">'Ratings worksheet'!A15</f>
        <v>Barbados</v>
      </c>
      <c r="B15" s="65" t="str">
        <f aca="false">VLOOKUP(A15,'Ratings worksheet'!$A$2:$C$159,2,FALSE())</f>
        <v>B+</v>
      </c>
      <c r="C15" s="65" t="str">
        <f aca="false">VLOOKUP(A15,'Ratings worksheet'!$E$2:$H$159,4,FALSE())</f>
        <v>B+</v>
      </c>
      <c r="D15" s="152" t="str">
        <f aca="false">IF(E15="NR",VLOOKUP(B15,'Sovereign Ratings (Moody''s,S&amp;P)'!$G$9:$H$34,2,FALSE()),E15)</f>
        <v>B2</v>
      </c>
      <c r="E15" s="153" t="str">
        <f aca="false">VLOOKUP(A15,'Ratings worksheet'!$A$2:$C$159,3,FALSE())</f>
        <v>B2</v>
      </c>
      <c r="G15" s="158" t="s">
        <v>378</v>
      </c>
      <c r="H15" s="80" t="s">
        <v>115</v>
      </c>
    </row>
    <row r="16" customFormat="false" ht="15.75" hidden="false" customHeight="false" outlineLevel="0" collapsed="false">
      <c r="A16" s="64" t="str">
        <f aca="false">'Ratings worksheet'!A16</f>
        <v>Belarus</v>
      </c>
      <c r="B16" s="65" t="str">
        <f aca="false">VLOOKUP(A16,'Ratings worksheet'!$A$2:$C$159,2,FALSE())</f>
        <v>NR</v>
      </c>
      <c r="C16" s="65" t="str">
        <f aca="false">VLOOKUP(A16,'Ratings worksheet'!$E$2:$H$159,4,FALSE())</f>
        <v>CCC</v>
      </c>
      <c r="D16" s="152" t="str">
        <f aca="false">IF(E16="NR",VLOOKUP(B16,'Sovereign Ratings (Moody''s,S&amp;P)'!$G$9:$H$34,2,FALSE()),E16)</f>
        <v>C</v>
      </c>
      <c r="E16" s="153" t="str">
        <f aca="false">VLOOKUP(A16,'Ratings worksheet'!$A$2:$C$159,3,FALSE())</f>
        <v>C</v>
      </c>
      <c r="G16" s="158" t="s">
        <v>379</v>
      </c>
      <c r="H16" s="80" t="s">
        <v>117</v>
      </c>
    </row>
    <row r="17" customFormat="false" ht="15.75" hidden="false" customHeight="false" outlineLevel="0" collapsed="false">
      <c r="A17" s="64" t="str">
        <f aca="false">'Ratings worksheet'!A17</f>
        <v>Belgium</v>
      </c>
      <c r="B17" s="65" t="str">
        <f aca="false">VLOOKUP(A17,'Ratings worksheet'!$A$2:$C$159,2,FALSE())</f>
        <v>AA</v>
      </c>
      <c r="C17" s="65" t="str">
        <f aca="false">VLOOKUP(A17,'Ratings worksheet'!$E$2:$H$159,4,FALSE())</f>
        <v>A+</v>
      </c>
      <c r="D17" s="152" t="str">
        <f aca="false">IF(E17="NR",VLOOKUP(B17,'Sovereign Ratings (Moody''s,S&amp;P)'!$G$9:$H$34,2,FALSE()),E17)</f>
        <v>Aa3</v>
      </c>
      <c r="E17" s="153" t="str">
        <f aca="false">VLOOKUP(A17,'Ratings worksheet'!$A$2:$C$159,3,FALSE())</f>
        <v>Aa3</v>
      </c>
      <c r="G17" s="158" t="s">
        <v>380</v>
      </c>
      <c r="H17" s="80" t="s">
        <v>118</v>
      </c>
    </row>
    <row r="18" customFormat="false" ht="15.75" hidden="false" customHeight="false" outlineLevel="0" collapsed="false">
      <c r="A18" s="64" t="str">
        <f aca="false">'Ratings worksheet'!A18</f>
        <v>Belize</v>
      </c>
      <c r="B18" s="65" t="str">
        <f aca="false">VLOOKUP(A18,'Ratings worksheet'!$A$2:$C$159,2,FALSE())</f>
        <v>B-</v>
      </c>
      <c r="C18" s="65" t="str">
        <f aca="false">VLOOKUP(A18,'Ratings worksheet'!$E$2:$H$159,4,FALSE())</f>
        <v>NR</v>
      </c>
      <c r="D18" s="152" t="str">
        <f aca="false">IF(E18="NR",VLOOKUP(B18,'Sovereign Ratings (Moody''s,S&amp;P)'!$G$9:$H$34,2,FALSE()),E18)</f>
        <v>Caa1</v>
      </c>
      <c r="E18" s="153" t="str">
        <f aca="false">VLOOKUP(A18,'Ratings worksheet'!$A$2:$C$159,3,FALSE())</f>
        <v>Caa1</v>
      </c>
      <c r="G18" s="158" t="s">
        <v>381</v>
      </c>
      <c r="H18" s="80" t="s">
        <v>116</v>
      </c>
    </row>
    <row r="19" customFormat="false" ht="15.75" hidden="false" customHeight="false" outlineLevel="0" collapsed="false">
      <c r="A19" s="64" t="str">
        <f aca="false">'Ratings worksheet'!A19</f>
        <v>Benin</v>
      </c>
      <c r="B19" s="65" t="str">
        <f aca="false">VLOOKUP(A19,'Ratings worksheet'!$A$2:$C$159,2,FALSE())</f>
        <v>BB-</v>
      </c>
      <c r="C19" s="65" t="str">
        <f aca="false">VLOOKUP(A19,'Ratings worksheet'!$E$2:$H$159,4,FALSE())</f>
        <v>B+</v>
      </c>
      <c r="D19" s="152" t="str">
        <f aca="false">IF(E19="NR",VLOOKUP(B19,'Sovereign Ratings (Moody''s,S&amp;P)'!$G$9:$H$34,2,FALSE()),E19)</f>
        <v>B1</v>
      </c>
      <c r="E19" s="153" t="str">
        <f aca="false">VLOOKUP(A19,'Ratings worksheet'!$A$2:$C$159,3,FALSE())</f>
        <v>B1</v>
      </c>
      <c r="G19" s="158" t="s">
        <v>382</v>
      </c>
      <c r="H19" s="80" t="s">
        <v>120</v>
      </c>
    </row>
    <row r="20" customFormat="false" ht="15.75" hidden="false" customHeight="false" outlineLevel="0" collapsed="false">
      <c r="A20" s="64" t="str">
        <f aca="false">'Ratings worksheet'!A20</f>
        <v>Bermuda</v>
      </c>
      <c r="B20" s="65" t="str">
        <f aca="false">VLOOKUP(A20,'Ratings worksheet'!$A$2:$C$159,2,FALSE())</f>
        <v>A+</v>
      </c>
      <c r="C20" s="65" t="str">
        <f aca="false">VLOOKUP(A20,'Ratings worksheet'!$E$2:$H$159,4,FALSE())</f>
        <v>NR</v>
      </c>
      <c r="D20" s="152" t="str">
        <f aca="false">IF(E20="NR",VLOOKUP(B20,'Sovereign Ratings (Moody''s,S&amp;P)'!$G$9:$H$34,2,FALSE()),E20)</f>
        <v>A2</v>
      </c>
      <c r="E20" s="153" t="str">
        <f aca="false">VLOOKUP(A20,'Ratings worksheet'!$A$2:$C$159,3,FALSE())</f>
        <v>A2</v>
      </c>
      <c r="G20" s="158" t="s">
        <v>383</v>
      </c>
      <c r="H20" s="80" t="s">
        <v>121</v>
      </c>
    </row>
    <row r="21" customFormat="false" ht="15.75" hidden="false" customHeight="false" outlineLevel="0" collapsed="false">
      <c r="A21" s="64" t="str">
        <f aca="false">'Ratings worksheet'!A21</f>
        <v>Bolivia</v>
      </c>
      <c r="B21" s="65" t="str">
        <f aca="false">VLOOKUP(A21,'Ratings worksheet'!$A$2:$C$159,2,FALSE())</f>
        <v>CCC-</v>
      </c>
      <c r="C21" s="65" t="str">
        <f aca="false">VLOOKUP(A21,'Ratings worksheet'!$E$2:$H$159,4,FALSE())</f>
        <v>CCC</v>
      </c>
      <c r="D21" s="152" t="str">
        <f aca="false">IF(E21="NR",VLOOKUP(B21,'Sovereign Ratings (Moody''s,S&amp;P)'!$G$9:$H$34,2,FALSE()),E21)</f>
        <v>Ca</v>
      </c>
      <c r="E21" s="153" t="str">
        <f aca="false">VLOOKUP(A21,'Ratings worksheet'!$A$2:$C$159,3,FALSE())</f>
        <v>Ca</v>
      </c>
      <c r="G21" s="158" t="s">
        <v>384</v>
      </c>
      <c r="H21" s="80" t="s">
        <v>119</v>
      </c>
    </row>
    <row r="22" customFormat="false" ht="15.75" hidden="false" customHeight="false" outlineLevel="0" collapsed="false">
      <c r="A22" s="64" t="str">
        <f aca="false">'Ratings worksheet'!A22</f>
        <v>Bosnia and Herzegovina</v>
      </c>
      <c r="B22" s="65" t="str">
        <f aca="false">VLOOKUP(A22,'Ratings worksheet'!$A$2:$C$159,2,FALSE())</f>
        <v>B+</v>
      </c>
      <c r="C22" s="65" t="str">
        <f aca="false">VLOOKUP(A22,'Ratings worksheet'!$E$2:$H$159,4,FALSE())</f>
        <v>NR</v>
      </c>
      <c r="D22" s="152" t="str">
        <f aca="false">IF(E22="NR",VLOOKUP(B22,'Sovereign Ratings (Moody''s,S&amp;P)'!$G$9:$H$34,2,FALSE()),E22)</f>
        <v>B3</v>
      </c>
      <c r="E22" s="153" t="str">
        <f aca="false">VLOOKUP(A22,'Ratings worksheet'!$A$2:$C$159,3,FALSE())</f>
        <v>B3</v>
      </c>
      <c r="G22" s="158" t="s">
        <v>385</v>
      </c>
      <c r="H22" s="80" t="s">
        <v>123</v>
      </c>
    </row>
    <row r="23" customFormat="false" ht="15.75" hidden="false" customHeight="false" outlineLevel="0" collapsed="false">
      <c r="A23" s="64" t="str">
        <f aca="false">'Ratings worksheet'!A23</f>
        <v>Botswana</v>
      </c>
      <c r="B23" s="65" t="str">
        <f aca="false">VLOOKUP(A23,'Ratings worksheet'!$A$2:$C$159,2,FALSE())</f>
        <v>BBB</v>
      </c>
      <c r="C23" s="65" t="str">
        <f aca="false">VLOOKUP(A23,'Ratings worksheet'!$E$2:$H$159,4,FALSE())</f>
        <v>NR</v>
      </c>
      <c r="D23" s="152" t="str">
        <f aca="false">IF(E23="NR",VLOOKUP(B23,'Sovereign Ratings (Moody''s,S&amp;P)'!$G$9:$H$34,2,FALSE()),E23)</f>
        <v>Baa1</v>
      </c>
      <c r="E23" s="153" t="str">
        <f aca="false">VLOOKUP(A23,'Ratings worksheet'!$A$2:$C$159,3,FALSE())</f>
        <v>Baa1</v>
      </c>
      <c r="G23" s="158" t="s">
        <v>386</v>
      </c>
      <c r="H23" s="80" t="s">
        <v>124</v>
      </c>
    </row>
    <row r="24" customFormat="false" ht="15.75" hidden="false" customHeight="false" outlineLevel="0" collapsed="false">
      <c r="A24" s="64" t="str">
        <f aca="false">'Ratings worksheet'!A24</f>
        <v>Brazil</v>
      </c>
      <c r="B24" s="65" t="str">
        <f aca="false">VLOOKUP(A24,'Ratings worksheet'!$A$2:$C$159,2,FALSE())</f>
        <v>BB</v>
      </c>
      <c r="C24" s="65" t="str">
        <f aca="false">VLOOKUP(A24,'Ratings worksheet'!$E$2:$H$159,4,FALSE())</f>
        <v>BB</v>
      </c>
      <c r="D24" s="152" t="str">
        <f aca="false">IF(E24="NR",VLOOKUP(B24,'Sovereign Ratings (Moody''s,S&amp;P)'!$G$9:$H$34,2,FALSE()),E24)</f>
        <v>Ba1</v>
      </c>
      <c r="E24" s="153" t="str">
        <f aca="false">VLOOKUP(A24,'Ratings worksheet'!$A$2:$C$159,3,FALSE())</f>
        <v>Ba1</v>
      </c>
      <c r="G24" s="158" t="s">
        <v>387</v>
      </c>
      <c r="H24" s="80" t="s">
        <v>122</v>
      </c>
    </row>
    <row r="25" customFormat="false" ht="15.75" hidden="false" customHeight="false" outlineLevel="0" collapsed="false">
      <c r="A25" s="64" t="str">
        <f aca="false">'Ratings worksheet'!A25</f>
        <v>Bulgaria</v>
      </c>
      <c r="B25" s="65" t="str">
        <f aca="false">VLOOKUP(A25,'Ratings worksheet'!$A$2:$C$159,2,FALSE())</f>
        <v>BBB+</v>
      </c>
      <c r="C25" s="65" t="str">
        <f aca="false">VLOOKUP(A25,'Ratings worksheet'!$E$2:$H$159,4,FALSE())</f>
        <v>BBB+</v>
      </c>
      <c r="D25" s="152" t="str">
        <f aca="false">IF(E25="NR",VLOOKUP(B25,'Sovereign Ratings (Moody''s,S&amp;P)'!$G$9:$H$34,2,FALSE()),E25)</f>
        <v>Baa1</v>
      </c>
      <c r="E25" s="153" t="str">
        <f aca="false">VLOOKUP(A25,'Ratings worksheet'!$A$2:$C$159,3,FALSE())</f>
        <v>Baa1</v>
      </c>
      <c r="G25" s="158" t="s">
        <v>125</v>
      </c>
      <c r="H25" s="80" t="s">
        <v>388</v>
      </c>
    </row>
    <row r="26" customFormat="false" ht="15.75" hidden="false" customHeight="false" outlineLevel="0" collapsed="false">
      <c r="A26" s="64" t="str">
        <f aca="false">'Ratings worksheet'!A26</f>
        <v>Burkina Faso</v>
      </c>
      <c r="B26" s="65" t="str">
        <f aca="false">VLOOKUP(A26,'Ratings worksheet'!$A$2:$C$159,2,FALSE())</f>
        <v>CCC+</v>
      </c>
      <c r="C26" s="65" t="str">
        <f aca="false">VLOOKUP(A26,'Ratings worksheet'!$E$2:$H$159,4,FALSE())</f>
        <v>NR</v>
      </c>
      <c r="D26" s="152" t="str">
        <f aca="false">IF(E26="NR",VLOOKUP(B26,'Sovereign Ratings (Moody''s,S&amp;P)'!$G$9:$H$34,2,FALSE()),E26)</f>
        <v>Caa1</v>
      </c>
      <c r="E26" s="153" t="str">
        <f aca="false">VLOOKUP(A26,'Ratings worksheet'!$A$2:$C$159,3,FALSE())</f>
        <v>NR</v>
      </c>
      <c r="G26" s="158" t="s">
        <v>389</v>
      </c>
      <c r="H26" s="80" t="s">
        <v>390</v>
      </c>
    </row>
    <row r="27" customFormat="false" ht="15.75" hidden="false" customHeight="false" outlineLevel="0" collapsed="false">
      <c r="A27" s="64" t="str">
        <f aca="false">'Ratings worksheet'!A27</f>
        <v>Cambodia</v>
      </c>
      <c r="B27" s="65" t="str">
        <f aca="false">VLOOKUP(A27,'Ratings worksheet'!$A$2:$C$159,2,FALSE())</f>
        <v>N/A</v>
      </c>
      <c r="C27" s="65" t="str">
        <f aca="false">VLOOKUP(A27,'Ratings worksheet'!$E$2:$H$159,4,FALSE())</f>
        <v>NR</v>
      </c>
      <c r="D27" s="152" t="str">
        <f aca="false">IF(E27="NR",VLOOKUP(B27,'Sovereign Ratings (Moody''s,S&amp;P)'!$G$9:$H$34,2,FALSE()),E27)</f>
        <v>B2</v>
      </c>
      <c r="E27" s="153" t="str">
        <f aca="false">VLOOKUP(A27,'Ratings worksheet'!$A$2:$C$159,3,FALSE())</f>
        <v>B2</v>
      </c>
      <c r="G27" s="158" t="s">
        <v>391</v>
      </c>
      <c r="H27" s="80" t="s">
        <v>392</v>
      </c>
    </row>
    <row r="28" customFormat="false" ht="15.75" hidden="false" customHeight="false" outlineLevel="0" collapsed="false">
      <c r="A28" s="64" t="str">
        <f aca="false">'Ratings worksheet'!A28</f>
        <v>Cameroon</v>
      </c>
      <c r="B28" s="65" t="str">
        <f aca="false">VLOOKUP(A28,'Ratings worksheet'!$A$2:$C$159,2,FALSE())</f>
        <v>B-</v>
      </c>
      <c r="C28" s="65" t="str">
        <f aca="false">VLOOKUP(A28,'Ratings worksheet'!$E$2:$H$159,4,FALSE())</f>
        <v>B</v>
      </c>
      <c r="D28" s="152" t="str">
        <f aca="false">IF(E28="NR",VLOOKUP(B28,'Sovereign Ratings (Moody''s,S&amp;P)'!$G$9:$H$34,2,FALSE()),E28)</f>
        <v>Caa1</v>
      </c>
      <c r="E28" s="153" t="str">
        <f aca="false">VLOOKUP(A28,'Ratings worksheet'!$A$2:$C$159,3,FALSE())</f>
        <v>Caa1</v>
      </c>
      <c r="G28" s="158" t="s">
        <v>393</v>
      </c>
      <c r="H28" s="80" t="s">
        <v>394</v>
      </c>
    </row>
    <row r="29" s="159" customFormat="true" ht="15.75" hidden="false" customHeight="false" outlineLevel="0" collapsed="false">
      <c r="A29" s="64" t="str">
        <f aca="false">'Ratings worksheet'!A29</f>
        <v>Canada</v>
      </c>
      <c r="B29" s="65" t="str">
        <f aca="false">VLOOKUP(A29,'Ratings worksheet'!$A$2:$C$159,2,FALSE())</f>
        <v>AAA</v>
      </c>
      <c r="C29" s="65" t="str">
        <f aca="false">VLOOKUP(A29,'Ratings worksheet'!$E$2:$H$159,4,FALSE())</f>
        <v>AA+</v>
      </c>
      <c r="D29" s="152" t="str">
        <f aca="false">IF(E29="NR",VLOOKUP(B29,'Sovereign Ratings (Moody''s,S&amp;P)'!$G$9:$H$34,2,FALSE()),E29)</f>
        <v>Aaa</v>
      </c>
      <c r="E29" s="153" t="str">
        <f aca="false">VLOOKUP(A29,'Ratings worksheet'!$A$2:$C$159,3,FALSE())</f>
        <v>Aaa</v>
      </c>
      <c r="G29" s="158" t="s">
        <v>395</v>
      </c>
      <c r="H29" s="80" t="s">
        <v>396</v>
      </c>
    </row>
    <row r="30" customFormat="false" ht="15.75" hidden="false" customHeight="false" outlineLevel="0" collapsed="false">
      <c r="A30" s="64" t="str">
        <f aca="false">'Ratings worksheet'!A30</f>
        <v>Cape Verde</v>
      </c>
      <c r="B30" s="65" t="str">
        <f aca="false">VLOOKUP(A30,'Ratings worksheet'!$A$2:$C$159,2,FALSE())</f>
        <v>B</v>
      </c>
      <c r="C30" s="65" t="str">
        <f aca="false">VLOOKUP(A30,'Ratings worksheet'!$E$2:$H$159,4,FALSE())</f>
        <v>B</v>
      </c>
      <c r="D30" s="152" t="str">
        <f aca="false">IF(E30="NR",VLOOKUP(B30,'Sovereign Ratings (Moody''s,S&amp;P)'!$G$9:$H$34,2,FALSE()),E30)</f>
        <v>B2</v>
      </c>
      <c r="E30" s="153" t="str">
        <f aca="false">VLOOKUP(A30,'Ratings worksheet'!$A$2:$C$159,3,FALSE())</f>
        <v>NR</v>
      </c>
      <c r="G30" s="158" t="s">
        <v>397</v>
      </c>
      <c r="H30" s="80" t="s">
        <v>398</v>
      </c>
    </row>
    <row r="31" customFormat="false" ht="15.75" hidden="false" customHeight="false" outlineLevel="0" collapsed="false">
      <c r="A31" s="64" t="str">
        <f aca="false">'Ratings worksheet'!A31</f>
        <v>Cayman Islands</v>
      </c>
      <c r="B31" s="65" t="n">
        <f aca="false">VLOOKUP(A31,'Ratings worksheet'!$A$2:$C$159,2,FALSE())</f>
        <v>0</v>
      </c>
      <c r="C31" s="65" t="e">
        <f aca="false">VLOOKUP(A31,'Ratings worksheet'!$E$2:$H$159,4,FALSE())</f>
        <v>#N/A</v>
      </c>
      <c r="D31" s="152" t="str">
        <f aca="false">IF(E31="NR",VLOOKUP(B31,'Sovereign Ratings (Moody''s,S&amp;P)'!$G$9:$H$34,2,FALSE()),E31)</f>
        <v>Aa3</v>
      </c>
      <c r="E31" s="153" t="str">
        <f aca="false">VLOOKUP(A31,'Ratings worksheet'!$A$2:$C$159,3,FALSE())</f>
        <v>Aa3</v>
      </c>
      <c r="G31" s="158" t="s">
        <v>399</v>
      </c>
      <c r="H31" s="80" t="s">
        <v>134</v>
      </c>
    </row>
    <row r="32" customFormat="false" ht="15.75" hidden="false" customHeight="false" outlineLevel="0" collapsed="false">
      <c r="A32" s="64" t="str">
        <f aca="false">'Ratings worksheet'!A32</f>
        <v>Chile</v>
      </c>
      <c r="B32" s="65" t="str">
        <f aca="false">VLOOKUP(A32,'Ratings worksheet'!$A$2:$C$159,2,FALSE())</f>
        <v>A</v>
      </c>
      <c r="C32" s="65" t="str">
        <f aca="false">VLOOKUP(A32,'Ratings worksheet'!$E$2:$H$159,4,FALSE())</f>
        <v>A-</v>
      </c>
      <c r="D32" s="152" t="str">
        <f aca="false">IF(E32="NR",VLOOKUP(B32,'Sovereign Ratings (Moody''s,S&amp;P)'!$G$9:$H$34,2,FALSE()),E32)</f>
        <v>A2</v>
      </c>
      <c r="E32" s="153" t="str">
        <f aca="false">VLOOKUP(A32,'Ratings worksheet'!$A$2:$C$159,3,FALSE())</f>
        <v>A2</v>
      </c>
      <c r="G32" s="158" t="s">
        <v>400</v>
      </c>
      <c r="H32" s="80" t="s">
        <v>135</v>
      </c>
    </row>
    <row r="33" customFormat="false" ht="15.75" hidden="false" customHeight="false" outlineLevel="0" collapsed="false">
      <c r="A33" s="64" t="str">
        <f aca="false">'Ratings worksheet'!A33</f>
        <v>China</v>
      </c>
      <c r="B33" s="65" t="str">
        <f aca="false">VLOOKUP(A33,'Ratings worksheet'!$A$2:$C$159,2,FALSE())</f>
        <v>A+</v>
      </c>
      <c r="C33" s="65" t="str">
        <f aca="false">VLOOKUP(A33,'Ratings worksheet'!$E$2:$H$159,4,FALSE())</f>
        <v>A</v>
      </c>
      <c r="D33" s="152" t="str">
        <f aca="false">IF(E33="NR",VLOOKUP(B33,'Sovereign Ratings (Moody''s,S&amp;P)'!$G$9:$H$34,2,FALSE()),E33)</f>
        <v>A1</v>
      </c>
      <c r="E33" s="153" t="str">
        <f aca="false">VLOOKUP(A33,'Ratings worksheet'!$A$2:$C$159,3,FALSE())</f>
        <v>A1</v>
      </c>
      <c r="G33" s="158" t="s">
        <v>401</v>
      </c>
      <c r="H33" s="80" t="s">
        <v>133</v>
      </c>
    </row>
    <row r="34" customFormat="false" ht="15.75" hidden="false" customHeight="false" outlineLevel="0" collapsed="false">
      <c r="A34" s="64" t="str">
        <f aca="false">'Ratings worksheet'!A34</f>
        <v>Colombia</v>
      </c>
      <c r="B34" s="65" t="str">
        <f aca="false">VLOOKUP(A34,'Ratings worksheet'!$A$2:$C$159,2,FALSE())</f>
        <v>BB</v>
      </c>
      <c r="C34" s="65" t="str">
        <f aca="false">VLOOKUP(A34,'Ratings worksheet'!$E$2:$H$159,4,FALSE())</f>
        <v>BB</v>
      </c>
      <c r="D34" s="152" t="str">
        <f aca="false">IF(E34="NR",VLOOKUP(B34,'Sovereign Ratings (Moody''s,S&amp;P)'!$G$9:$H$34,2,FALSE()),E34)</f>
        <v>Baa3</v>
      </c>
      <c r="E34" s="153" t="str">
        <f aca="false">VLOOKUP(A34,'Ratings worksheet'!$A$2:$C$159,3,FALSE())</f>
        <v>Baa3</v>
      </c>
      <c r="G34" s="160" t="s">
        <v>127</v>
      </c>
      <c r="H34" s="161" t="s">
        <v>136</v>
      </c>
    </row>
    <row r="35" customFormat="false" ht="15.75" hidden="false" customHeight="false" outlineLevel="0" collapsed="false">
      <c r="A35" s="64" t="str">
        <f aca="false">'Ratings worksheet'!A35</f>
        <v>Congo (Democratic Republic of)</v>
      </c>
      <c r="B35" s="65" t="e">
        <f aca="false">VLOOKUP(A35,'Ratings worksheet'!$A$2:$C$159,2,FALSE())</f>
        <v>#N/A</v>
      </c>
      <c r="C35" s="65" t="e">
        <f aca="false">VLOOKUP(A35,'Ratings worksheet'!$E$2:$H$159,4,FALSE())</f>
        <v>#N/A</v>
      </c>
      <c r="D35" s="152" t="str">
        <f aca="false">IF(E35="NR",VLOOKUP(B35,'Sovereign Ratings (Moody''s,S&amp;P)'!$G$9:$H$34,2,FALSE()),E35)</f>
        <v>B3</v>
      </c>
      <c r="E35" s="153" t="str">
        <f aca="false">VLOOKUP(A35,'Ratings worksheet'!$A$2:$C$159,3,FALSE())</f>
        <v>B3</v>
      </c>
    </row>
    <row r="36" customFormat="false" ht="15.75" hidden="false" customHeight="false" outlineLevel="0" collapsed="false">
      <c r="A36" s="64" t="str">
        <f aca="false">'Ratings worksheet'!A36</f>
        <v>Congo (Republic of)</v>
      </c>
      <c r="B36" s="65" t="str">
        <f aca="false">VLOOKUP(A36,'Ratings worksheet'!$A$2:$C$159,2,FALSE())</f>
        <v>CCC+</v>
      </c>
      <c r="C36" s="65" t="e">
        <f aca="false">VLOOKUP(A36,'Ratings worksheet'!$E$2:$H$159,4,FALSE())</f>
        <v>#N/A</v>
      </c>
      <c r="D36" s="152" t="str">
        <f aca="false">IF(E36="NR",VLOOKUP(B36,'Sovereign Ratings (Moody''s,S&amp;P)'!$G$9:$H$34,2,FALSE()),E36)</f>
        <v>Caa2</v>
      </c>
      <c r="E36" s="153" t="str">
        <f aca="false">VLOOKUP(A36,'Ratings worksheet'!$A$2:$C$159,3,FALSE())</f>
        <v>Caa2</v>
      </c>
    </row>
    <row r="37" customFormat="false" ht="15.75" hidden="false" customHeight="false" outlineLevel="0" collapsed="false">
      <c r="A37" s="64" t="str">
        <f aca="false">'Ratings worksheet'!A37</f>
        <v>Cook Islands</v>
      </c>
      <c r="B37" s="65" t="e">
        <f aca="false">VLOOKUP(A37,'Ratings worksheet'!$A$2:$C$159,2,FALSE())</f>
        <v>#N/A</v>
      </c>
      <c r="C37" s="65" t="e">
        <f aca="false">VLOOKUP(A37,'Ratings worksheet'!$E$2:$H$159,4,FALSE())</f>
        <v>#N/A</v>
      </c>
      <c r="D37" s="152" t="str">
        <f aca="false">IF(E37="NR",VLOOKUP(B37,'Sovereign Ratings (Moody''s,S&amp;P)'!$G$9:$H$34,2,FALSE()),E37)</f>
        <v>B1</v>
      </c>
      <c r="E37" s="153" t="str">
        <f aca="false">VLOOKUP(A37,'Ratings worksheet'!$A$2:$C$159,3,FALSE())</f>
        <v>B1</v>
      </c>
    </row>
    <row r="38" customFormat="false" ht="15.75" hidden="false" customHeight="false" outlineLevel="0" collapsed="false">
      <c r="A38" s="64" t="str">
        <f aca="false">'Ratings worksheet'!A38</f>
        <v>Costa Rica</v>
      </c>
      <c r="B38" s="65" t="str">
        <f aca="false">VLOOKUP(A38,'Ratings worksheet'!$A$2:$C$159,2,FALSE())</f>
        <v>BB</v>
      </c>
      <c r="C38" s="65" t="str">
        <f aca="false">VLOOKUP(A38,'Ratings worksheet'!$E$2:$H$159,4,FALSE())</f>
        <v>BB</v>
      </c>
      <c r="D38" s="152" t="str">
        <f aca="false">IF(E38="NR",VLOOKUP(B38,'Sovereign Ratings (Moody''s,S&amp;P)'!$G$9:$H$34,2,FALSE()),E38)</f>
        <v>Ba2</v>
      </c>
      <c r="E38" s="153" t="str">
        <f aca="false">VLOOKUP(A38,'Ratings worksheet'!$A$2:$C$159,3,FALSE())</f>
        <v>Ba2</v>
      </c>
    </row>
    <row r="39" customFormat="false" ht="15.75" hidden="false" customHeight="false" outlineLevel="0" collapsed="false">
      <c r="A39" s="64" t="str">
        <f aca="false">'Ratings worksheet'!A39</f>
        <v>Côte d'Ivoire</v>
      </c>
      <c r="B39" s="65" t="e">
        <f aca="false">VLOOKUP(A39,'Ratings worksheet'!$A$2:$C$159,2,FALSE())</f>
        <v>#N/A</v>
      </c>
      <c r="C39" s="65" t="e">
        <f aca="false">VLOOKUP(A39,'Ratings worksheet'!$E$2:$H$159,4,FALSE())</f>
        <v>#N/A</v>
      </c>
      <c r="D39" s="152" t="str">
        <f aca="false">IF(E39="NR",VLOOKUP(B39,'Sovereign Ratings (Moody''s,S&amp;P)'!$G$9:$H$34,2,FALSE()),E39)</f>
        <v>Ba2</v>
      </c>
      <c r="E39" s="153" t="str">
        <f aca="false">VLOOKUP(A39,'Ratings worksheet'!$A$2:$C$159,3,FALSE())</f>
        <v>Ba2</v>
      </c>
    </row>
    <row r="40" customFormat="false" ht="15.75" hidden="false" customHeight="false" outlineLevel="0" collapsed="false">
      <c r="A40" s="64" t="str">
        <f aca="false">'Ratings worksheet'!A40</f>
        <v>Croatia</v>
      </c>
      <c r="B40" s="65" t="str">
        <f aca="false">VLOOKUP(A40,'Ratings worksheet'!$A$2:$C$159,2,FALSE())</f>
        <v>A-</v>
      </c>
      <c r="C40" s="65" t="str">
        <f aca="false">VLOOKUP(A40,'Ratings worksheet'!$E$2:$H$159,4,FALSE())</f>
        <v>A-</v>
      </c>
      <c r="D40" s="152" t="str">
        <f aca="false">IF(E40="NR",VLOOKUP(B40,'Sovereign Ratings (Moody''s,S&amp;P)'!$G$9:$H$34,2,FALSE()),E40)</f>
        <v>A3</v>
      </c>
      <c r="E40" s="153" t="str">
        <f aca="false">VLOOKUP(A40,'Ratings worksheet'!$A$2:$C$159,3,FALSE())</f>
        <v>A3</v>
      </c>
    </row>
    <row r="41" customFormat="false" ht="15.75" hidden="false" customHeight="false" outlineLevel="0" collapsed="false">
      <c r="A41" s="64" t="str">
        <f aca="false">'Ratings worksheet'!A41</f>
        <v>Cuba</v>
      </c>
      <c r="B41" s="65" t="e">
        <f aca="false">VLOOKUP(A41,'Ratings worksheet'!$A$2:$C$159,2,FALSE())</f>
        <v>#N/A</v>
      </c>
      <c r="C41" s="65" t="str">
        <f aca="false">VLOOKUP(A41,'Ratings worksheet'!$E$2:$H$159,4,FALSE())</f>
        <v>NR</v>
      </c>
      <c r="D41" s="152" t="str">
        <f aca="false">IF(E41="NR",VLOOKUP(B41,'Sovereign Ratings (Moody''s,S&amp;P)'!$G$9:$H$34,2,FALSE()),E41)</f>
        <v>Ca</v>
      </c>
      <c r="E41" s="153" t="str">
        <f aca="false">VLOOKUP(A41,'Ratings worksheet'!$A$2:$C$159,3,FALSE())</f>
        <v>Ca</v>
      </c>
    </row>
    <row r="42" customFormat="false" ht="15.75" hidden="false" customHeight="false" outlineLevel="0" collapsed="false">
      <c r="A42" s="64" t="str">
        <f aca="false">'Ratings worksheet'!A42</f>
        <v>Curacao</v>
      </c>
      <c r="B42" s="65" t="str">
        <f aca="false">VLOOKUP(A42,'Ratings worksheet'!$A$2:$C$159,2,FALSE())</f>
        <v>BBB-</v>
      </c>
      <c r="C42" s="65" t="e">
        <f aca="false">VLOOKUP(A42,'Ratings worksheet'!$E$2:$H$159,4,FALSE())</f>
        <v>#N/A</v>
      </c>
      <c r="D42" s="152" t="str">
        <f aca="false">IF(E42="NR",VLOOKUP(B42,'Sovereign Ratings (Moody''s,S&amp;P)'!$G$9:$H$34,2,FALSE()),E42)</f>
        <v>Baa3</v>
      </c>
      <c r="E42" s="153" t="str">
        <f aca="false">VLOOKUP(A42,'Ratings worksheet'!$A$2:$C$159,3,FALSE())</f>
        <v>NR</v>
      </c>
    </row>
    <row r="43" customFormat="false" ht="15.75" hidden="false" customHeight="false" outlineLevel="0" collapsed="false">
      <c r="A43" s="64" t="str">
        <f aca="false">'Ratings worksheet'!A43</f>
        <v>Cyprus</v>
      </c>
      <c r="B43" s="65" t="str">
        <f aca="false">VLOOKUP(A43,'Ratings worksheet'!$A$2:$C$159,2,FALSE())</f>
        <v>A-</v>
      </c>
      <c r="C43" s="65" t="str">
        <f aca="false">VLOOKUP(A43,'Ratings worksheet'!$E$2:$H$159,4,FALSE())</f>
        <v>A-</v>
      </c>
      <c r="D43" s="152" t="str">
        <f aca="false">IF(E43="NR",VLOOKUP(B43,'Sovereign Ratings (Moody''s,S&amp;P)'!$G$9:$H$34,2,FALSE()),E43)</f>
        <v>A3</v>
      </c>
      <c r="E43" s="153" t="str">
        <f aca="false">VLOOKUP(A43,'Ratings worksheet'!$A$2:$C$159,3,FALSE())</f>
        <v>A3</v>
      </c>
    </row>
    <row r="44" customFormat="false" ht="15.75" hidden="false" customHeight="false" outlineLevel="0" collapsed="false">
      <c r="A44" s="64" t="str">
        <f aca="false">'Ratings worksheet'!A44</f>
        <v>Czech Republic</v>
      </c>
      <c r="B44" s="65" t="str">
        <f aca="false">VLOOKUP(A44,'Ratings worksheet'!$A$2:$C$159,2,FALSE())</f>
        <v>AA-</v>
      </c>
      <c r="C44" s="65" t="e">
        <f aca="false">VLOOKUP(A44,'Ratings worksheet'!$E$2:$H$159,4,FALSE())</f>
        <v>#N/A</v>
      </c>
      <c r="D44" s="152" t="str">
        <f aca="false">IF(E44="NR",VLOOKUP(B44,'Sovereign Ratings (Moody''s,S&amp;P)'!$G$9:$H$34,2,FALSE()),E44)</f>
        <v>Aa3</v>
      </c>
      <c r="E44" s="153" t="str">
        <f aca="false">VLOOKUP(A44,'Ratings worksheet'!$A$2:$C$159,3,FALSE())</f>
        <v>Aa3</v>
      </c>
    </row>
    <row r="45" customFormat="false" ht="15.75" hidden="false" customHeight="false" outlineLevel="0" collapsed="false">
      <c r="A45" s="64" t="str">
        <f aca="false">'Ratings worksheet'!A45</f>
        <v>Denmark</v>
      </c>
      <c r="B45" s="65" t="str">
        <f aca="false">VLOOKUP(A45,'Ratings worksheet'!$A$2:$C$159,2,FALSE())</f>
        <v>AAA</v>
      </c>
      <c r="C45" s="65" t="str">
        <f aca="false">VLOOKUP(A45,'Ratings worksheet'!$E$2:$H$159,4,FALSE())</f>
        <v>AAA</v>
      </c>
      <c r="D45" s="152" t="str">
        <f aca="false">IF(E45="NR",VLOOKUP(B45,'Sovereign Ratings (Moody''s,S&amp;P)'!$G$9:$H$34,2,FALSE()),E45)</f>
        <v>Aaa</v>
      </c>
      <c r="E45" s="153" t="str">
        <f aca="false">VLOOKUP(A45,'Ratings worksheet'!$A$2:$C$159,3,FALSE())</f>
        <v>Aaa</v>
      </c>
    </row>
    <row r="46" customFormat="false" ht="15.75" hidden="false" customHeight="false" outlineLevel="0" collapsed="false">
      <c r="A46" s="64" t="str">
        <f aca="false">'Ratings worksheet'!A46</f>
        <v>Dominican Republic</v>
      </c>
      <c r="B46" s="65" t="str">
        <f aca="false">VLOOKUP(A46,'Ratings worksheet'!$A$2:$C$159,2,FALSE())</f>
        <v>BB</v>
      </c>
      <c r="C46" s="65" t="str">
        <f aca="false">VLOOKUP(A46,'Ratings worksheet'!$E$2:$H$159,4,FALSE())</f>
        <v>BB-</v>
      </c>
      <c r="D46" s="152" t="str">
        <f aca="false">IF(E46="NR",VLOOKUP(B46,'Sovereign Ratings (Moody''s,S&amp;P)'!$G$9:$H$34,2,FALSE()),E46)</f>
        <v>Ba2</v>
      </c>
      <c r="E46" s="153" t="str">
        <f aca="false">VLOOKUP(A46,'Ratings worksheet'!$A$2:$C$159,3,FALSE())</f>
        <v>Ba2</v>
      </c>
    </row>
    <row r="47" customFormat="false" ht="15.75" hidden="false" customHeight="false" outlineLevel="0" collapsed="false">
      <c r="A47" s="64" t="str">
        <f aca="false">'Ratings worksheet'!A47</f>
        <v>Ecuador</v>
      </c>
      <c r="B47" s="65" t="str">
        <f aca="false">VLOOKUP(A47,'Ratings worksheet'!$A$2:$C$159,2,FALSE())</f>
        <v>B-</v>
      </c>
      <c r="C47" s="65" t="str">
        <f aca="false">VLOOKUP(A47,'Ratings worksheet'!$E$2:$H$159,4,FALSE())</f>
        <v>CCC+</v>
      </c>
      <c r="D47" s="152" t="str">
        <f aca="false">IF(E47="NR",VLOOKUP(B47,'Sovereign Ratings (Moody''s,S&amp;P)'!$G$9:$H$34,2,FALSE()),E47)</f>
        <v>Caa3</v>
      </c>
      <c r="E47" s="153" t="str">
        <f aca="false">VLOOKUP(A47,'Ratings worksheet'!$A$2:$C$159,3,FALSE())</f>
        <v>Caa3</v>
      </c>
    </row>
    <row r="48" customFormat="false" ht="15.75" hidden="false" customHeight="false" outlineLevel="0" collapsed="false">
      <c r="A48" s="64" t="str">
        <f aca="false">'Ratings worksheet'!A48</f>
        <v>Egypt</v>
      </c>
      <c r="B48" s="65" t="str">
        <f aca="false">VLOOKUP(A48,'Ratings worksheet'!$A$2:$C$159,2,FALSE())</f>
        <v>B</v>
      </c>
      <c r="C48" s="65" t="str">
        <f aca="false">VLOOKUP(A48,'Ratings worksheet'!$E$2:$H$159,4,FALSE())</f>
        <v>B</v>
      </c>
      <c r="D48" s="152" t="str">
        <f aca="false">IF(E48="NR",VLOOKUP(B48,'Sovereign Ratings (Moody''s,S&amp;P)'!$G$9:$H$34,2,FALSE()),E48)</f>
        <v>Caa1</v>
      </c>
      <c r="E48" s="153" t="str">
        <f aca="false">VLOOKUP(A48,'Ratings worksheet'!$A$2:$C$159,3,FALSE())</f>
        <v>Caa1</v>
      </c>
    </row>
    <row r="49" customFormat="false" ht="15.75" hidden="false" customHeight="false" outlineLevel="0" collapsed="false">
      <c r="A49" s="64" t="str">
        <f aca="false">'Ratings worksheet'!A49</f>
        <v>El Salvador</v>
      </c>
      <c r="B49" s="65" t="str">
        <f aca="false">VLOOKUP(A49,'Ratings worksheet'!$A$2:$C$159,2,FALSE())</f>
        <v>B-</v>
      </c>
      <c r="C49" s="65" t="str">
        <f aca="false">VLOOKUP(A49,'Ratings worksheet'!$E$2:$H$159,4,FALSE())</f>
        <v>B-</v>
      </c>
      <c r="D49" s="152" t="str">
        <f aca="false">IF(E49="NR",VLOOKUP(B49,'Sovereign Ratings (Moody''s,S&amp;P)'!$G$9:$H$34,2,FALSE()),E49)</f>
        <v>B3</v>
      </c>
      <c r="E49" s="153" t="str">
        <f aca="false">VLOOKUP(A49,'Ratings worksheet'!$A$2:$C$159,3,FALSE())</f>
        <v>NR</v>
      </c>
    </row>
    <row r="50" customFormat="false" ht="15.75" hidden="false" customHeight="false" outlineLevel="0" collapsed="false">
      <c r="A50" s="64" t="str">
        <f aca="false">'Ratings worksheet'!A50</f>
        <v>Estonia</v>
      </c>
      <c r="B50" s="65" t="str">
        <f aca="false">VLOOKUP(A50,'Ratings worksheet'!$A$2:$C$159,2,FALSE())</f>
        <v>NR</v>
      </c>
      <c r="C50" s="65" t="str">
        <f aca="false">VLOOKUP(A50,'Ratings worksheet'!$E$2:$H$159,4,FALSE())</f>
        <v>A+</v>
      </c>
      <c r="D50" s="152" t="str">
        <f aca="false">IF(E50="NR",VLOOKUP(B50,'Sovereign Ratings (Moody''s,S&amp;P)'!$G$9:$H$34,2,FALSE()),E50)</f>
        <v>A1</v>
      </c>
      <c r="E50" s="153" t="str">
        <f aca="false">VLOOKUP(A50,'Ratings worksheet'!$A$2:$C$159,3,FALSE())</f>
        <v>A1</v>
      </c>
    </row>
    <row r="51" customFormat="false" ht="15.75" hidden="false" customHeight="false" outlineLevel="0" collapsed="false">
      <c r="A51" s="64" t="str">
        <f aca="false">'Ratings worksheet'!A51</f>
        <v>Ethiopia</v>
      </c>
      <c r="B51" s="65" t="str">
        <f aca="false">VLOOKUP(A51,'Ratings worksheet'!$A$2:$C$159,2,FALSE())</f>
        <v>SD</v>
      </c>
      <c r="C51" s="65" t="str">
        <f aca="false">VLOOKUP(A51,'Ratings worksheet'!$E$2:$H$159,4,FALSE())</f>
        <v>RD</v>
      </c>
      <c r="D51" s="152" t="str">
        <f aca="false">IF(E51="NR",VLOOKUP(B51,'Sovereign Ratings (Moody''s,S&amp;P)'!$G$9:$H$34,2,FALSE()),E51)</f>
        <v>Caa2</v>
      </c>
      <c r="E51" s="153" t="str">
        <f aca="false">VLOOKUP(A51,'Ratings worksheet'!$A$2:$C$159,3,FALSE())</f>
        <v>Caa2</v>
      </c>
    </row>
    <row r="52" customFormat="false" ht="15.75" hidden="false" customHeight="false" outlineLevel="0" collapsed="false">
      <c r="A52" s="64" t="str">
        <f aca="false">'Ratings worksheet'!A52</f>
        <v>Fiji</v>
      </c>
      <c r="B52" s="65" t="str">
        <f aca="false">VLOOKUP(A52,'Ratings worksheet'!$A$2:$C$159,2,FALSE())</f>
        <v>B+</v>
      </c>
      <c r="C52" s="65" t="str">
        <f aca="false">VLOOKUP(A52,'Ratings worksheet'!$E$2:$H$159,4,FALSE())</f>
        <v>NR</v>
      </c>
      <c r="D52" s="152" t="str">
        <f aca="false">IF(E52="NR",VLOOKUP(B52,'Sovereign Ratings (Moody''s,S&amp;P)'!$G$9:$H$34,2,FALSE()),E52)</f>
        <v>B1</v>
      </c>
      <c r="E52" s="153" t="str">
        <f aca="false">VLOOKUP(A52,'Ratings worksheet'!$A$2:$C$159,3,FALSE())</f>
        <v>B1</v>
      </c>
    </row>
    <row r="53" customFormat="false" ht="15.75" hidden="false" customHeight="false" outlineLevel="0" collapsed="false">
      <c r="A53" s="64" t="str">
        <f aca="false">'Ratings worksheet'!A53</f>
        <v>Finland</v>
      </c>
      <c r="B53" s="65" t="str">
        <f aca="false">VLOOKUP(A53,'Ratings worksheet'!$A$2:$C$159,2,FALSE())</f>
        <v>AA+</v>
      </c>
      <c r="C53" s="65" t="str">
        <f aca="false">VLOOKUP(A53,'Ratings worksheet'!$E$2:$H$159,4,FALSE())</f>
        <v>AA</v>
      </c>
      <c r="D53" s="152" t="str">
        <f aca="false">IF(E53="NR",VLOOKUP(B53,'Sovereign Ratings (Moody''s,S&amp;P)'!$G$9:$H$34,2,FALSE()),E53)</f>
        <v>Aa1</v>
      </c>
      <c r="E53" s="153" t="str">
        <f aca="false">VLOOKUP(A53,'Ratings worksheet'!$A$2:$C$159,3,FALSE())</f>
        <v>Aa1</v>
      </c>
    </row>
    <row r="54" customFormat="false" ht="15.75" hidden="false" customHeight="false" outlineLevel="0" collapsed="false">
      <c r="A54" s="64" t="str">
        <f aca="false">'Ratings worksheet'!A54</f>
        <v>France</v>
      </c>
      <c r="B54" s="65" t="str">
        <f aca="false">VLOOKUP(A54,'Ratings worksheet'!$A$2:$C$159,2,FALSE())</f>
        <v>A+</v>
      </c>
      <c r="C54" s="65" t="str">
        <f aca="false">VLOOKUP(A54,'Ratings worksheet'!$E$2:$H$159,4,FALSE())</f>
        <v>A+</v>
      </c>
      <c r="D54" s="152" t="str">
        <f aca="false">IF(E54="NR",VLOOKUP(B54,'Sovereign Ratings (Moody''s,S&amp;P)'!$G$9:$H$34,2,FALSE()),E54)</f>
        <v>Aa3</v>
      </c>
      <c r="E54" s="153" t="str">
        <f aca="false">VLOOKUP(A54,'Ratings worksheet'!$A$2:$C$159,3,FALSE())</f>
        <v>Aa3</v>
      </c>
    </row>
    <row r="55" customFormat="false" ht="15.75" hidden="false" customHeight="false" outlineLevel="0" collapsed="false">
      <c r="A55" s="64" t="str">
        <f aca="false">'Ratings worksheet'!A55</f>
        <v>Gabon</v>
      </c>
      <c r="B55" s="65" t="str">
        <f aca="false">VLOOKUP(A55,'Ratings worksheet'!$A$2:$C$159,2,FALSE())</f>
        <v>N/A</v>
      </c>
      <c r="C55" s="65" t="str">
        <f aca="false">VLOOKUP(A55,'Ratings worksheet'!$E$2:$H$159,4,FALSE())</f>
        <v>CCC-</v>
      </c>
      <c r="D55" s="152" t="str">
        <f aca="false">IF(E55="NR",VLOOKUP(B55,'Sovereign Ratings (Moody''s,S&amp;P)'!$G$9:$H$34,2,FALSE()),E55)</f>
        <v>Caa2</v>
      </c>
      <c r="E55" s="153" t="str">
        <f aca="false">VLOOKUP(A55,'Ratings worksheet'!$A$2:$C$159,3,FALSE())</f>
        <v>Caa2</v>
      </c>
    </row>
    <row r="56" customFormat="false" ht="15.75" hidden="false" customHeight="false" outlineLevel="0" collapsed="false">
      <c r="A56" s="64" t="str">
        <f aca="false">'Ratings worksheet'!A56</f>
        <v>Georgia</v>
      </c>
      <c r="B56" s="65" t="str">
        <f aca="false">VLOOKUP(A56,'Ratings worksheet'!$A$2:$C$159,2,FALSE())</f>
        <v>BB</v>
      </c>
      <c r="C56" s="65" t="str">
        <f aca="false">VLOOKUP(A56,'Ratings worksheet'!$E$2:$H$159,4,FALSE())</f>
        <v>BB</v>
      </c>
      <c r="D56" s="152" t="str">
        <f aca="false">IF(E56="NR",VLOOKUP(B56,'Sovereign Ratings (Moody''s,S&amp;P)'!$G$9:$H$34,2,FALSE()),E56)</f>
        <v>Ba2</v>
      </c>
      <c r="E56" s="153" t="str">
        <f aca="false">VLOOKUP(A56,'Ratings worksheet'!$A$2:$C$159,3,FALSE())</f>
        <v>Ba2</v>
      </c>
    </row>
    <row r="57" customFormat="false" ht="15.75" hidden="false" customHeight="false" outlineLevel="0" collapsed="false">
      <c r="A57" s="64" t="str">
        <f aca="false">'Ratings worksheet'!A57</f>
        <v>Germany</v>
      </c>
      <c r="B57" s="65" t="str">
        <f aca="false">VLOOKUP(A57,'Ratings worksheet'!$A$2:$C$159,2,FALSE())</f>
        <v>AAA</v>
      </c>
      <c r="C57" s="65" t="str">
        <f aca="false">VLOOKUP(A57,'Ratings worksheet'!$E$2:$H$159,4,FALSE())</f>
        <v>AAA</v>
      </c>
      <c r="D57" s="152" t="str">
        <f aca="false">IF(E57="NR",VLOOKUP(B57,'Sovereign Ratings (Moody''s,S&amp;P)'!$G$9:$H$34,2,FALSE()),E57)</f>
        <v>Aaa</v>
      </c>
      <c r="E57" s="153" t="str">
        <f aca="false">VLOOKUP(A57,'Ratings worksheet'!$A$2:$C$159,3,FALSE())</f>
        <v>Aaa</v>
      </c>
    </row>
    <row r="58" customFormat="false" ht="15.75" hidden="false" customHeight="false" outlineLevel="0" collapsed="false">
      <c r="A58" s="64" t="str">
        <f aca="false">'Ratings worksheet'!A58</f>
        <v>Ghana</v>
      </c>
      <c r="B58" s="65" t="str">
        <f aca="false">VLOOKUP(A58,'Ratings worksheet'!$A$2:$C$159,2,FALSE())</f>
        <v>B-</v>
      </c>
      <c r="C58" s="65" t="str">
        <f aca="false">VLOOKUP(A58,'Ratings worksheet'!$E$2:$H$159,4,FALSE())</f>
        <v>B-</v>
      </c>
      <c r="D58" s="152" t="str">
        <f aca="false">IF(E58="NR",VLOOKUP(B58,'Sovereign Ratings (Moody''s,S&amp;P)'!$G$9:$H$34,2,FALSE()),E58)</f>
        <v>Caa1</v>
      </c>
      <c r="E58" s="153" t="str">
        <f aca="false">VLOOKUP(A58,'Ratings worksheet'!$A$2:$C$159,3,FALSE())</f>
        <v>Caa1</v>
      </c>
    </row>
    <row r="59" customFormat="false" ht="15.75" hidden="false" customHeight="false" outlineLevel="0" collapsed="false">
      <c r="A59" s="64" t="str">
        <f aca="false">'Ratings worksheet'!A59</f>
        <v>Greece</v>
      </c>
      <c r="B59" s="65" t="str">
        <f aca="false">VLOOKUP(A59,'Ratings worksheet'!$A$2:$C$159,2,FALSE())</f>
        <v>BBB</v>
      </c>
      <c r="C59" s="65" t="str">
        <f aca="false">VLOOKUP(A59,'Ratings worksheet'!$E$2:$H$159,4,FALSE())</f>
        <v>BBB</v>
      </c>
      <c r="D59" s="152" t="str">
        <f aca="false">IF(E59="NR",VLOOKUP(B59,'Sovereign Ratings (Moody''s,S&amp;P)'!$G$9:$H$34,2,FALSE()),E59)</f>
        <v>Baa3</v>
      </c>
      <c r="E59" s="153" t="str">
        <f aca="false">VLOOKUP(A59,'Ratings worksheet'!$A$2:$C$159,3,FALSE())</f>
        <v>Baa3</v>
      </c>
    </row>
    <row r="60" customFormat="false" ht="15.75" hidden="false" customHeight="false" outlineLevel="0" collapsed="false">
      <c r="A60" s="64" t="str">
        <f aca="false">'Ratings worksheet'!A60</f>
        <v>Guatemala</v>
      </c>
      <c r="B60" s="65" t="str">
        <f aca="false">VLOOKUP(A60,'Ratings worksheet'!$A$2:$C$159,2,FALSE())</f>
        <v>BB+</v>
      </c>
      <c r="C60" s="65" t="str">
        <f aca="false">VLOOKUP(A60,'Ratings worksheet'!$E$2:$H$159,4,FALSE())</f>
        <v>BB+</v>
      </c>
      <c r="D60" s="152" t="str">
        <f aca="false">IF(E60="NR",VLOOKUP(B60,'Sovereign Ratings (Moody''s,S&amp;P)'!$G$9:$H$34,2,FALSE()),E60)</f>
        <v>Ba1</v>
      </c>
      <c r="E60" s="153" t="str">
        <f aca="false">VLOOKUP(A60,'Ratings worksheet'!$A$2:$C$159,3,FALSE())</f>
        <v>Ba1</v>
      </c>
    </row>
    <row r="61" customFormat="false" ht="15.75" hidden="false" customHeight="false" outlineLevel="0" collapsed="false">
      <c r="A61" s="64" t="str">
        <f aca="false">'Ratings worksheet'!A61</f>
        <v>Guernsey (States of)</v>
      </c>
      <c r="B61" s="65" t="str">
        <f aca="false">VLOOKUP(A61,'Ratings worksheet'!$A$2:$C$159,2,FALSE())</f>
        <v>A+</v>
      </c>
      <c r="C61" s="65" t="e">
        <f aca="false">VLOOKUP(A61,'Ratings worksheet'!$E$2:$H$159,4,FALSE())</f>
        <v>#N/A</v>
      </c>
      <c r="D61" s="152" t="str">
        <f aca="false">IF(E61="NR",VLOOKUP(B61,'Sovereign Ratings (Moody''s,S&amp;P)'!$G$9:$H$34,2,FALSE()),E61)</f>
        <v>A1</v>
      </c>
      <c r="E61" s="153" t="s">
        <v>127</v>
      </c>
    </row>
    <row r="62" customFormat="false" ht="15.75" hidden="false" customHeight="false" outlineLevel="0" collapsed="false">
      <c r="A62" s="64" t="str">
        <f aca="false">'Ratings worksheet'!A62</f>
        <v>Honduras</v>
      </c>
      <c r="B62" s="65" t="str">
        <f aca="false">VLOOKUP(A62,'Ratings worksheet'!$A$2:$C$159,2,FALSE())</f>
        <v>BB-</v>
      </c>
      <c r="C62" s="65" t="str">
        <f aca="false">VLOOKUP(A62,'Ratings worksheet'!$E$2:$H$159,4,FALSE())</f>
        <v>B</v>
      </c>
      <c r="D62" s="152" t="str">
        <f aca="false">IF(E62="NR",VLOOKUP(B62,'Sovereign Ratings (Moody''s,S&amp;P)'!$G$9:$H$34,2,FALSE()),E62)</f>
        <v>B1</v>
      </c>
      <c r="E62" s="153" t="str">
        <f aca="false">VLOOKUP(A62,'Ratings worksheet'!$A$2:$C$159,3,FALSE())</f>
        <v>B1</v>
      </c>
    </row>
    <row r="63" customFormat="false" ht="15.75" hidden="false" customHeight="false" outlineLevel="0" collapsed="false">
      <c r="A63" s="64" t="str">
        <f aca="false">'Ratings worksheet'!A63</f>
        <v>Hong Kong</v>
      </c>
      <c r="B63" s="65" t="str">
        <f aca="false">VLOOKUP(A63,'Ratings worksheet'!$A$2:$C$159,2,FALSE())</f>
        <v>AA+</v>
      </c>
      <c r="C63" s="65" t="str">
        <f aca="false">VLOOKUP(A63,'Ratings worksheet'!$E$2:$H$159,4,FALSE())</f>
        <v>AA-</v>
      </c>
      <c r="D63" s="152" t="str">
        <f aca="false">IF(E63="NR",VLOOKUP(B63,'Sovereign Ratings (Moody''s,S&amp;P)'!$G$9:$H$34,2,FALSE()),E63)</f>
        <v>Aa3</v>
      </c>
      <c r="E63" s="153" t="str">
        <f aca="false">VLOOKUP(A63,'Ratings worksheet'!$A$2:$C$159,3,FALSE())</f>
        <v>Aa3</v>
      </c>
    </row>
    <row r="64" customFormat="false" ht="15.75" hidden="false" customHeight="false" outlineLevel="0" collapsed="false">
      <c r="A64" s="64" t="str">
        <f aca="false">'Ratings worksheet'!A64</f>
        <v>Hungary</v>
      </c>
      <c r="B64" s="65" t="str">
        <f aca="false">VLOOKUP(A64,'Ratings worksheet'!$A$2:$C$159,2,FALSE())</f>
        <v>BBB-</v>
      </c>
      <c r="C64" s="65" t="str">
        <f aca="false">VLOOKUP(A64,'Ratings worksheet'!$E$2:$H$159,4,FALSE())</f>
        <v>BBB</v>
      </c>
      <c r="D64" s="152" t="str">
        <f aca="false">IF(E64="NR",VLOOKUP(B64,'Sovereign Ratings (Moody''s,S&amp;P)'!$G$9:$H$34,2,FALSE()),E64)</f>
        <v>Baa2</v>
      </c>
      <c r="E64" s="153" t="str">
        <f aca="false">VLOOKUP(A64,'Ratings worksheet'!$A$2:$C$159,3,FALSE())</f>
        <v>Baa2</v>
      </c>
    </row>
    <row r="65" customFormat="false" ht="15.75" hidden="false" customHeight="false" outlineLevel="0" collapsed="false">
      <c r="A65" s="64" t="str">
        <f aca="false">'Ratings worksheet'!A65</f>
        <v>Iceland</v>
      </c>
      <c r="B65" s="65" t="str">
        <f aca="false">VLOOKUP(A65,'Ratings worksheet'!$A$2:$C$159,2,FALSE())</f>
        <v>A+</v>
      </c>
      <c r="C65" s="65" t="str">
        <f aca="false">VLOOKUP(A65,'Ratings worksheet'!$E$2:$H$159,4,FALSE())</f>
        <v>A</v>
      </c>
      <c r="D65" s="152" t="str">
        <f aca="false">IF(E65="NR",VLOOKUP(B65,'Sovereign Ratings (Moody''s,S&amp;P)'!$G$9:$H$34,2,FALSE()),E65)</f>
        <v>A1</v>
      </c>
      <c r="E65" s="153" t="str">
        <f aca="false">VLOOKUP(A65,'Ratings worksheet'!$A$2:$C$159,3,FALSE())</f>
        <v>A1</v>
      </c>
    </row>
    <row r="66" customFormat="false" ht="15.75" hidden="false" customHeight="false" outlineLevel="0" collapsed="false">
      <c r="A66" s="64" t="str">
        <f aca="false">'Ratings worksheet'!A66</f>
        <v>India</v>
      </c>
      <c r="B66" s="65" t="str">
        <f aca="false">VLOOKUP(A66,'Ratings worksheet'!$A$2:$C$159,2,FALSE())</f>
        <v>BBB</v>
      </c>
      <c r="C66" s="65" t="str">
        <f aca="false">VLOOKUP(A66,'Ratings worksheet'!$E$2:$H$159,4,FALSE())</f>
        <v>BBB-</v>
      </c>
      <c r="D66" s="152" t="str">
        <f aca="false">IF(E66="NR",VLOOKUP(B66,'Sovereign Ratings (Moody''s,S&amp;P)'!$G$9:$H$34,2,FALSE()),E66)</f>
        <v>Baa3</v>
      </c>
      <c r="E66" s="153" t="str">
        <f aca="false">VLOOKUP(A66,'Ratings worksheet'!$A$2:$C$159,3,FALSE())</f>
        <v>Baa3</v>
      </c>
    </row>
    <row r="67" customFormat="false" ht="15.75" hidden="false" customHeight="false" outlineLevel="0" collapsed="false">
      <c r="A67" s="64" t="str">
        <f aca="false">'Ratings worksheet'!A67</f>
        <v>Indonesia</v>
      </c>
      <c r="B67" s="65" t="str">
        <f aca="false">VLOOKUP(A67,'Ratings worksheet'!$A$2:$C$159,2,FALSE())</f>
        <v>BBB</v>
      </c>
      <c r="C67" s="65" t="str">
        <f aca="false">VLOOKUP(A67,'Ratings worksheet'!$E$2:$H$159,4,FALSE())</f>
        <v>BBB</v>
      </c>
      <c r="D67" s="152" t="str">
        <f aca="false">IF(E67="NR",VLOOKUP(B67,'Sovereign Ratings (Moody''s,S&amp;P)'!$G$9:$H$34,2,FALSE()),E67)</f>
        <v>Baa2</v>
      </c>
      <c r="E67" s="153" t="str">
        <f aca="false">VLOOKUP(A67,'Ratings worksheet'!$A$2:$C$159,3,FALSE())</f>
        <v>Baa2</v>
      </c>
    </row>
    <row r="68" customFormat="false" ht="15.75" hidden="false" customHeight="false" outlineLevel="0" collapsed="false">
      <c r="A68" s="64" t="str">
        <f aca="false">'Ratings worksheet'!A68</f>
        <v>Iraq</v>
      </c>
      <c r="B68" s="65" t="str">
        <f aca="false">VLOOKUP(A68,'Ratings worksheet'!$A$2:$C$159,2,FALSE())</f>
        <v>B-</v>
      </c>
      <c r="C68" s="65" t="str">
        <f aca="false">VLOOKUP(A68,'Ratings worksheet'!$E$2:$H$159,4,FALSE())</f>
        <v>B-</v>
      </c>
      <c r="D68" s="152" t="str">
        <f aca="false">IF(E68="NR",VLOOKUP(B68,'Sovereign Ratings (Moody''s,S&amp;P)'!$G$9:$H$34,2,FALSE()),E68)</f>
        <v>Caa1</v>
      </c>
      <c r="E68" s="153" t="str">
        <f aca="false">VLOOKUP(A68,'Ratings worksheet'!$A$2:$C$159,3,FALSE())</f>
        <v>Caa1</v>
      </c>
    </row>
    <row r="69" customFormat="false" ht="15.75" hidden="false" customHeight="false" outlineLevel="0" collapsed="false">
      <c r="A69" s="64" t="str">
        <f aca="false">'Ratings worksheet'!A69</f>
        <v>Ireland</v>
      </c>
      <c r="B69" s="65" t="str">
        <f aca="false">VLOOKUP(A69,'Ratings worksheet'!$A$2:$C$159,2,FALSE())</f>
        <v>AA</v>
      </c>
      <c r="C69" s="65" t="str">
        <f aca="false">VLOOKUP(A69,'Ratings worksheet'!$E$2:$H$159,4,FALSE())</f>
        <v>AA</v>
      </c>
      <c r="D69" s="152" t="str">
        <f aca="false">IF(E69="NR",VLOOKUP(B69,'Sovereign Ratings (Moody''s,S&amp;P)'!$G$9:$H$34,2,FALSE()),E69)</f>
        <v>Aa3</v>
      </c>
      <c r="E69" s="153" t="str">
        <f aca="false">VLOOKUP(A69,'Ratings worksheet'!$A$2:$C$159,3,FALSE())</f>
        <v>Aa3</v>
      </c>
    </row>
    <row r="70" customFormat="false" ht="15.75" hidden="false" customHeight="false" outlineLevel="0" collapsed="false">
      <c r="A70" s="64" t="str">
        <f aca="false">'Ratings worksheet'!A70</f>
        <v>Isle of Man</v>
      </c>
      <c r="B70" s="65" t="str">
        <f aca="false">VLOOKUP(A70,'Ratings worksheet'!$A$2:$C$159,2,FALSE())</f>
        <v>NR</v>
      </c>
      <c r="C70" s="65" t="e">
        <f aca="false">VLOOKUP(A70,'Ratings worksheet'!$E$2:$H$159,4,FALSE())</f>
        <v>#N/A</v>
      </c>
      <c r="D70" s="152" t="str">
        <f aca="false">IF(E70="NR",VLOOKUP(B70,'Sovereign Ratings (Moody''s,S&amp;P)'!$G$9:$H$34,2,FALSE()),E70)</f>
        <v>Aa3</v>
      </c>
      <c r="E70" s="153" t="str">
        <f aca="false">VLOOKUP(A70,'Ratings worksheet'!$A$2:$C$159,3,FALSE())</f>
        <v>Aa3</v>
      </c>
    </row>
    <row r="71" customFormat="false" ht="15.75" hidden="false" customHeight="false" outlineLevel="0" collapsed="false">
      <c r="A71" s="64" t="str">
        <f aca="false">'Ratings worksheet'!A71</f>
        <v>Israel</v>
      </c>
      <c r="B71" s="65" t="str">
        <f aca="false">VLOOKUP(A71,'Ratings worksheet'!$A$2:$C$159,2,FALSE())</f>
        <v>A</v>
      </c>
      <c r="C71" s="65" t="str">
        <f aca="false">VLOOKUP(A71,'Ratings worksheet'!$E$2:$H$159,4,FALSE())</f>
        <v>A</v>
      </c>
      <c r="D71" s="152" t="str">
        <f aca="false">IF(E71="NR",VLOOKUP(B71,'Sovereign Ratings (Moody''s,S&amp;P)'!$G$9:$H$34,2,FALSE()),E71)</f>
        <v>Baa1</v>
      </c>
      <c r="E71" s="153" t="str">
        <f aca="false">VLOOKUP(A71,'Ratings worksheet'!$A$2:$C$159,3,FALSE())</f>
        <v>Baa1</v>
      </c>
    </row>
    <row r="72" customFormat="false" ht="15.75" hidden="false" customHeight="false" outlineLevel="0" collapsed="false">
      <c r="A72" s="64" t="str">
        <f aca="false">'Ratings worksheet'!A72</f>
        <v>Italy</v>
      </c>
      <c r="B72" s="65" t="str">
        <f aca="false">VLOOKUP(A72,'Ratings worksheet'!$A$2:$C$159,2,FALSE())</f>
        <v>BBB+</v>
      </c>
      <c r="C72" s="65" t="str">
        <f aca="false">VLOOKUP(A72,'Ratings worksheet'!$E$2:$H$159,4,FALSE())</f>
        <v>BBB+</v>
      </c>
      <c r="D72" s="152" t="str">
        <f aca="false">IF(E72="NR",VLOOKUP(B72,'Sovereign Ratings (Moody''s,S&amp;P)'!$G$9:$H$34,2,FALSE()),E72)</f>
        <v>Baa2</v>
      </c>
      <c r="E72" s="153" t="str">
        <f aca="false">VLOOKUP(A72,'Ratings worksheet'!$A$2:$C$159,3,FALSE())</f>
        <v>Baa2</v>
      </c>
    </row>
    <row r="73" customFormat="false" ht="15.75" hidden="false" customHeight="false" outlineLevel="0" collapsed="false">
      <c r="A73" s="64" t="str">
        <f aca="false">'Ratings worksheet'!A73</f>
        <v>Jamaica</v>
      </c>
      <c r="B73" s="65" t="str">
        <f aca="false">VLOOKUP(A73,'Ratings worksheet'!$A$2:$C$159,2,FALSE())</f>
        <v>BB</v>
      </c>
      <c r="C73" s="65" t="str">
        <f aca="false">VLOOKUP(A73,'Ratings worksheet'!$E$2:$H$159,4,FALSE())</f>
        <v>BB-</v>
      </c>
      <c r="D73" s="152" t="str">
        <f aca="false">IF(E73="NR",VLOOKUP(B73,'Sovereign Ratings (Moody''s,S&amp;P)'!$G$9:$H$34,2,FALSE()),E73)</f>
        <v>Ba3</v>
      </c>
      <c r="E73" s="153" t="str">
        <f aca="false">VLOOKUP(A73,'Ratings worksheet'!$A$2:$C$159,3,FALSE())</f>
        <v>Ba3</v>
      </c>
    </row>
    <row r="74" customFormat="false" ht="15.75" hidden="false" customHeight="false" outlineLevel="0" collapsed="false">
      <c r="A74" s="64" t="str">
        <f aca="false">'Ratings worksheet'!A74</f>
        <v>Japan</v>
      </c>
      <c r="B74" s="65" t="str">
        <f aca="false">VLOOKUP(A74,'Ratings worksheet'!$A$2:$C$159,2,FALSE())</f>
        <v>A+</v>
      </c>
      <c r="C74" s="65" t="str">
        <f aca="false">VLOOKUP(A74,'Ratings worksheet'!$E$2:$H$159,4,FALSE())</f>
        <v>A</v>
      </c>
      <c r="D74" s="152" t="str">
        <f aca="false">IF(E74="NR",VLOOKUP(B74,'Sovereign Ratings (Moody''s,S&amp;P)'!$G$9:$H$34,2,FALSE()),E74)</f>
        <v>A1</v>
      </c>
      <c r="E74" s="153" t="str">
        <f aca="false">VLOOKUP(A74,'Ratings worksheet'!$A$2:$C$159,3,FALSE())</f>
        <v>A1</v>
      </c>
    </row>
    <row r="75" customFormat="false" ht="15.75" hidden="false" customHeight="false" outlineLevel="0" collapsed="false">
      <c r="A75" s="64" t="str">
        <f aca="false">'Ratings worksheet'!A75</f>
        <v>Jersey (States of)</v>
      </c>
      <c r="B75" s="65" t="str">
        <f aca="false">VLOOKUP(A75,'Ratings worksheet'!$A$2:$C$159,2,FALSE())</f>
        <v>AA-</v>
      </c>
      <c r="C75" s="65" t="e">
        <f aca="false">VLOOKUP(A75,'Ratings worksheet'!$E$2:$H$159,4,FALSE())</f>
        <v>#N/A</v>
      </c>
      <c r="D75" s="152" t="str">
        <f aca="false">IF(E75="NR",VLOOKUP(B75,'Sovereign Ratings (Moody''s,S&amp;P)'!$G$9:$H$34,2,FALSE()),E75)</f>
        <v>Aa3</v>
      </c>
      <c r="E75" s="153" t="s">
        <v>127</v>
      </c>
    </row>
    <row r="76" customFormat="false" ht="15.75" hidden="false" customHeight="false" outlineLevel="0" collapsed="false">
      <c r="A76" s="64" t="str">
        <f aca="false">'Ratings worksheet'!A76</f>
        <v>Jordan</v>
      </c>
      <c r="B76" s="65" t="str">
        <f aca="false">VLOOKUP(A76,'Ratings worksheet'!$A$2:$C$159,2,FALSE())</f>
        <v>BB-</v>
      </c>
      <c r="C76" s="65" t="str">
        <f aca="false">VLOOKUP(A76,'Ratings worksheet'!$E$2:$H$159,4,FALSE())</f>
        <v>BB-</v>
      </c>
      <c r="D76" s="152" t="str">
        <f aca="false">IF(E76="NR",VLOOKUP(B76,'Sovereign Ratings (Moody''s,S&amp;P)'!$G$9:$H$34,2,FALSE()),E76)</f>
        <v>Ba3</v>
      </c>
      <c r="E76" s="153" t="str">
        <f aca="false">VLOOKUP(A76,'Ratings worksheet'!$A$2:$C$159,3,FALSE())</f>
        <v>Ba3</v>
      </c>
    </row>
    <row r="77" customFormat="false" ht="15.75" hidden="false" customHeight="false" outlineLevel="0" collapsed="false">
      <c r="A77" s="64" t="str">
        <f aca="false">'Ratings worksheet'!A77</f>
        <v>Kazakhstan</v>
      </c>
      <c r="B77" s="65" t="str">
        <f aca="false">VLOOKUP(A77,'Ratings worksheet'!$A$2:$C$159,2,FALSE())</f>
        <v>BBB-</v>
      </c>
      <c r="C77" s="65" t="str">
        <f aca="false">VLOOKUP(A77,'Ratings worksheet'!$E$2:$H$159,4,FALSE())</f>
        <v>BBB</v>
      </c>
      <c r="D77" s="152" t="str">
        <f aca="false">IF(E77="NR",VLOOKUP(B77,'Sovereign Ratings (Moody''s,S&amp;P)'!$G$9:$H$34,2,FALSE()),E77)</f>
        <v>Baa1</v>
      </c>
      <c r="E77" s="153" t="str">
        <f aca="false">VLOOKUP(A77,'Ratings worksheet'!$A$2:$C$159,3,FALSE())</f>
        <v>Baa1</v>
      </c>
    </row>
    <row r="78" customFormat="false" ht="15.75" hidden="false" customHeight="false" outlineLevel="0" collapsed="false">
      <c r="A78" s="64" t="str">
        <f aca="false">'Ratings worksheet'!A78</f>
        <v>Kenya</v>
      </c>
      <c r="B78" s="65" t="str">
        <f aca="false">VLOOKUP(A78,'Ratings worksheet'!$A$2:$C$159,2,FALSE())</f>
        <v>B</v>
      </c>
      <c r="C78" s="65" t="str">
        <f aca="false">VLOOKUP(A78,'Ratings worksheet'!$E$2:$H$159,4,FALSE())</f>
        <v>B-</v>
      </c>
      <c r="D78" s="152" t="str">
        <f aca="false">IF(E78="NR",VLOOKUP(B78,'Sovereign Ratings (Moody''s,S&amp;P)'!$G$9:$H$34,2,FALSE()),E78)</f>
        <v>B3</v>
      </c>
      <c r="E78" s="153" t="str">
        <f aca="false">VLOOKUP(A78,'Ratings worksheet'!$A$2:$C$159,3,FALSE())</f>
        <v>B3</v>
      </c>
    </row>
    <row r="79" customFormat="false" ht="15.75" hidden="false" customHeight="false" outlineLevel="0" collapsed="false">
      <c r="A79" s="64" t="str">
        <f aca="false">'Ratings worksheet'!A79</f>
        <v>Korea</v>
      </c>
      <c r="B79" s="65" t="str">
        <f aca="false">VLOOKUP(A79,'Ratings worksheet'!$A$2:$C$159,2,FALSE())</f>
        <v>AA</v>
      </c>
      <c r="C79" s="65" t="e">
        <f aca="false">VLOOKUP(A79,'Ratings worksheet'!$E$2:$H$159,4,FALSE())</f>
        <v>#N/A</v>
      </c>
      <c r="D79" s="152" t="str">
        <f aca="false">IF(E79="NR",VLOOKUP(B79,'Sovereign Ratings (Moody''s,S&amp;P)'!$G$9:$H$34,2,FALSE()),E79)</f>
        <v>Aa2</v>
      </c>
      <c r="E79" s="153" t="str">
        <f aca="false">VLOOKUP(A79,'Ratings worksheet'!$A$2:$C$159,3,FALSE())</f>
        <v>Aa2</v>
      </c>
    </row>
    <row r="80" customFormat="false" ht="15.75" hidden="false" customHeight="false" outlineLevel="0" collapsed="false">
      <c r="A80" s="64" t="str">
        <f aca="false">'Ratings worksheet'!A80</f>
        <v>Kuwait</v>
      </c>
      <c r="B80" s="65" t="str">
        <f aca="false">VLOOKUP(A80,'Ratings worksheet'!$A$2:$C$159,2,FALSE())</f>
        <v>AA-</v>
      </c>
      <c r="C80" s="65" t="str">
        <f aca="false">VLOOKUP(A80,'Ratings worksheet'!$E$2:$H$159,4,FALSE())</f>
        <v>AA-</v>
      </c>
      <c r="D80" s="152" t="str">
        <f aca="false">IF(E80="NR",VLOOKUP(B80,'Sovereign Ratings (Moody''s,S&amp;P)'!$G$9:$H$34,2,FALSE()),E80)</f>
        <v>A1</v>
      </c>
      <c r="E80" s="153" t="str">
        <f aca="false">VLOOKUP(A80,'Ratings worksheet'!$A$2:$C$159,3,FALSE())</f>
        <v>A1</v>
      </c>
    </row>
    <row r="81" customFormat="false" ht="15.75" hidden="false" customHeight="false" outlineLevel="0" collapsed="false">
      <c r="A81" s="64" t="str">
        <f aca="false">'Ratings worksheet'!A81</f>
        <v>Kyrgyzstan</v>
      </c>
      <c r="B81" s="65" t="e">
        <f aca="false">VLOOKUP(A81,'Ratings worksheet'!$A$2:$C$159,2,FALSE())</f>
        <v>#N/A</v>
      </c>
      <c r="C81" s="65" t="e">
        <f aca="false">VLOOKUP(A81,'Ratings worksheet'!$E$2:$H$159,4,FALSE())</f>
        <v>#N/A</v>
      </c>
      <c r="D81" s="152" t="str">
        <f aca="false">IF(E81="NR",VLOOKUP(B81,'Sovereign Ratings (Moody''s,S&amp;P)'!$G$9:$H$34,2,FALSE()),E81)</f>
        <v>B3</v>
      </c>
      <c r="E81" s="153" t="str">
        <f aca="false">VLOOKUP(A81,'Ratings worksheet'!$A$2:$C$159,3,FALSE())</f>
        <v>B3</v>
      </c>
    </row>
    <row r="82" customFormat="false" ht="15.75" hidden="false" customHeight="false" outlineLevel="0" collapsed="false">
      <c r="A82" s="64" t="str">
        <f aca="false">'Ratings worksheet'!A82</f>
        <v>Laos</v>
      </c>
      <c r="B82" s="65" t="str">
        <f aca="false">VLOOKUP(A82,'Ratings worksheet'!$A$2:$C$159,2,FALSE())</f>
        <v>CCC+</v>
      </c>
      <c r="C82" s="65" t="str">
        <f aca="false">VLOOKUP(A82,'Ratings worksheet'!$E$2:$H$159,4,FALSE())</f>
        <v>CCC+</v>
      </c>
      <c r="D82" s="152" t="str">
        <f aca="false">IF(E82="NR",VLOOKUP(B82,'Sovereign Ratings (Moody''s,S&amp;P)'!$G$9:$H$34,2,FALSE()),E82)</f>
        <v>Caa2</v>
      </c>
      <c r="E82" s="153" t="str">
        <f aca="false">VLOOKUP(A82,'Ratings worksheet'!$A$2:$C$159,3,FALSE())</f>
        <v>Caa2</v>
      </c>
    </row>
    <row r="83" customFormat="false" ht="15.75" hidden="false" customHeight="false" outlineLevel="0" collapsed="false">
      <c r="A83" s="64" t="str">
        <f aca="false">'Ratings worksheet'!A83</f>
        <v>Latvia</v>
      </c>
      <c r="B83" s="65" t="str">
        <f aca="false">VLOOKUP(A83,'Ratings worksheet'!$A$2:$C$159,2,FALSE())</f>
        <v>A</v>
      </c>
      <c r="C83" s="65" t="str">
        <f aca="false">VLOOKUP(A83,'Ratings worksheet'!$E$2:$H$159,4,FALSE())</f>
        <v>A-</v>
      </c>
      <c r="D83" s="152" t="str">
        <f aca="false">IF(E83="NR",VLOOKUP(B83,'Sovereign Ratings (Moody''s,S&amp;P)'!$G$9:$H$34,2,FALSE()),E83)</f>
        <v>A3</v>
      </c>
      <c r="E83" s="153" t="str">
        <f aca="false">VLOOKUP(A83,'Ratings worksheet'!$A$2:$C$159,3,FALSE())</f>
        <v>A3</v>
      </c>
    </row>
    <row r="84" customFormat="false" ht="15.75" hidden="false" customHeight="false" outlineLevel="0" collapsed="false">
      <c r="A84" s="64" t="str">
        <f aca="false">'Ratings worksheet'!A84</f>
        <v>Lebanon</v>
      </c>
      <c r="B84" s="65" t="str">
        <f aca="false">VLOOKUP(A84,'Ratings worksheet'!$A$2:$C$159,2,FALSE())</f>
        <v>SD</v>
      </c>
      <c r="C84" s="65" t="str">
        <f aca="false">VLOOKUP(A84,'Ratings worksheet'!$E$2:$H$159,4,FALSE())</f>
        <v>NR</v>
      </c>
      <c r="D84" s="152" t="str">
        <f aca="false">IF(E84="NR",VLOOKUP(B84,'Sovereign Ratings (Moody''s,S&amp;P)'!$G$9:$H$34,2,FALSE()),E84)</f>
        <v>C</v>
      </c>
      <c r="E84" s="153" t="str">
        <f aca="false">VLOOKUP(A84,'Ratings worksheet'!$A$2:$C$159,3,FALSE())</f>
        <v>C</v>
      </c>
    </row>
    <row r="85" customFormat="false" ht="15.75" hidden="false" customHeight="false" outlineLevel="0" collapsed="false">
      <c r="A85" s="64" t="str">
        <f aca="false">'Ratings worksheet'!A85</f>
        <v>Liechtenstein</v>
      </c>
      <c r="B85" s="65" t="str">
        <f aca="false">VLOOKUP(A85,'Ratings worksheet'!$A$2:$C$159,2,FALSE())</f>
        <v>AAA</v>
      </c>
      <c r="C85" s="65" t="str">
        <f aca="false">VLOOKUP(A85,'Ratings worksheet'!$E$2:$H$159,4,FALSE())</f>
        <v>NR</v>
      </c>
      <c r="D85" s="152" t="str">
        <f aca="false">IF(E85="NR",VLOOKUP(B85,'Sovereign Ratings (Moody''s,S&amp;P)'!$G$9:$H$34,2,FALSE()),E85)</f>
        <v>Aaa</v>
      </c>
      <c r="E85" s="153" t="str">
        <f aca="false">VLOOKUP(A85,'Ratings worksheet'!$A$2:$C$159,3,FALSE())</f>
        <v>NR</v>
      </c>
    </row>
    <row r="86" customFormat="false" ht="15.75" hidden="false" customHeight="false" outlineLevel="0" collapsed="false">
      <c r="A86" s="64" t="str">
        <f aca="false">'Ratings worksheet'!A86</f>
        <v>Lithuania</v>
      </c>
      <c r="B86" s="65" t="str">
        <f aca="false">VLOOKUP(A86,'Ratings worksheet'!$A$2:$C$159,2,FALSE())</f>
        <v>A</v>
      </c>
      <c r="C86" s="65" t="str">
        <f aca="false">VLOOKUP(A86,'Ratings worksheet'!$E$2:$H$159,4,FALSE())</f>
        <v>A</v>
      </c>
      <c r="D86" s="152" t="str">
        <f aca="false">IF(E86="NR",VLOOKUP(B86,'Sovereign Ratings (Moody''s,S&amp;P)'!$G$9:$H$34,2,FALSE()),E86)</f>
        <v>A2</v>
      </c>
      <c r="E86" s="153" t="str">
        <f aca="false">VLOOKUP(A86,'Ratings worksheet'!$A$2:$C$159,3,FALSE())</f>
        <v>A2</v>
      </c>
    </row>
    <row r="87" customFormat="false" ht="15.75" hidden="false" customHeight="false" outlineLevel="0" collapsed="false">
      <c r="A87" s="64" t="str">
        <f aca="false">'Ratings worksheet'!A87</f>
        <v>Luxembourg</v>
      </c>
      <c r="B87" s="65" t="str">
        <f aca="false">VLOOKUP(A87,'Ratings worksheet'!$A$2:$C$159,2,FALSE())</f>
        <v>AAA</v>
      </c>
      <c r="C87" s="65" t="str">
        <f aca="false">VLOOKUP(A87,'Ratings worksheet'!$E$2:$H$159,4,FALSE())</f>
        <v>AAA</v>
      </c>
      <c r="D87" s="152" t="str">
        <f aca="false">IF(E87="NR",VLOOKUP(B87,'Sovereign Ratings (Moody''s,S&amp;P)'!$G$9:$H$34,2,FALSE()),E87)</f>
        <v>Aaa</v>
      </c>
      <c r="E87" s="153" t="str">
        <f aca="false">VLOOKUP(A87,'Ratings worksheet'!$A$2:$C$159,3,FALSE())</f>
        <v>Aaa</v>
      </c>
    </row>
    <row r="88" customFormat="false" ht="15.75" hidden="false" customHeight="false" outlineLevel="0" collapsed="false">
      <c r="A88" s="64" t="str">
        <f aca="false">'Ratings worksheet'!A88</f>
        <v>Macao</v>
      </c>
      <c r="B88" s="65" t="str">
        <f aca="false">VLOOKUP(A88,'Ratings worksheet'!$A$2:$C$159,2,FALSE())</f>
        <v>NR</v>
      </c>
      <c r="C88" s="65" t="str">
        <f aca="false">VLOOKUP(A88,'Ratings worksheet'!$E$2:$H$159,4,FALSE())</f>
        <v>AA</v>
      </c>
      <c r="D88" s="152" t="str">
        <f aca="false">IF(E88="NR",VLOOKUP(B88,'Sovereign Ratings (Moody''s,S&amp;P)'!$G$9:$H$34,2,FALSE()),E88)</f>
        <v>Aa3</v>
      </c>
      <c r="E88" s="153" t="str">
        <f aca="false">VLOOKUP(A88,'Ratings worksheet'!$A$2:$C$159,3,FALSE())</f>
        <v>Aa3</v>
      </c>
    </row>
    <row r="89" customFormat="false" ht="15.75" hidden="false" customHeight="false" outlineLevel="0" collapsed="false">
      <c r="A89" s="64" t="str">
        <f aca="false">'Ratings worksheet'!A89</f>
        <v>Macedonia</v>
      </c>
      <c r="B89" s="65" t="str">
        <f aca="false">VLOOKUP(A89,'Ratings worksheet'!$A$2:$C$159,2,FALSE())</f>
        <v>BB-</v>
      </c>
      <c r="C89" s="65" t="e">
        <f aca="false">VLOOKUP(A89,'Ratings worksheet'!$E$2:$H$159,4,FALSE())</f>
        <v>#N/A</v>
      </c>
      <c r="D89" s="152" t="str">
        <f aca="false">IF(E89="NR",VLOOKUP(B89,'Sovereign Ratings (Moody''s,S&amp;P)'!$G$9:$H$34,2,FALSE()),E89)</f>
        <v>Ba3</v>
      </c>
      <c r="E89" s="153" t="str">
        <f aca="false">VLOOKUP(A89,'Ratings worksheet'!$A$2:$C$159,3,FALSE())</f>
        <v>NR</v>
      </c>
    </row>
    <row r="90" customFormat="false" ht="15.75" hidden="false" customHeight="false" outlineLevel="0" collapsed="false">
      <c r="A90" s="64" t="str">
        <f aca="false">'Ratings worksheet'!A90</f>
        <v>Malaysia</v>
      </c>
      <c r="B90" s="65" t="str">
        <f aca="false">VLOOKUP(A90,'Ratings worksheet'!$A$2:$C$159,2,FALSE())</f>
        <v>A-</v>
      </c>
      <c r="C90" s="65" t="str">
        <f aca="false">VLOOKUP(A90,'Ratings worksheet'!$E$2:$H$159,4,FALSE())</f>
        <v>BBB+</v>
      </c>
      <c r="D90" s="152" t="str">
        <f aca="false">IF(E90="NR",VLOOKUP(B90,'Sovereign Ratings (Moody''s,S&amp;P)'!$G$9:$H$34,2,FALSE()),E90)</f>
        <v>A3</v>
      </c>
      <c r="E90" s="153" t="str">
        <f aca="false">VLOOKUP(A90,'Ratings worksheet'!$A$2:$C$159,3,FALSE())</f>
        <v>A3</v>
      </c>
    </row>
    <row r="91" customFormat="false" ht="15.75" hidden="false" customHeight="false" outlineLevel="0" collapsed="false">
      <c r="A91" s="64" t="str">
        <f aca="false">'Ratings worksheet'!A91</f>
        <v>Maldives</v>
      </c>
      <c r="B91" s="65" t="str">
        <f aca="false">VLOOKUP(A91,'Ratings worksheet'!$A$2:$C$159,2,FALSE())</f>
        <v>NR</v>
      </c>
      <c r="C91" s="65" t="str">
        <f aca="false">VLOOKUP(A91,'Ratings worksheet'!$E$2:$H$159,4,FALSE())</f>
        <v>CC</v>
      </c>
      <c r="D91" s="152" t="str">
        <f aca="false">IF(E91="NR",VLOOKUP(B91,'Sovereign Ratings (Moody''s,S&amp;P)'!$G$9:$H$34,2,FALSE()),E91)</f>
        <v>Caa2</v>
      </c>
      <c r="E91" s="153" t="str">
        <f aca="false">VLOOKUP(A91,'Ratings worksheet'!$A$2:$C$159,3,FALSE())</f>
        <v>Caa2</v>
      </c>
    </row>
    <row r="92" customFormat="false" ht="15.75" hidden="false" customHeight="false" outlineLevel="0" collapsed="false">
      <c r="A92" s="64" t="str">
        <f aca="false">'Ratings worksheet'!A92</f>
        <v>Mali</v>
      </c>
      <c r="B92" s="65" t="str">
        <f aca="false">VLOOKUP(A92,'Ratings worksheet'!$A$2:$C$159,2,FALSE())</f>
        <v>NR</v>
      </c>
      <c r="C92" s="65" t="str">
        <f aca="false">VLOOKUP(A92,'Ratings worksheet'!$E$2:$H$159,4,FALSE())</f>
        <v>B-</v>
      </c>
      <c r="D92" s="152" t="str">
        <f aca="false">IF(E92="NR",VLOOKUP(B92,'Sovereign Ratings (Moody''s,S&amp;P)'!$G$9:$H$34,2,FALSE()),E92)</f>
        <v>Caa2</v>
      </c>
      <c r="E92" s="153" t="str">
        <f aca="false">VLOOKUP(A92,'Ratings worksheet'!$A$2:$C$159,3,FALSE())</f>
        <v>Caa2</v>
      </c>
    </row>
    <row r="93" customFormat="false" ht="15.75" hidden="false" customHeight="false" outlineLevel="0" collapsed="false">
      <c r="A93" s="64" t="str">
        <f aca="false">'Ratings worksheet'!A93</f>
        <v>Malta</v>
      </c>
      <c r="B93" s="65" t="str">
        <f aca="false">VLOOKUP(A93,'Ratings worksheet'!$A$2:$C$159,2,FALSE())</f>
        <v>A-</v>
      </c>
      <c r="C93" s="65" t="str">
        <f aca="false">VLOOKUP(A93,'Ratings worksheet'!$E$2:$H$159,4,FALSE())</f>
        <v>A+</v>
      </c>
      <c r="D93" s="152" t="str">
        <f aca="false">IF(E93="NR",VLOOKUP(B93,'Sovereign Ratings (Moody''s,S&amp;P)'!$G$9:$H$34,2,FALSE()),E93)</f>
        <v>A2</v>
      </c>
      <c r="E93" s="153" t="str">
        <f aca="false">VLOOKUP(A93,'Ratings worksheet'!$A$2:$C$159,3,FALSE())</f>
        <v>A2</v>
      </c>
    </row>
    <row r="94" customFormat="false" ht="15.75" hidden="false" customHeight="false" outlineLevel="0" collapsed="false">
      <c r="A94" s="64" t="str">
        <f aca="false">'Ratings worksheet'!A94</f>
        <v>Mauritius</v>
      </c>
      <c r="B94" s="65" t="str">
        <f aca="false">VLOOKUP(A94,'Ratings worksheet'!$A$2:$C$159,2,FALSE())</f>
        <v>BBB-</v>
      </c>
      <c r="C94" s="65" t="str">
        <f aca="false">VLOOKUP(A94,'Ratings worksheet'!$E$2:$H$159,4,FALSE())</f>
        <v>NR</v>
      </c>
      <c r="D94" s="152" t="str">
        <f aca="false">IF(E94="NR",VLOOKUP(B94,'Sovereign Ratings (Moody''s,S&amp;P)'!$G$9:$H$34,2,FALSE()),E94)</f>
        <v>Baa3</v>
      </c>
      <c r="E94" s="153" t="str">
        <f aca="false">VLOOKUP(A94,'Ratings worksheet'!$A$2:$C$159,3,FALSE())</f>
        <v>Baa3</v>
      </c>
    </row>
    <row r="95" customFormat="false" ht="15.75" hidden="false" customHeight="false" outlineLevel="0" collapsed="false">
      <c r="A95" s="64" t="str">
        <f aca="false">'Ratings worksheet'!A95</f>
        <v>Mexico</v>
      </c>
      <c r="B95" s="65" t="str">
        <f aca="false">VLOOKUP(A95,'Ratings worksheet'!$A$2:$C$159,2,FALSE())</f>
        <v>BBB</v>
      </c>
      <c r="C95" s="65" t="str">
        <f aca="false">VLOOKUP(A95,'Ratings worksheet'!$E$2:$H$159,4,FALSE())</f>
        <v>BBB-</v>
      </c>
      <c r="D95" s="152" t="str">
        <f aca="false">IF(E95="NR",VLOOKUP(B95,'Sovereign Ratings (Moody''s,S&amp;P)'!$G$9:$H$34,2,FALSE()),E95)</f>
        <v>Baa2</v>
      </c>
      <c r="E95" s="153" t="str">
        <f aca="false">VLOOKUP(A95,'Ratings worksheet'!$A$2:$C$159,3,FALSE())</f>
        <v>Baa2</v>
      </c>
    </row>
    <row r="96" customFormat="false" ht="15.75" hidden="false" customHeight="false" outlineLevel="0" collapsed="false">
      <c r="A96" s="64" t="str">
        <f aca="false">'Ratings worksheet'!A96</f>
        <v>Moldova</v>
      </c>
      <c r="B96" s="65" t="str">
        <f aca="false">VLOOKUP(A96,'Ratings worksheet'!$A$2:$C$159,2,FALSE())</f>
        <v>BB-</v>
      </c>
      <c r="C96" s="65" t="str">
        <f aca="false">VLOOKUP(A96,'Ratings worksheet'!$E$2:$H$159,4,FALSE())</f>
        <v>B+</v>
      </c>
      <c r="D96" s="152" t="str">
        <f aca="false">IF(E96="NR",VLOOKUP(B96,'Sovereign Ratings (Moody''s,S&amp;P)'!$G$9:$H$34,2,FALSE()),E96)</f>
        <v>B3</v>
      </c>
      <c r="E96" s="153" t="str">
        <f aca="false">VLOOKUP(A96,'Ratings worksheet'!$A$2:$C$159,3,FALSE())</f>
        <v>B3</v>
      </c>
    </row>
    <row r="97" customFormat="false" ht="15.75" hidden="false" customHeight="false" outlineLevel="0" collapsed="false">
      <c r="A97" s="64" t="str">
        <f aca="false">'Ratings worksheet'!A97</f>
        <v>Mongolia</v>
      </c>
      <c r="B97" s="65" t="str">
        <f aca="false">VLOOKUP(A97,'Ratings worksheet'!$A$2:$C$159,2,FALSE())</f>
        <v>BB-</v>
      </c>
      <c r="C97" s="65" t="str">
        <f aca="false">VLOOKUP(A97,'Ratings worksheet'!$E$2:$H$159,4,FALSE())</f>
        <v>B+</v>
      </c>
      <c r="D97" s="152" t="str">
        <f aca="false">IF(E97="NR",VLOOKUP(B97,'Sovereign Ratings (Moody''s,S&amp;P)'!$G$9:$H$34,2,FALSE()),E97)</f>
        <v>B1</v>
      </c>
      <c r="E97" s="153" t="str">
        <f aca="false">VLOOKUP(A97,'Ratings worksheet'!$A$2:$C$159,3,FALSE())</f>
        <v>B1</v>
      </c>
    </row>
    <row r="98" customFormat="false" ht="15.75" hidden="false" customHeight="false" outlineLevel="0" collapsed="false">
      <c r="A98" s="64" t="str">
        <f aca="false">'Ratings worksheet'!A98</f>
        <v>Montenegro</v>
      </c>
      <c r="B98" s="65" t="str">
        <f aca="false">VLOOKUP(A98,'Ratings worksheet'!$A$2:$C$159,2,FALSE())</f>
        <v>B+</v>
      </c>
      <c r="C98" s="65" t="str">
        <f aca="false">VLOOKUP(A98,'Ratings worksheet'!$E$2:$H$159,4,FALSE())</f>
        <v>NR</v>
      </c>
      <c r="D98" s="152" t="str">
        <f aca="false">IF(E98="NR",VLOOKUP(B98,'Sovereign Ratings (Moody''s,S&amp;P)'!$G$9:$H$34,2,FALSE()),E98)</f>
        <v>B1</v>
      </c>
      <c r="E98" s="153" t="str">
        <f aca="false">VLOOKUP(A98,'Ratings worksheet'!$A$2:$C$159,3,FALSE())</f>
        <v>B1</v>
      </c>
    </row>
    <row r="99" customFormat="false" ht="15.75" hidden="false" customHeight="false" outlineLevel="0" collapsed="false">
      <c r="A99" s="64" t="str">
        <f aca="false">'Ratings worksheet'!A99</f>
        <v>Montserrat</v>
      </c>
      <c r="B99" s="65" t="str">
        <f aca="false">VLOOKUP(A99,'Ratings worksheet'!$A$2:$C$159,2,FALSE())</f>
        <v>BBB-</v>
      </c>
      <c r="C99" s="65" t="str">
        <f aca="false">VLOOKUP(A99,'Ratings worksheet'!$E$2:$H$159,4,FALSE())</f>
        <v>NR</v>
      </c>
      <c r="D99" s="152" t="str">
        <f aca="false">IF(E99="NR",VLOOKUP(B99,'Sovereign Ratings (Moody''s,S&amp;P)'!$G$9:$H$34,2,FALSE()),E99)</f>
        <v>Baa3</v>
      </c>
      <c r="E99" s="153" t="str">
        <f aca="false">VLOOKUP(A99,'Ratings worksheet'!$A$2:$C$159,3,FALSE())</f>
        <v>NR</v>
      </c>
    </row>
    <row r="100" customFormat="false" ht="15.75" hidden="false" customHeight="false" outlineLevel="0" collapsed="false">
      <c r="A100" s="64" t="str">
        <f aca="false">'Ratings worksheet'!A100</f>
        <v>Morocco</v>
      </c>
      <c r="B100" s="65" t="str">
        <f aca="false">VLOOKUP(A100,'Ratings worksheet'!$A$2:$C$159,2,FALSE())</f>
        <v>BBB-</v>
      </c>
      <c r="C100" s="65" t="str">
        <f aca="false">VLOOKUP(A100,'Ratings worksheet'!$E$2:$H$159,4,FALSE())</f>
        <v>BB+</v>
      </c>
      <c r="D100" s="152" t="str">
        <f aca="false">IF(E100="NR",VLOOKUP(B100,'Sovereign Ratings (Moody''s,S&amp;P)'!$G$9:$H$34,2,FALSE()),E100)</f>
        <v>Ba1</v>
      </c>
      <c r="E100" s="153" t="str">
        <f aca="false">VLOOKUP(A100,'Ratings worksheet'!$A$2:$C$159,3,FALSE())</f>
        <v>Ba1</v>
      </c>
    </row>
    <row r="101" customFormat="false" ht="15.75" hidden="false" customHeight="false" outlineLevel="0" collapsed="false">
      <c r="A101" s="64" t="str">
        <f aca="false">'Ratings worksheet'!A101</f>
        <v>Mozambique</v>
      </c>
      <c r="B101" s="65" t="str">
        <f aca="false">VLOOKUP(A101,'Ratings worksheet'!$A$2:$C$159,2,FALSE())</f>
        <v>CCC+</v>
      </c>
      <c r="C101" s="65" t="str">
        <f aca="false">VLOOKUP(A101,'Ratings worksheet'!$E$2:$H$159,4,FALSE())</f>
        <v>CCC</v>
      </c>
      <c r="D101" s="152" t="str">
        <f aca="false">IF(E101="NR",VLOOKUP(B101,'Sovereign Ratings (Moody''s,S&amp;P)'!$G$9:$H$34,2,FALSE()),E101)</f>
        <v>Caa3</v>
      </c>
      <c r="E101" s="153" t="str">
        <f aca="false">VLOOKUP(A101,'Ratings worksheet'!$A$2:$C$159,3,FALSE())</f>
        <v>Caa3</v>
      </c>
    </row>
    <row r="102" customFormat="false" ht="15.75" hidden="false" customHeight="false" outlineLevel="0" collapsed="false">
      <c r="A102" s="64" t="str">
        <f aca="false">'Ratings worksheet'!A102</f>
        <v>Namibia</v>
      </c>
      <c r="B102" s="65" t="n">
        <f aca="false">VLOOKUP(A102,'Ratings worksheet'!$A$2:$C$159,2,FALSE())</f>
        <v>0</v>
      </c>
      <c r="C102" s="65" t="str">
        <f aca="false">VLOOKUP(A102,'Ratings worksheet'!$E$2:$H$159,4,FALSE())</f>
        <v>BB-</v>
      </c>
      <c r="D102" s="152" t="str">
        <f aca="false">IF(E102="NR",VLOOKUP(B102,'Sovereign Ratings (Moody''s,S&amp;P)'!$G$9:$H$34,2,FALSE()),E102)</f>
        <v>B1</v>
      </c>
      <c r="E102" s="153" t="str">
        <f aca="false">VLOOKUP(A102,'Ratings worksheet'!$A$2:$C$159,3,FALSE())</f>
        <v>B1</v>
      </c>
    </row>
    <row r="103" customFormat="false" ht="15.75" hidden="false" customHeight="false" outlineLevel="0" collapsed="false">
      <c r="A103" s="64" t="str">
        <f aca="false">'Ratings worksheet'!E103</f>
        <v>Nepal</v>
      </c>
      <c r="B103" s="65" t="str">
        <f aca="false">VLOOKUP(A103,'Ratings worksheet'!$A$2:$C$159,2,FALSE())</f>
        <v>NR</v>
      </c>
      <c r="C103" s="65" t="str">
        <f aca="false">VLOOKUP(A103,'Ratings worksheet'!$E$2:$H$159,4,FALSE())</f>
        <v>BB-</v>
      </c>
      <c r="D103" s="152" t="str">
        <f aca="false">IF(E103="NR",VLOOKUP(C103,'Sovereign Ratings (Moody''s,S&amp;P)'!$G$9:$H$34,2,FALSE()),E103)</f>
        <v>Ba3</v>
      </c>
      <c r="E103" s="153" t="str">
        <f aca="false">VLOOKUP(A103,'Ratings worksheet'!$A$2:$C$159,3,FALSE())</f>
        <v>NR</v>
      </c>
    </row>
    <row r="104" customFormat="false" ht="15.75" hidden="false" customHeight="false" outlineLevel="0" collapsed="false">
      <c r="A104" s="64" t="str">
        <f aca="false">'Ratings worksheet'!A104</f>
        <v>Netherlands</v>
      </c>
      <c r="B104" s="65" t="str">
        <f aca="false">VLOOKUP(A104,'Ratings worksheet'!$A$2:$C$159,2,FALSE())</f>
        <v>AAA</v>
      </c>
      <c r="C104" s="65" t="str">
        <f aca="false">VLOOKUP(A104,'Ratings worksheet'!$E$2:$H$159,4,FALSE())</f>
        <v>AAA</v>
      </c>
      <c r="D104" s="152" t="str">
        <f aca="false">IF(E104="NR",VLOOKUP(B104,'Sovereign Ratings (Moody''s,S&amp;P)'!$G$9:$H$34,2,FALSE()),E104)</f>
        <v>Aaa</v>
      </c>
      <c r="E104" s="153" t="str">
        <f aca="false">VLOOKUP(A104,'Ratings worksheet'!$A$2:$C$159,3,FALSE())</f>
        <v>Aaa</v>
      </c>
    </row>
    <row r="105" customFormat="false" ht="15.75" hidden="false" customHeight="false" outlineLevel="0" collapsed="false">
      <c r="A105" s="64" t="str">
        <f aca="false">'Ratings worksheet'!A105</f>
        <v>New Zealand</v>
      </c>
      <c r="B105" s="65" t="str">
        <f aca="false">VLOOKUP(A105,'Ratings worksheet'!$A$2:$C$159,2,FALSE())</f>
        <v>AA+</v>
      </c>
      <c r="C105" s="65" t="str">
        <f aca="false">VLOOKUP(A105,'Ratings worksheet'!$E$2:$H$159,4,FALSE())</f>
        <v>AA+</v>
      </c>
      <c r="D105" s="152" t="str">
        <f aca="false">IF(E105="NR",VLOOKUP(B105,'Sovereign Ratings (Moody''s,S&amp;P)'!$G$9:$H$34,2,FALSE()),E105)</f>
        <v>Aaa</v>
      </c>
      <c r="E105" s="153" t="str">
        <f aca="false">VLOOKUP(A105,'Ratings worksheet'!$A$2:$C$159,3,FALSE())</f>
        <v>Aaa</v>
      </c>
    </row>
    <row r="106" customFormat="false" ht="15.75" hidden="false" customHeight="false" outlineLevel="0" collapsed="false">
      <c r="A106" s="64" t="str">
        <f aca="false">'Ratings worksheet'!A106</f>
        <v>Nicaragua</v>
      </c>
      <c r="B106" s="65" t="str">
        <f aca="false">VLOOKUP(A106,'Ratings worksheet'!$A$2:$C$159,2,FALSE())</f>
        <v>B+</v>
      </c>
      <c r="C106" s="65" t="str">
        <f aca="false">VLOOKUP(A106,'Ratings worksheet'!$E$2:$H$159,4,FALSE())</f>
        <v>B</v>
      </c>
      <c r="D106" s="152" t="str">
        <f aca="false">IF(E106="NR",VLOOKUP(B106,'Sovereign Ratings (Moody''s,S&amp;P)'!$G$9:$H$34,2,FALSE()),E106)</f>
        <v>B2</v>
      </c>
      <c r="E106" s="153" t="str">
        <f aca="false">VLOOKUP(A106,'Ratings worksheet'!$A$2:$C$159,3,FALSE())</f>
        <v>B2</v>
      </c>
    </row>
    <row r="107" customFormat="false" ht="15.75" hidden="false" customHeight="false" outlineLevel="0" collapsed="false">
      <c r="A107" s="64" t="str">
        <f aca="false">'Ratings worksheet'!A107</f>
        <v>Niger</v>
      </c>
      <c r="B107" s="65" t="n">
        <f aca="false">VLOOKUP(A107,'Ratings worksheet'!$A$2:$C$159,2,FALSE())</f>
        <v>0</v>
      </c>
      <c r="C107" s="65" t="str">
        <f aca="false">VLOOKUP(A107,'Ratings worksheet'!$E$2:$H$159,4,FALSE())</f>
        <v>NR</v>
      </c>
      <c r="D107" s="152" t="str">
        <f aca="false">IF(E107="NR",VLOOKUP(B107,'Sovereign Ratings (Moody''s,S&amp;P)'!$G$9:$H$34,2,FALSE()),E107)</f>
        <v>Caa3</v>
      </c>
      <c r="E107" s="153" t="str">
        <f aca="false">VLOOKUP(A107,'Ratings worksheet'!$A$2:$C$159,3,FALSE())</f>
        <v>Caa3</v>
      </c>
    </row>
    <row r="108" customFormat="false" ht="15.75" hidden="false" customHeight="false" outlineLevel="0" collapsed="false">
      <c r="A108" s="64" t="str">
        <f aca="false">'Ratings worksheet'!A108</f>
        <v>Nigeria</v>
      </c>
      <c r="B108" s="65" t="str">
        <f aca="false">VLOOKUP(A108,'Ratings worksheet'!$A$2:$C$159,2,FALSE())</f>
        <v>B-</v>
      </c>
      <c r="C108" s="65" t="str">
        <f aca="false">VLOOKUP(A108,'Ratings worksheet'!$E$2:$H$159,4,FALSE())</f>
        <v>B</v>
      </c>
      <c r="D108" s="152" t="str">
        <f aca="false">IF(E108="NR",VLOOKUP(B108,'Sovereign Ratings (Moody''s,S&amp;P)'!$G$9:$H$34,2,FALSE()),E108)</f>
        <v>B3</v>
      </c>
      <c r="E108" s="153" t="str">
        <f aca="false">VLOOKUP(A108,'Ratings worksheet'!$A$2:$C$159,3,FALSE())</f>
        <v>B3</v>
      </c>
    </row>
    <row r="109" customFormat="false" ht="15.75" hidden="false" customHeight="false" outlineLevel="0" collapsed="false">
      <c r="A109" s="64" t="str">
        <f aca="false">'Ratings worksheet'!A109</f>
        <v>Norway</v>
      </c>
      <c r="B109" s="65" t="str">
        <f aca="false">VLOOKUP(A109,'Ratings worksheet'!$A$2:$C$159,2,FALSE())</f>
        <v>AAA</v>
      </c>
      <c r="C109" s="65" t="str">
        <f aca="false">VLOOKUP(A109,'Ratings worksheet'!$E$2:$H$159,4,FALSE())</f>
        <v>AAA</v>
      </c>
      <c r="D109" s="152" t="str">
        <f aca="false">IF(E109="NR",VLOOKUP(B109,'Sovereign Ratings (Moody''s,S&amp;P)'!$G$9:$H$34,2,FALSE()),E109)</f>
        <v>Aaa</v>
      </c>
      <c r="E109" s="153" t="str">
        <f aca="false">VLOOKUP(A109,'Ratings worksheet'!$A$2:$C$159,3,FALSE())</f>
        <v>Aaa</v>
      </c>
    </row>
    <row r="110" customFormat="false" ht="15.75" hidden="false" customHeight="false" outlineLevel="0" collapsed="false">
      <c r="A110" s="64" t="str">
        <f aca="false">'Ratings worksheet'!A110</f>
        <v>Oman</v>
      </c>
      <c r="B110" s="65" t="str">
        <f aca="false">VLOOKUP(A110,'Ratings worksheet'!$A$2:$C$159,2,FALSE())</f>
        <v>BBB-</v>
      </c>
      <c r="C110" s="65" t="str">
        <f aca="false">VLOOKUP(A110,'Ratings worksheet'!$E$2:$H$159,4,FALSE())</f>
        <v>BBB-</v>
      </c>
      <c r="D110" s="152" t="str">
        <f aca="false">IF(E110="NR",VLOOKUP(B110,'Sovereign Ratings (Moody''s,S&amp;P)'!$G$9:$H$34,2,FALSE()),E110)</f>
        <v>Baa3</v>
      </c>
      <c r="E110" s="153" t="str">
        <f aca="false">VLOOKUP(A110,'Ratings worksheet'!$A$2:$C$159,3,FALSE())</f>
        <v>Baa3</v>
      </c>
    </row>
    <row r="111" customFormat="false" ht="15.75" hidden="false" customHeight="false" outlineLevel="0" collapsed="false">
      <c r="A111" s="64" t="str">
        <f aca="false">'Ratings worksheet'!A111</f>
        <v>Pakistan</v>
      </c>
      <c r="B111" s="65" t="str">
        <f aca="false">VLOOKUP(A111,'Ratings worksheet'!$A$2:$C$159,2,FALSE())</f>
        <v>B-</v>
      </c>
      <c r="C111" s="65" t="str">
        <f aca="false">VLOOKUP(A111,'Ratings worksheet'!$E$2:$H$159,4,FALSE())</f>
        <v>B-</v>
      </c>
      <c r="D111" s="152" t="str">
        <f aca="false">IF(E111="NR",VLOOKUP(B111,'Sovereign Ratings (Moody''s,S&amp;P)'!$G$9:$H$34,2,FALSE()),E111)</f>
        <v>Caa1</v>
      </c>
      <c r="E111" s="153" t="str">
        <f aca="false">VLOOKUP(A111,'Ratings worksheet'!$A$2:$C$159,3,FALSE())</f>
        <v>Caa1</v>
      </c>
    </row>
    <row r="112" customFormat="false" ht="15.75" hidden="false" customHeight="false" outlineLevel="0" collapsed="false">
      <c r="A112" s="64" t="str">
        <f aca="false">'Ratings worksheet'!A112</f>
        <v>Panama</v>
      </c>
      <c r="B112" s="65" t="str">
        <f aca="false">VLOOKUP(A112,'Ratings worksheet'!$A$2:$C$159,2,FALSE())</f>
        <v>BBB-</v>
      </c>
      <c r="C112" s="65" t="str">
        <f aca="false">VLOOKUP(A112,'Ratings worksheet'!$E$2:$H$159,4,FALSE())</f>
        <v>BB+</v>
      </c>
      <c r="D112" s="152" t="str">
        <f aca="false">IF(E112="NR",VLOOKUP(B112,'Sovereign Ratings (Moody''s,S&amp;P)'!$G$9:$H$34,2,FALSE()),E112)</f>
        <v>Baa3</v>
      </c>
      <c r="E112" s="153" t="str">
        <f aca="false">VLOOKUP(A112,'Ratings worksheet'!$A$2:$C$159,3,FALSE())</f>
        <v>Baa3</v>
      </c>
    </row>
    <row r="113" customFormat="false" ht="15.75" hidden="false" customHeight="false" outlineLevel="0" collapsed="false">
      <c r="A113" s="64" t="str">
        <f aca="false">'Ratings worksheet'!A113</f>
        <v>Papua New Guinea</v>
      </c>
      <c r="B113" s="65" t="str">
        <f aca="false">VLOOKUP(A113,'Ratings worksheet'!$A$2:$C$159,2,FALSE())</f>
        <v>B-</v>
      </c>
      <c r="C113" s="65" t="str">
        <f aca="false">VLOOKUP(A113,'Ratings worksheet'!$E$2:$H$159,4,FALSE())</f>
        <v>B+</v>
      </c>
      <c r="D113" s="152" t="str">
        <f aca="false">IF(E113="NR",VLOOKUP(B113,'Sovereign Ratings (Moody''s,S&amp;P)'!$G$9:$H$34,2,FALSE()),E113)</f>
        <v>B2</v>
      </c>
      <c r="E113" s="153" t="str">
        <f aca="false">VLOOKUP(A113,'Ratings worksheet'!$A$2:$C$159,3,FALSE())</f>
        <v>B2</v>
      </c>
    </row>
    <row r="114" customFormat="false" ht="15.75" hidden="false" customHeight="false" outlineLevel="0" collapsed="false">
      <c r="A114" s="64" t="str">
        <f aca="false">'Ratings worksheet'!A114</f>
        <v>Paraguay</v>
      </c>
      <c r="B114" s="65" t="str">
        <f aca="false">VLOOKUP(A114,'Ratings worksheet'!$A$2:$C$159,2,FALSE())</f>
        <v>BBB-</v>
      </c>
      <c r="C114" s="65" t="str">
        <f aca="false">VLOOKUP(A114,'Ratings worksheet'!$E$2:$H$159,4,FALSE())</f>
        <v>BB+</v>
      </c>
      <c r="D114" s="152" t="str">
        <f aca="false">IF(E114="NR",VLOOKUP(B114,'Sovereign Ratings (Moody''s,S&amp;P)'!$G$9:$H$34,2,FALSE()),E114)</f>
        <v>Baa3</v>
      </c>
      <c r="E114" s="153" t="str">
        <f aca="false">VLOOKUP(A114,'Ratings worksheet'!$A$2:$C$159,3,FALSE())</f>
        <v>Baa3</v>
      </c>
    </row>
    <row r="115" customFormat="false" ht="15.75" hidden="false" customHeight="false" outlineLevel="0" collapsed="false">
      <c r="A115" s="64" t="str">
        <f aca="false">'Ratings worksheet'!A115</f>
        <v>Peru</v>
      </c>
      <c r="B115" s="65" t="str">
        <f aca="false">VLOOKUP(A115,'Ratings worksheet'!$A$2:$C$159,2,FALSE())</f>
        <v>BBB-</v>
      </c>
      <c r="C115" s="65" t="str">
        <f aca="false">VLOOKUP(A115,'Ratings worksheet'!$E$2:$H$159,4,FALSE())</f>
        <v>BBB</v>
      </c>
      <c r="D115" s="152" t="str">
        <f aca="false">IF(E115="NR",VLOOKUP(B115,'Sovereign Ratings (Moody''s,S&amp;P)'!$G$9:$H$34,2,FALSE()),E115)</f>
        <v>Baa1</v>
      </c>
      <c r="E115" s="153" t="str">
        <f aca="false">VLOOKUP(A115,'Ratings worksheet'!$A$2:$C$159,3,FALSE())</f>
        <v>Baa1</v>
      </c>
    </row>
    <row r="116" customFormat="false" ht="15.75" hidden="false" customHeight="false" outlineLevel="0" collapsed="false">
      <c r="A116" s="64" t="str">
        <f aca="false">'Ratings worksheet'!A116</f>
        <v>Philippines</v>
      </c>
      <c r="B116" s="65" t="str">
        <f aca="false">VLOOKUP(A116,'Ratings worksheet'!$A$2:$C$159,2,FALSE())</f>
        <v>BBB+</v>
      </c>
      <c r="C116" s="65" t="str">
        <f aca="false">VLOOKUP(A116,'Ratings worksheet'!$E$2:$H$159,4,FALSE())</f>
        <v>BBB</v>
      </c>
      <c r="D116" s="152" t="str">
        <f aca="false">IF(E116="NR",VLOOKUP(B116,'Sovereign Ratings (Moody''s,S&amp;P)'!$G$9:$H$34,2,FALSE()),E116)</f>
        <v>Baa2</v>
      </c>
      <c r="E116" s="153" t="str">
        <f aca="false">VLOOKUP(A116,'Ratings worksheet'!$A$2:$C$159,3,FALSE())</f>
        <v>Baa2</v>
      </c>
    </row>
    <row r="117" customFormat="false" ht="15.75" hidden="false" customHeight="false" outlineLevel="0" collapsed="false">
      <c r="A117" s="64" t="str">
        <f aca="false">'Ratings worksheet'!A117</f>
        <v>Poland</v>
      </c>
      <c r="B117" s="65" t="str">
        <f aca="false">VLOOKUP(A117,'Ratings worksheet'!$A$2:$C$159,2,FALSE())</f>
        <v>A-</v>
      </c>
      <c r="C117" s="65" t="str">
        <f aca="false">VLOOKUP(A117,'Ratings worksheet'!$E$2:$H$159,4,FALSE())</f>
        <v>A-</v>
      </c>
      <c r="D117" s="152" t="str">
        <f aca="false">IF(E117="NR",VLOOKUP(B117,'Sovereign Ratings (Moody''s,S&amp;P)'!$G$9:$H$34,2,FALSE()),E117)</f>
        <v>A2</v>
      </c>
      <c r="E117" s="153" t="str">
        <f aca="false">VLOOKUP(A117,'Ratings worksheet'!$A$2:$C$159,3,FALSE())</f>
        <v>A2</v>
      </c>
    </row>
    <row r="118" customFormat="false" ht="15.75" hidden="false" customHeight="false" outlineLevel="0" collapsed="false">
      <c r="A118" s="64" t="str">
        <f aca="false">'Ratings worksheet'!A118</f>
        <v>Portugal</v>
      </c>
      <c r="B118" s="65" t="str">
        <f aca="false">VLOOKUP(A118,'Ratings worksheet'!$A$2:$C$159,2,FALSE())</f>
        <v>A+</v>
      </c>
      <c r="C118" s="65" t="str">
        <f aca="false">VLOOKUP(A118,'Ratings worksheet'!$E$2:$H$159,4,FALSE())</f>
        <v>A</v>
      </c>
      <c r="D118" s="152" t="str">
        <f aca="false">IF(E118="NR",VLOOKUP(B118,'Sovereign Ratings (Moody''s,S&amp;P)'!$G$9:$H$34,2,FALSE()),E118)</f>
        <v>A3</v>
      </c>
      <c r="E118" s="153" t="str">
        <f aca="false">VLOOKUP(A118,'Ratings worksheet'!$A$2:$C$159,3,FALSE())</f>
        <v>A3</v>
      </c>
    </row>
    <row r="119" customFormat="false" ht="15.75" hidden="false" customHeight="false" outlineLevel="0" collapsed="false">
      <c r="A119" s="64" t="str">
        <f aca="false">'Ratings worksheet'!A119</f>
        <v>Qatar</v>
      </c>
      <c r="B119" s="65" t="str">
        <f aca="false">VLOOKUP(A119,'Ratings worksheet'!$A$2:$C$159,2,FALSE())</f>
        <v>AA</v>
      </c>
      <c r="C119" s="65" t="str">
        <f aca="false">VLOOKUP(A119,'Ratings worksheet'!$E$2:$H$159,4,FALSE())</f>
        <v>AA</v>
      </c>
      <c r="D119" s="152" t="str">
        <f aca="false">IF(E119="NR",VLOOKUP(B119,'Sovereign Ratings (Moody''s,S&amp;P)'!$G$9:$H$34,2,FALSE()),E119)</f>
        <v>Aa2</v>
      </c>
      <c r="E119" s="153" t="str">
        <f aca="false">VLOOKUP(A119,'Ratings worksheet'!$A$2:$C$159,3,FALSE())</f>
        <v>Aa2</v>
      </c>
    </row>
    <row r="120" customFormat="false" ht="15.75" hidden="false" customHeight="false" outlineLevel="0" collapsed="false">
      <c r="A120" s="64" t="str">
        <f aca="false">'Ratings worksheet'!A120</f>
        <v>Ras Al Khaimah (Emirate of)</v>
      </c>
      <c r="B120" s="65" t="str">
        <f aca="false">VLOOKUP(A120,'Ratings worksheet'!$A$2:$C$159,2,FALSE())</f>
        <v>A-</v>
      </c>
      <c r="C120" s="65" t="e">
        <f aca="false">VLOOKUP(A120,'Ratings worksheet'!$E$2:$H$159,4,FALSE())</f>
        <v>#N/A</v>
      </c>
      <c r="D120" s="152" t="str">
        <f aca="false">IF(E120="NR",VLOOKUP(B120,'Sovereign Ratings (Moody''s,S&amp;P)'!$G$9:$H$34,2,FALSE()),E120)</f>
        <v>A3</v>
      </c>
      <c r="E120" s="153" t="str">
        <f aca="false">VLOOKUP(A120,'Ratings worksheet'!$A$2:$C$159,3,FALSE())</f>
        <v>A3</v>
      </c>
    </row>
    <row r="121" customFormat="false" ht="15.75" hidden="false" customHeight="false" outlineLevel="0" collapsed="false">
      <c r="A121" s="64" t="str">
        <f aca="false">'Ratings worksheet'!A121</f>
        <v>Romania</v>
      </c>
      <c r="B121" s="65" t="str">
        <f aca="false">VLOOKUP(A121,'Ratings worksheet'!$A$2:$C$159,2,FALSE())</f>
        <v>BBB-</v>
      </c>
      <c r="C121" s="65" t="str">
        <f aca="false">VLOOKUP(A121,'Ratings worksheet'!$E$2:$H$159,4,FALSE())</f>
        <v>BBB-</v>
      </c>
      <c r="D121" s="152" t="str">
        <f aca="false">IF(E121="NR",VLOOKUP(B121,'Sovereign Ratings (Moody''s,S&amp;P)'!$G$9:$H$34,2,FALSE()),E121)</f>
        <v>Baa3</v>
      </c>
      <c r="E121" s="153" t="str">
        <f aca="false">VLOOKUP(A121,'Ratings worksheet'!$A$2:$C$159,3,FALSE())</f>
        <v>Baa3</v>
      </c>
    </row>
    <row r="122" customFormat="false" ht="15.75" hidden="false" customHeight="false" outlineLevel="0" collapsed="false">
      <c r="A122" s="64" t="str">
        <f aca="false">'Ratings worksheet'!A123</f>
        <v>Rwanda</v>
      </c>
      <c r="B122" s="65" t="str">
        <f aca="false">VLOOKUP(A122,'Ratings worksheet'!$A$2:$C$159,2,FALSE())</f>
        <v>B+</v>
      </c>
      <c r="C122" s="65" t="str">
        <f aca="false">VLOOKUP(A122,'Ratings worksheet'!$E$2:$H$159,4,FALSE())</f>
        <v>B+</v>
      </c>
      <c r="D122" s="152" t="str">
        <f aca="false">IF(E122="NR",VLOOKUP(B122,'Sovereign Ratings (Moody''s,S&amp;P)'!$G$9:$H$34,2,FALSE()),E122)</f>
        <v>B2</v>
      </c>
      <c r="E122" s="153" t="str">
        <f aca="false">VLOOKUP(A122,'Ratings worksheet'!$A$2:$C$159,3,FALSE())</f>
        <v>B2</v>
      </c>
    </row>
    <row r="123" customFormat="false" ht="15.75" hidden="false" customHeight="false" outlineLevel="0" collapsed="false">
      <c r="A123" s="64" t="str">
        <f aca="false">'Ratings worksheet'!A124</f>
        <v>Saudi Arabia</v>
      </c>
      <c r="B123" s="65" t="str">
        <f aca="false">VLOOKUP(A123,'Ratings worksheet'!$A$2:$C$159,2,FALSE())</f>
        <v>A+</v>
      </c>
      <c r="C123" s="65" t="str">
        <f aca="false">VLOOKUP(A123,'Ratings worksheet'!$E$2:$H$159,4,FALSE())</f>
        <v>A+</v>
      </c>
      <c r="D123" s="152" t="str">
        <f aca="false">IF(E123="NR",VLOOKUP(B123,'Sovereign Ratings (Moody''s,S&amp;P)'!$G$9:$H$34,2,FALSE()),E123)</f>
        <v>Aa3</v>
      </c>
      <c r="E123" s="153" t="str">
        <f aca="false">VLOOKUP(A123,'Ratings worksheet'!$A$2:$C$159,3,FALSE())</f>
        <v>Aa3</v>
      </c>
    </row>
    <row r="124" customFormat="false" ht="15.75" hidden="false" customHeight="false" outlineLevel="0" collapsed="false">
      <c r="A124" s="64" t="str">
        <f aca="false">'Ratings worksheet'!A125</f>
        <v>Senegal</v>
      </c>
      <c r="B124" s="65" t="str">
        <f aca="false">VLOOKUP(A124,'Ratings worksheet'!$A$2:$C$159,2,FALSE())</f>
        <v>CCC+</v>
      </c>
      <c r="C124" s="65" t="str">
        <f aca="false">VLOOKUP(A124,'Ratings worksheet'!$E$2:$H$159,4,FALSE())</f>
        <v>NR</v>
      </c>
      <c r="D124" s="152" t="str">
        <f aca="false">IF(E124="NR",VLOOKUP(B124,'Sovereign Ratings (Moody''s,S&amp;P)'!$G$9:$H$34,2,FALSE()),E124)</f>
        <v>Caa1</v>
      </c>
      <c r="E124" s="153" t="str">
        <f aca="false">VLOOKUP(A124,'Ratings worksheet'!$A$2:$C$159,3,FALSE())</f>
        <v>Caa1</v>
      </c>
    </row>
    <row r="125" customFormat="false" ht="15.75" hidden="false" customHeight="false" outlineLevel="0" collapsed="false">
      <c r="A125" s="64" t="str">
        <f aca="false">'Ratings worksheet'!A126</f>
        <v>Serbia</v>
      </c>
      <c r="B125" s="65" t="str">
        <f aca="false">VLOOKUP(A125,'Ratings worksheet'!$A$2:$C$159,2,FALSE())</f>
        <v>BBB-</v>
      </c>
      <c r="C125" s="65" t="str">
        <f aca="false">VLOOKUP(A125,'Ratings worksheet'!$E$2:$H$159,4,FALSE())</f>
        <v>BB+</v>
      </c>
      <c r="D125" s="152" t="str">
        <f aca="false">IF(E125="NR",VLOOKUP(B125,'Sovereign Ratings (Moody''s,S&amp;P)'!$G$9:$H$34,2,FALSE()),E125)</f>
        <v>Ba2</v>
      </c>
      <c r="E125" s="153" t="str">
        <f aca="false">VLOOKUP(A125,'Ratings worksheet'!$A$2:$C$159,3,FALSE())</f>
        <v>Ba2</v>
      </c>
    </row>
    <row r="126" customFormat="false" ht="15.75" hidden="false" customHeight="false" outlineLevel="0" collapsed="false">
      <c r="A126" s="64" t="str">
        <f aca="false">'Ratings worksheet'!A127</f>
        <v>Sharjah</v>
      </c>
      <c r="B126" s="65" t="str">
        <f aca="false">VLOOKUP(A126,'Ratings worksheet'!$A$2:$C$159,2,FALSE())</f>
        <v>NR</v>
      </c>
      <c r="C126" s="65" t="e">
        <f aca="false">VLOOKUP(A126,'Ratings worksheet'!$E$2:$H$159,4,FALSE())</f>
        <v>#N/A</v>
      </c>
      <c r="D126" s="152" t="str">
        <f aca="false">IF(E126="NR",VLOOKUP(B126,'Sovereign Ratings (Moody''s,S&amp;P)'!$G$9:$H$34,2,FALSE()),E126)</f>
        <v>Ba1</v>
      </c>
      <c r="E126" s="153" t="str">
        <f aca="false">VLOOKUP(A126,'Ratings worksheet'!$A$2:$C$159,3,FALSE())</f>
        <v>Ba1</v>
      </c>
    </row>
    <row r="127" customFormat="false" ht="15.75" hidden="false" customHeight="false" outlineLevel="0" collapsed="false">
      <c r="A127" s="64" t="str">
        <f aca="false">'Ratings worksheet'!A128</f>
        <v>Singapore</v>
      </c>
      <c r="B127" s="65" t="str">
        <f aca="false">VLOOKUP(A127,'Ratings worksheet'!$A$2:$C$159,2,FALSE())</f>
        <v>AAA</v>
      </c>
      <c r="C127" s="65" t="str">
        <f aca="false">VLOOKUP(A127,'Ratings worksheet'!$E$2:$H$159,4,FALSE())</f>
        <v>AAA</v>
      </c>
      <c r="D127" s="152" t="str">
        <f aca="false">IF(E127="NR",VLOOKUP(B127,'Sovereign Ratings (Moody''s,S&amp;P)'!$G$9:$H$34,2,FALSE()),E127)</f>
        <v>Aaa</v>
      </c>
      <c r="E127" s="153" t="str">
        <f aca="false">VLOOKUP(A127,'Ratings worksheet'!$A$2:$C$159,3,FALSE())</f>
        <v>Aaa</v>
      </c>
    </row>
    <row r="128" customFormat="false" ht="15.75" hidden="false" customHeight="false" outlineLevel="0" collapsed="false">
      <c r="A128" s="64" t="str">
        <f aca="false">'Ratings worksheet'!A129</f>
        <v>Slovakia</v>
      </c>
      <c r="B128" s="65" t="str">
        <f aca="false">VLOOKUP(A128,'Ratings worksheet'!$A$2:$C$159,2,FALSE())</f>
        <v>A+</v>
      </c>
      <c r="C128" s="65" t="str">
        <f aca="false">VLOOKUP(A128,'Ratings worksheet'!$E$2:$H$159,4,FALSE())</f>
        <v>A-</v>
      </c>
      <c r="D128" s="152" t="str">
        <f aca="false">IF(E128="NR",VLOOKUP(B128,'Sovereign Ratings (Moody''s,S&amp;P)'!$G$9:$H$34,2,FALSE()),E128)</f>
        <v>A3</v>
      </c>
      <c r="E128" s="153" t="str">
        <f aca="false">VLOOKUP(A128,'Ratings worksheet'!$A$2:$C$159,3,FALSE())</f>
        <v>A3</v>
      </c>
    </row>
    <row r="129" customFormat="false" ht="15.75" hidden="false" customHeight="false" outlineLevel="0" collapsed="false">
      <c r="A129" s="64" t="str">
        <f aca="false">'Ratings worksheet'!A130</f>
        <v>Slovenia</v>
      </c>
      <c r="B129" s="65" t="str">
        <f aca="false">VLOOKUP(A129,'Ratings worksheet'!$A$2:$C$159,2,FALSE())</f>
        <v>AA</v>
      </c>
      <c r="C129" s="65" t="str">
        <f aca="false">VLOOKUP(A129,'Ratings worksheet'!$E$2:$H$159,4,FALSE())</f>
        <v>A+</v>
      </c>
      <c r="D129" s="152" t="str">
        <f aca="false">IF(E129="NR",VLOOKUP(B129,'Sovereign Ratings (Moody''s,S&amp;P)'!$G$9:$H$34,2,FALSE()),E129)</f>
        <v>A3</v>
      </c>
      <c r="E129" s="153" t="str">
        <f aca="false">VLOOKUP(A129,'Ratings worksheet'!$A$2:$C$159,3,FALSE())</f>
        <v>A3</v>
      </c>
    </row>
    <row r="130" customFormat="false" ht="15.75" hidden="false" customHeight="false" outlineLevel="0" collapsed="false">
      <c r="A130" s="64" t="str">
        <f aca="false">'Ratings worksheet'!A131</f>
        <v>Solomon Islands</v>
      </c>
      <c r="B130" s="65" t="n">
        <f aca="false">VLOOKUP(A130,'Ratings worksheet'!$A$2:$C$159,2,FALSE())</f>
        <v>0</v>
      </c>
      <c r="C130" s="65" t="str">
        <f aca="false">VLOOKUP(A130,'Ratings worksheet'!$E$2:$H$159,4,FALSE())</f>
        <v>NR</v>
      </c>
      <c r="D130" s="152" t="str">
        <f aca="false">IF(E130="NR",VLOOKUP(B130,'Sovereign Ratings (Moody''s,S&amp;P)'!$G$9:$H$34,2,FALSE()),E130)</f>
        <v>Caa1</v>
      </c>
      <c r="E130" s="153" t="str">
        <f aca="false">VLOOKUP(A130,'Ratings worksheet'!$A$2:$C$159,3,FALSE())</f>
        <v>Caa1</v>
      </c>
    </row>
    <row r="131" customFormat="false" ht="15.75" hidden="false" customHeight="false" outlineLevel="0" collapsed="false">
      <c r="A131" s="64" t="str">
        <f aca="false">'Ratings worksheet'!A132</f>
        <v>South Africa</v>
      </c>
      <c r="B131" s="65" t="str">
        <f aca="false">VLOOKUP(A131,'Ratings worksheet'!$A$2:$C$159,2,FALSE())</f>
        <v>BB</v>
      </c>
      <c r="C131" s="65" t="str">
        <f aca="false">VLOOKUP(A131,'Ratings worksheet'!$E$2:$H$159,4,FALSE())</f>
        <v>BB-</v>
      </c>
      <c r="D131" s="152" t="str">
        <f aca="false">IF(E131="NR",VLOOKUP(B131,'Sovereign Ratings (Moody''s,S&amp;P)'!$G$9:$H$34,2,FALSE()),E131)</f>
        <v>Ba2</v>
      </c>
      <c r="E131" s="153" t="str">
        <f aca="false">VLOOKUP(A131,'Ratings worksheet'!$A$2:$C$159,3,FALSE())</f>
        <v>Ba2</v>
      </c>
    </row>
    <row r="132" customFormat="false" ht="15.75" hidden="false" customHeight="false" outlineLevel="0" collapsed="false">
      <c r="A132" s="64" t="str">
        <f aca="false">'Ratings worksheet'!A133</f>
        <v>Spain</v>
      </c>
      <c r="B132" s="65" t="str">
        <f aca="false">VLOOKUP(A132,'Ratings worksheet'!$A$2:$C$159,2,FALSE())</f>
        <v>A+</v>
      </c>
      <c r="C132" s="65" t="str">
        <f aca="false">VLOOKUP(A132,'Ratings worksheet'!$E$2:$H$159,4,FALSE())</f>
        <v>A</v>
      </c>
      <c r="D132" s="152" t="str">
        <f aca="false">IF(E132="NR",VLOOKUP(B132,'Sovereign Ratings (Moody''s,S&amp;P)'!$G$9:$H$34,2,FALSE()),E132)</f>
        <v>A3</v>
      </c>
      <c r="E132" s="153" t="str">
        <f aca="false">VLOOKUP(A132,'Ratings worksheet'!$A$2:$C$159,3,FALSE())</f>
        <v>A3</v>
      </c>
    </row>
    <row r="133" customFormat="false" ht="15.75" hidden="false" customHeight="false" outlineLevel="0" collapsed="false">
      <c r="A133" s="64" t="str">
        <f aca="false">'Ratings worksheet'!A134</f>
        <v>Sri Lanka</v>
      </c>
      <c r="B133" s="65" t="str">
        <f aca="false">VLOOKUP(A133,'Ratings worksheet'!$A$2:$C$159,2,FALSE())</f>
        <v>CCC+</v>
      </c>
      <c r="C133" s="65" t="str">
        <f aca="false">VLOOKUP(A133,'Ratings worksheet'!$E$2:$H$159,4,FALSE())</f>
        <v>CCC+</v>
      </c>
      <c r="D133" s="152" t="str">
        <f aca="false">IF(E133="NR",VLOOKUP(B133,'Sovereign Ratings (Moody''s,S&amp;P)'!$G$9:$H$34,2,FALSE()),E133)</f>
        <v>Ca</v>
      </c>
      <c r="E133" s="153" t="str">
        <f aca="false">VLOOKUP(A133,'Ratings worksheet'!$A$2:$C$159,3,FALSE())</f>
        <v>Ca</v>
      </c>
    </row>
    <row r="134" customFormat="false" ht="15.75" hidden="false" customHeight="false" outlineLevel="0" collapsed="false">
      <c r="A134" s="64" t="str">
        <f aca="false">'Ratings worksheet'!A135</f>
        <v>St. Maarten</v>
      </c>
      <c r="B134" s="65" t="str">
        <f aca="false">VLOOKUP(A134,'Ratings worksheet'!$A$2:$C$159,2,FALSE())</f>
        <v>NA</v>
      </c>
      <c r="C134" s="65" t="e">
        <f aca="false">VLOOKUP(A134,'Ratings worksheet'!$E$2:$H$159,4,FALSE())</f>
        <v>#N/A</v>
      </c>
      <c r="D134" s="152" t="str">
        <f aca="false">IF(E134="NR",VLOOKUP(B134,'Sovereign Ratings (Moody''s,S&amp;P)'!$G$9:$H$34,2,FALSE()),E134)</f>
        <v>Ba2</v>
      </c>
      <c r="E134" s="153" t="str">
        <f aca="false">VLOOKUP(A134,'Ratings worksheet'!$A$2:$C$159,3,FALSE())</f>
        <v>Ba2</v>
      </c>
    </row>
    <row r="135" customFormat="false" ht="15.75" hidden="false" customHeight="false" outlineLevel="0" collapsed="false">
      <c r="A135" s="64" t="str">
        <f aca="false">'Ratings worksheet'!A136</f>
        <v>St. Vincent &amp; the Grenadines</v>
      </c>
      <c r="B135" s="65" t="str">
        <f aca="false">VLOOKUP(A135,'Ratings worksheet'!$A$2:$C$159,2,FALSE())</f>
        <v>NR</v>
      </c>
      <c r="C135" s="65" t="e">
        <f aca="false">VLOOKUP(A135,'Ratings worksheet'!$E$2:$H$159,4,FALSE())</f>
        <v>#N/A</v>
      </c>
      <c r="D135" s="152" t="str">
        <f aca="false">IF(E135="NR",VLOOKUP(B135,'Sovereign Ratings (Moody''s,S&amp;P)'!$G$9:$H$34,2,FALSE()),E135)</f>
        <v>B3</v>
      </c>
      <c r="E135" s="153" t="str">
        <f aca="false">VLOOKUP(A135,'Ratings worksheet'!$A$2:$C$159,3,FALSE())</f>
        <v>B3</v>
      </c>
    </row>
    <row r="136" customFormat="false" ht="15.75" hidden="false" customHeight="false" outlineLevel="0" collapsed="false">
      <c r="A136" s="64" t="str">
        <f aca="false">'Ratings worksheet'!A137</f>
        <v>Suriname</v>
      </c>
      <c r="B136" s="65" t="str">
        <f aca="false">VLOOKUP(A136,'Ratings worksheet'!$A$2:$C$159,2,FALSE())</f>
        <v>CCC+</v>
      </c>
      <c r="C136" s="65" t="str">
        <f aca="false">VLOOKUP(A136,'Ratings worksheet'!$E$2:$H$159,4,FALSE())</f>
        <v>C</v>
      </c>
      <c r="D136" s="152" t="str">
        <f aca="false">IF(E136="NR",VLOOKUP(B136,'Sovereign Ratings (Moody''s,S&amp;P)'!$G$9:$H$34,2,FALSE()),E136)</f>
        <v>Caa1</v>
      </c>
      <c r="E136" s="153" t="str">
        <f aca="false">VLOOKUP(A136,'Ratings worksheet'!$A$2:$C$159,3,FALSE())</f>
        <v>Caa1</v>
      </c>
    </row>
    <row r="137" customFormat="false" ht="15.75" hidden="false" customHeight="false" outlineLevel="0" collapsed="false">
      <c r="A137" s="64" t="str">
        <f aca="false">'Ratings worksheet'!A138</f>
        <v>Swaziland</v>
      </c>
      <c r="B137" s="65" t="e">
        <f aca="false">VLOOKUP(A137,'Ratings worksheet'!$A$2:$C$159,2,FALSE())</f>
        <v>#N/A</v>
      </c>
      <c r="C137" s="65" t="e">
        <f aca="false">VLOOKUP(A137,'Ratings worksheet'!$E$2:$H$159,4,FALSE())</f>
        <v>#N/A</v>
      </c>
      <c r="D137" s="152" t="str">
        <f aca="false">IF(E137="NR",VLOOKUP(B137,'Sovereign Ratings (Moody''s,S&amp;P)'!$G$9:$H$34,2,FALSE()),E137)</f>
        <v>B2</v>
      </c>
      <c r="E137" s="153" t="str">
        <f aca="false">VLOOKUP(A137,'Ratings worksheet'!$A$2:$C$159,3,FALSE())</f>
        <v>B2</v>
      </c>
    </row>
    <row r="138" customFormat="false" ht="15.75" hidden="false" customHeight="false" outlineLevel="0" collapsed="false">
      <c r="A138" s="64" t="str">
        <f aca="false">'Ratings worksheet'!A139</f>
        <v>Sweden</v>
      </c>
      <c r="B138" s="65" t="str">
        <f aca="false">VLOOKUP(A138,'Ratings worksheet'!$A$2:$C$159,2,FALSE())</f>
        <v>AAA</v>
      </c>
      <c r="C138" s="65" t="str">
        <f aca="false">VLOOKUP(A138,'Ratings worksheet'!$E$2:$H$159,4,FALSE())</f>
        <v>AAA</v>
      </c>
      <c r="D138" s="152" t="str">
        <f aca="false">IF(E138="NR",VLOOKUP(B138,'Sovereign Ratings (Moody''s,S&amp;P)'!$G$9:$H$34,2,FALSE()),E138)</f>
        <v>Aaa</v>
      </c>
      <c r="E138" s="153" t="str">
        <f aca="false">VLOOKUP(A138,'Ratings worksheet'!$A$2:$C$159,3,FALSE())</f>
        <v>Aaa</v>
      </c>
    </row>
    <row r="139" customFormat="false" ht="15.75" hidden="false" customHeight="false" outlineLevel="0" collapsed="false">
      <c r="A139" s="64" t="str">
        <f aca="false">'Ratings worksheet'!A140</f>
        <v>Switzerland</v>
      </c>
      <c r="B139" s="65" t="str">
        <f aca="false">VLOOKUP(A139,'Ratings worksheet'!$A$2:$C$159,2,FALSE())</f>
        <v>AAA</v>
      </c>
      <c r="C139" s="65" t="str">
        <f aca="false">VLOOKUP(A139,'Ratings worksheet'!$E$2:$H$159,4,FALSE())</f>
        <v>AAA</v>
      </c>
      <c r="D139" s="152" t="str">
        <f aca="false">IF(E139="NR",VLOOKUP(B139,'Sovereign Ratings (Moody''s,S&amp;P)'!$G$9:$H$34,2,FALSE()),E139)</f>
        <v>Aaa</v>
      </c>
      <c r="E139" s="153" t="str">
        <f aca="false">VLOOKUP(A139,'Ratings worksheet'!$A$2:$C$159,3,FALSE())</f>
        <v>Aaa</v>
      </c>
    </row>
    <row r="140" customFormat="false" ht="15.75" hidden="false" customHeight="false" outlineLevel="0" collapsed="false">
      <c r="A140" s="64" t="str">
        <f aca="false">'Ratings worksheet'!A141</f>
        <v>Taiwan</v>
      </c>
      <c r="B140" s="65" t="str">
        <f aca="false">VLOOKUP(A140,'Ratings worksheet'!$A$2:$C$159,2,FALSE())</f>
        <v>AA+</v>
      </c>
      <c r="C140" s="65" t="str">
        <f aca="false">VLOOKUP(A140,'Ratings worksheet'!$E$2:$H$159,4,FALSE())</f>
        <v>AA</v>
      </c>
      <c r="D140" s="152" t="str">
        <f aca="false">IF(E140="NR",VLOOKUP(B140,'Sovereign Ratings (Moody''s,S&amp;P)'!$G$9:$H$34,2,FALSE()),E140)</f>
        <v>Aa3</v>
      </c>
      <c r="E140" s="153" t="str">
        <f aca="false">VLOOKUP(A140,'Ratings worksheet'!$A$2:$C$159,3,FALSE())</f>
        <v>Aa3</v>
      </c>
    </row>
    <row r="141" customFormat="false" ht="15.75" hidden="false" customHeight="false" outlineLevel="0" collapsed="false">
      <c r="A141" s="64" t="str">
        <f aca="false">'Ratings worksheet'!A142</f>
        <v>Tajikistan</v>
      </c>
      <c r="B141" s="65" t="str">
        <f aca="false">VLOOKUP(A141,'Ratings worksheet'!$A$2:$C$159,2,FALSE())</f>
        <v>B</v>
      </c>
      <c r="C141" s="65" t="str">
        <f aca="false">VLOOKUP(A141,'Ratings worksheet'!$E$2:$H$159,4,FALSE())</f>
        <v>NR</v>
      </c>
      <c r="D141" s="152" t="str">
        <f aca="false">IF(E141="NR",VLOOKUP(B141,'Sovereign Ratings (Moody''s,S&amp;P)'!$G$9:$H$34,2,FALSE()),E141)</f>
        <v>B3</v>
      </c>
      <c r="E141" s="153" t="str">
        <f aca="false">VLOOKUP(A141,'Ratings worksheet'!$A$2:$C$159,3,FALSE())</f>
        <v>B3</v>
      </c>
    </row>
    <row r="142" customFormat="false" ht="15.75" hidden="false" customHeight="false" outlineLevel="0" collapsed="false">
      <c r="A142" s="64" t="str">
        <f aca="false">'Ratings worksheet'!A143</f>
        <v>Tanzania</v>
      </c>
      <c r="B142" s="65" t="str">
        <f aca="false">VLOOKUP(A142,'Ratings worksheet'!$A$2:$C$159,2,FALSE())</f>
        <v>NR</v>
      </c>
      <c r="C142" s="65" t="str">
        <f aca="false">VLOOKUP(A142,'Ratings worksheet'!$E$2:$H$159,4,FALSE())</f>
        <v>B+</v>
      </c>
      <c r="D142" s="152" t="str">
        <f aca="false">IF(E142="NR",VLOOKUP(B142,'Sovereign Ratings (Moody''s,S&amp;P)'!$G$9:$H$34,2,FALSE()),E142)</f>
        <v>B1</v>
      </c>
      <c r="E142" s="153" t="str">
        <f aca="false">VLOOKUP(A142,'Ratings worksheet'!$A$2:$C$159,3,FALSE())</f>
        <v>B1</v>
      </c>
    </row>
    <row r="143" customFormat="false" ht="15.75" hidden="false" customHeight="false" outlineLevel="0" collapsed="false">
      <c r="A143" s="64" t="str">
        <f aca="false">'Ratings worksheet'!A144</f>
        <v>Thailand</v>
      </c>
      <c r="B143" s="65" t="str">
        <f aca="false">VLOOKUP(A143,'Ratings worksheet'!$A$2:$C$159,2,FALSE())</f>
        <v>BBB+</v>
      </c>
      <c r="C143" s="65" t="str">
        <f aca="false">VLOOKUP(A143,'Ratings worksheet'!$E$2:$H$159,4,FALSE())</f>
        <v>BBB+</v>
      </c>
      <c r="D143" s="152" t="str">
        <f aca="false">IF(E143="NR",VLOOKUP(B143,'Sovereign Ratings (Moody''s,S&amp;P)'!$G$9:$H$34,2,FALSE()),E143)</f>
        <v>Baa1</v>
      </c>
      <c r="E143" s="153" t="str">
        <f aca="false">VLOOKUP(A143,'Ratings worksheet'!$A$2:$C$159,3,FALSE())</f>
        <v>Baa1</v>
      </c>
    </row>
    <row r="144" customFormat="false" ht="15.75" hidden="false" customHeight="false" outlineLevel="0" collapsed="false">
      <c r="A144" s="64" t="str">
        <f aca="false">'Ratings worksheet'!A145</f>
        <v>Togo</v>
      </c>
      <c r="B144" s="65" t="str">
        <f aca="false">VLOOKUP(A144,'Ratings worksheet'!$A$2:$C$159,2,FALSE())</f>
        <v>B+</v>
      </c>
      <c r="C144" s="65" t="str">
        <f aca="false">VLOOKUP(A144,'Ratings worksheet'!$E$2:$H$159,4,FALSE())</f>
        <v>NR</v>
      </c>
      <c r="D144" s="152" t="str">
        <f aca="false">IF(E144="NR",VLOOKUP(B144,'Sovereign Ratings (Moody''s,S&amp;P)'!$G$9:$H$34,2,FALSE()),E144)</f>
        <v>B3</v>
      </c>
      <c r="E144" s="153" t="str">
        <f aca="false">VLOOKUP(A144,'Ratings worksheet'!$A$2:$C$159,3,FALSE())</f>
        <v>B3</v>
      </c>
    </row>
    <row r="145" customFormat="false" ht="15.75" hidden="false" customHeight="false" outlineLevel="0" collapsed="false">
      <c r="A145" s="64" t="str">
        <f aca="false">'Ratings worksheet'!A146</f>
        <v>Trinidad and Tobago</v>
      </c>
      <c r="B145" s="65" t="str">
        <f aca="false">VLOOKUP(A145,'Ratings worksheet'!$A$2:$C$159,2,FALSE())</f>
        <v>BBB-</v>
      </c>
      <c r="C145" s="65" t="str">
        <f aca="false">VLOOKUP(A145,'Ratings worksheet'!$E$2:$H$159,4,FALSE())</f>
        <v>NR</v>
      </c>
      <c r="D145" s="152" t="str">
        <f aca="false">IF(E145="NR",VLOOKUP(B145,'Sovereign Ratings (Moody''s,S&amp;P)'!$G$9:$H$34,2,FALSE()),E145)</f>
        <v>Ba2</v>
      </c>
      <c r="E145" s="153" t="str">
        <f aca="false">VLOOKUP(A145,'Ratings worksheet'!$A$2:$C$159,3,FALSE())</f>
        <v>Ba2</v>
      </c>
    </row>
    <row r="146" customFormat="false" ht="15.75" hidden="false" customHeight="false" outlineLevel="0" collapsed="false">
      <c r="A146" s="64" t="str">
        <f aca="false">'Ratings worksheet'!A147</f>
        <v>Tunisia</v>
      </c>
      <c r="B146" s="65" t="str">
        <f aca="false">VLOOKUP(A146,'Ratings worksheet'!$A$2:$C$159,2,FALSE())</f>
        <v>N/A</v>
      </c>
      <c r="C146" s="65" t="str">
        <f aca="false">VLOOKUP(A146,'Ratings worksheet'!$E$2:$H$159,4,FALSE())</f>
        <v>B-</v>
      </c>
      <c r="D146" s="152" t="str">
        <f aca="false">IF(E146="NR",VLOOKUP(B146,'Sovereign Ratings (Moody''s,S&amp;P)'!$G$9:$H$34,2,FALSE()),E146)</f>
        <v>Caa1</v>
      </c>
      <c r="E146" s="153" t="str">
        <f aca="false">VLOOKUP(A146,'Ratings worksheet'!$A$2:$C$159,3,FALSE())</f>
        <v>Caa1</v>
      </c>
      <c r="K146" s="80"/>
    </row>
    <row r="147" customFormat="false" ht="15.75" hidden="false" customHeight="false" outlineLevel="0" collapsed="false">
      <c r="A147" s="64" t="str">
        <f aca="false">'Ratings worksheet'!A148</f>
        <v>Turkey</v>
      </c>
      <c r="B147" s="65" t="str">
        <f aca="false">VLOOKUP(A147,'Ratings worksheet'!$A$2:$C$159,2,FALSE())</f>
        <v>BB-</v>
      </c>
      <c r="C147" s="65" t="str">
        <f aca="false">VLOOKUP(A147,'Ratings worksheet'!$E$2:$H$159,4,FALSE())</f>
        <v>BB-</v>
      </c>
      <c r="D147" s="152" t="str">
        <f aca="false">IF(E147="NR",VLOOKUP(B147,'Sovereign Ratings (Moody''s,S&amp;P)'!$G$9:$H$34,2,FALSE()),E147)</f>
        <v>Ba3</v>
      </c>
      <c r="E147" s="153" t="str">
        <f aca="false">VLOOKUP(A147,'Ratings worksheet'!$A$2:$C$159,3,FALSE())</f>
        <v>Ba3</v>
      </c>
    </row>
    <row r="148" customFormat="false" ht="15.75" hidden="false" customHeight="false" outlineLevel="0" collapsed="false">
      <c r="A148" s="64" t="str">
        <f aca="false">'Ratings worksheet'!A149</f>
        <v>Turks and Caicos Islands</v>
      </c>
      <c r="B148" s="65" t="str">
        <f aca="false">VLOOKUP(A148,'Ratings worksheet'!$A$2:$C$159,2,FALSE())</f>
        <v>BBB+</v>
      </c>
      <c r="C148" s="65" t="str">
        <f aca="false">VLOOKUP(A148,'Ratings worksheet'!$E$2:$H$159,4,FALSE())</f>
        <v>BBB+</v>
      </c>
      <c r="D148" s="152" t="str">
        <f aca="false">IF(E148="NR",VLOOKUP(B148,'Sovereign Ratings (Moody''s,S&amp;P)'!$G$9:$H$34,2,FALSE()),E148)</f>
        <v>Baa1</v>
      </c>
      <c r="E148" s="153" t="str">
        <f aca="false">VLOOKUP(A148,'Ratings worksheet'!$A$2:$C$159,3,FALSE())</f>
        <v>Baa1</v>
      </c>
    </row>
    <row r="149" customFormat="false" ht="15.75" hidden="false" customHeight="false" outlineLevel="0" collapsed="false">
      <c r="A149" s="64" t="str">
        <f aca="false">'Ratings worksheet'!A150</f>
        <v>Uganda</v>
      </c>
      <c r="B149" s="65" t="str">
        <f aca="false">VLOOKUP(A149,'Ratings worksheet'!$A$2:$C$159,2,FALSE())</f>
        <v>B-</v>
      </c>
      <c r="C149" s="65" t="str">
        <f aca="false">VLOOKUP(A149,'Ratings worksheet'!$E$2:$H$159,4,FALSE())</f>
        <v>B</v>
      </c>
      <c r="D149" s="152" t="str">
        <f aca="false">IF(E149="NR",VLOOKUP(B149,'Sovereign Ratings (Moody''s,S&amp;P)'!$G$9:$H$34,2,FALSE()),E149)</f>
        <v>B3</v>
      </c>
      <c r="E149" s="153" t="str">
        <f aca="false">VLOOKUP(A149,'Ratings worksheet'!$A$2:$C$159,3,FALSE())</f>
        <v>B3</v>
      </c>
    </row>
    <row r="150" customFormat="false" ht="15.75" hidden="false" customHeight="false" outlineLevel="0" collapsed="false">
      <c r="A150" s="64" t="str">
        <f aca="false">'Ratings worksheet'!A151</f>
        <v>Ukraine</v>
      </c>
      <c r="B150" s="65" t="str">
        <f aca="false">VLOOKUP(A150,'Ratings worksheet'!$A$2:$C$159,2,FALSE())</f>
        <v>SD</v>
      </c>
      <c r="C150" s="65" t="str">
        <f aca="false">VLOOKUP(A150,'Ratings worksheet'!$E$2:$H$159,4,FALSE())</f>
        <v>CCC</v>
      </c>
      <c r="D150" s="152" t="str">
        <f aca="false">IF(E150="NR",VLOOKUP(B150,'Sovereign Ratings (Moody''s,S&amp;P)'!$G$9:$H$34,2,FALSE()),E150)</f>
        <v>Ca</v>
      </c>
      <c r="E150" s="153" t="str">
        <f aca="false">VLOOKUP(A150,'Ratings worksheet'!$A$2:$C$159,3,FALSE())</f>
        <v>Ca</v>
      </c>
    </row>
    <row r="151" customFormat="false" ht="15.75" hidden="false" customHeight="false" outlineLevel="0" collapsed="false">
      <c r="A151" s="64" t="str">
        <f aca="false">'Ratings worksheet'!A152</f>
        <v>United Arab Emirates</v>
      </c>
      <c r="B151" s="65" t="str">
        <f aca="false">VLOOKUP(A151,'Ratings worksheet'!$A$2:$C$159,2,FALSE())</f>
        <v>AA</v>
      </c>
      <c r="C151" s="65" t="str">
        <f aca="false">VLOOKUP(A151,'Ratings worksheet'!$E$2:$H$159,4,FALSE())</f>
        <v>AA-</v>
      </c>
      <c r="D151" s="152" t="str">
        <f aca="false">IF(E151="NR",VLOOKUP(B151,'Sovereign Ratings (Moody''s,S&amp;P)'!$G$9:$H$34,2,FALSE()),E151)</f>
        <v>Aa2</v>
      </c>
      <c r="E151" s="153" t="str">
        <f aca="false">VLOOKUP(A151,'Ratings worksheet'!$A$2:$C$159,3,FALSE())</f>
        <v>Aa2</v>
      </c>
    </row>
    <row r="152" customFormat="false" ht="15.75" hidden="false" customHeight="false" outlineLevel="0" collapsed="false">
      <c r="A152" s="64" t="str">
        <f aca="false">'Ratings worksheet'!A153</f>
        <v>United Kingdom</v>
      </c>
      <c r="B152" s="65" t="str">
        <f aca="false">VLOOKUP(A152,'Ratings worksheet'!$A$2:$C$159,2,FALSE())</f>
        <v>AA</v>
      </c>
      <c r="C152" s="65" t="str">
        <f aca="false">VLOOKUP(A152,'Ratings worksheet'!$E$2:$H$159,4,FALSE())</f>
        <v>AA-</v>
      </c>
      <c r="D152" s="152" t="str">
        <f aca="false">IF(E152="NR",VLOOKUP(B152,'Sovereign Ratings (Moody''s,S&amp;P)'!$G$9:$H$34,2,FALSE()),E152)</f>
        <v>Aa3</v>
      </c>
      <c r="E152" s="153" t="str">
        <f aca="false">VLOOKUP(A152,'Ratings worksheet'!$A$2:$C$159,3,FALSE())</f>
        <v>Aa3</v>
      </c>
    </row>
    <row r="153" customFormat="false" ht="15.75" hidden="false" customHeight="false" outlineLevel="0" collapsed="false">
      <c r="A153" s="64" t="str">
        <f aca="false">'Ratings worksheet'!A154</f>
        <v>United States</v>
      </c>
      <c r="B153" s="65" t="str">
        <f aca="false">VLOOKUP(A153,'Ratings worksheet'!$A$2:$C$159,2,FALSE())</f>
        <v>AA+</v>
      </c>
      <c r="C153" s="65" t="str">
        <f aca="false">VLOOKUP(A153,'Ratings worksheet'!$E$2:$H$159,4,FALSE())</f>
        <v>AA+</v>
      </c>
      <c r="D153" s="152" t="str">
        <f aca="false">IF(E153="NR",VLOOKUP(B153,'Sovereign Ratings (Moody''s,S&amp;P)'!$G$9:$H$34,2,FALSE()),E153)</f>
        <v>Aa1</v>
      </c>
      <c r="E153" s="153" t="str">
        <f aca="false">VLOOKUP(A153,'Ratings worksheet'!$A$2:$C$159,3,FALSE())</f>
        <v>Aa1</v>
      </c>
    </row>
    <row r="154" customFormat="false" ht="15.75" hidden="false" customHeight="false" outlineLevel="0" collapsed="false">
      <c r="A154" s="64" t="str">
        <f aca="false">'Ratings worksheet'!A155</f>
        <v>Uruguay</v>
      </c>
      <c r="B154" s="65" t="str">
        <f aca="false">VLOOKUP(A154,'Ratings worksheet'!$A$2:$C$159,2,FALSE())</f>
        <v>BBB+</v>
      </c>
      <c r="C154" s="65" t="str">
        <f aca="false">VLOOKUP(A154,'Ratings worksheet'!$E$2:$H$159,4,FALSE())</f>
        <v>BBB</v>
      </c>
      <c r="D154" s="152" t="str">
        <f aca="false">IF(E154="NR",VLOOKUP(B154,'Sovereign Ratings (Moody''s,S&amp;P)'!$G$9:$H$34,2,FALSE()),E154)</f>
        <v>Baa1</v>
      </c>
      <c r="E154" s="153" t="str">
        <f aca="false">VLOOKUP(A154,'Ratings worksheet'!$A$2:$C$159,3,FALSE())</f>
        <v>Baa1</v>
      </c>
    </row>
    <row r="155" customFormat="false" ht="15.75" hidden="false" customHeight="false" outlineLevel="0" collapsed="false">
      <c r="A155" s="64" t="str">
        <f aca="false">'Ratings worksheet'!A156</f>
        <v>Uzbekistan</v>
      </c>
      <c r="B155" s="65" t="str">
        <f aca="false">VLOOKUP(A155,'Ratings worksheet'!$A$2:$C$159,2,FALSE())</f>
        <v>BB</v>
      </c>
      <c r="C155" s="65" t="str">
        <f aca="false">VLOOKUP(A155,'Ratings worksheet'!$E$2:$H$159,4,FALSE())</f>
        <v>BB</v>
      </c>
      <c r="D155" s="152" t="str">
        <f aca="false">IF(E155="NR",VLOOKUP(B155,'Sovereign Ratings (Moody''s,S&amp;P)'!$G$9:$H$34,2,FALSE()),E155)</f>
        <v>Ba3</v>
      </c>
      <c r="E155" s="153" t="str">
        <f aca="false">VLOOKUP(A155,'Ratings worksheet'!$A$2:$C$159,3,FALSE())</f>
        <v>Ba3</v>
      </c>
    </row>
    <row r="156" customFormat="false" ht="15.75" hidden="false" customHeight="false" outlineLevel="0" collapsed="false">
      <c r="A156" s="64" t="str">
        <f aca="false">'Ratings worksheet'!A157</f>
        <v>Venezuela</v>
      </c>
      <c r="B156" s="65" t="str">
        <f aca="false">VLOOKUP(A156,'Ratings worksheet'!$A$2:$C$159,2,FALSE())</f>
        <v>N/A</v>
      </c>
      <c r="C156" s="65" t="str">
        <f aca="false">VLOOKUP(A156,'Ratings worksheet'!$E$2:$H$159,4,FALSE())</f>
        <v>NR</v>
      </c>
      <c r="D156" s="152" t="str">
        <f aca="false">IF(E156="NR",VLOOKUP(B156,'Sovereign Ratings (Moody''s,S&amp;P)'!$G$9:$H$34,2,FALSE()),E156)</f>
        <v>C</v>
      </c>
      <c r="E156" s="153" t="str">
        <f aca="false">VLOOKUP(A156,'Ratings worksheet'!$A$2:$C$159,3,FALSE())</f>
        <v>C</v>
      </c>
    </row>
    <row r="157" customFormat="false" ht="15.75" hidden="false" customHeight="false" outlineLevel="0" collapsed="false">
      <c r="A157" s="64" t="str">
        <f aca="false">'Ratings worksheet'!A158</f>
        <v>Vietnam</v>
      </c>
      <c r="B157" s="65" t="str">
        <f aca="false">VLOOKUP(A157,'Ratings worksheet'!$A$2:$C$159,2,FALSE())</f>
        <v>BB+</v>
      </c>
      <c r="C157" s="65" t="str">
        <f aca="false">VLOOKUP(A157,'Ratings worksheet'!$E$2:$H$159,4,FALSE())</f>
        <v>BB+</v>
      </c>
      <c r="D157" s="152" t="str">
        <f aca="false">IF(E157="NR",VLOOKUP(B157,'Sovereign Ratings (Moody''s,S&amp;P)'!$G$9:$H$34,2,FALSE()),E157)</f>
        <v>Ba2</v>
      </c>
      <c r="E157" s="153" t="str">
        <f aca="false">VLOOKUP(A157,'Ratings worksheet'!$A$2:$C$159,3,FALSE())</f>
        <v>Ba2</v>
      </c>
    </row>
    <row r="158" customFormat="false" ht="15.75" hidden="false" customHeight="false" outlineLevel="0" collapsed="false">
      <c r="A158" s="64" t="str">
        <f aca="false">'Ratings worksheet'!A159</f>
        <v>Zambia</v>
      </c>
      <c r="B158" s="65" t="str">
        <f aca="false">VLOOKUP(A158,'Ratings worksheet'!$A$2:$C$159,2,FALSE())</f>
        <v>CCC+</v>
      </c>
      <c r="C158" s="65" t="str">
        <f aca="false">VLOOKUP(A158,'Ratings worksheet'!$E$2:$H$159,4,FALSE())</f>
        <v>B-</v>
      </c>
      <c r="D158" s="152" t="str">
        <f aca="false">IF(E158="NR",VLOOKUP(B158,'Sovereign Ratings (Moody''s,S&amp;P)'!$G$9:$H$34,2,FALSE()),E158)</f>
        <v>Caa2</v>
      </c>
      <c r="E158" s="153" t="str">
        <f aca="false">VLOOKUP(A158,'Ratings worksheet'!$A$2:$C$159,3,FALSE())</f>
        <v>Caa2</v>
      </c>
    </row>
  </sheetData>
  <mergeCells count="4">
    <mergeCell ref="G2:P2"/>
    <mergeCell ref="G3:P3"/>
    <mergeCell ref="G4:P4"/>
    <mergeCell ref="G5:P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62"/>
  <sheetViews>
    <sheetView showFormulas="false" showGridLines="true" showRowColHeaders="true" showZeros="true" rightToLeft="false" tabSelected="false" showOutlineSymbols="true" defaultGridColor="true" view="normal" topLeftCell="A81" colorId="64" zoomScale="100" zoomScaleNormal="100" zoomScalePageLayoutView="100" workbookViewId="0">
      <selection pane="topLeft" activeCell="B103" activeCellId="0" sqref="B103"/>
    </sheetView>
  </sheetViews>
  <sheetFormatPr defaultColWidth="10.65234375" defaultRowHeight="12.75" zeroHeight="false" outlineLevelRow="0" outlineLevelCol="0"/>
  <cols>
    <col collapsed="false" customWidth="true" hidden="false" outlineLevel="0" max="1" min="1" style="0" width="32.5"/>
    <col collapsed="false" customWidth="true" hidden="false" outlineLevel="0" max="2" min="2" style="0" width="23"/>
    <col collapsed="false" customWidth="true" hidden="false" outlineLevel="0" max="5" min="5" style="0" width="23.33"/>
  </cols>
  <sheetData>
    <row r="1" customFormat="false" ht="15.75" hidden="false" customHeight="false" outlineLevel="0" collapsed="false">
      <c r="A1" s="162" t="s">
        <v>61</v>
      </c>
      <c r="B1" s="162" t="s">
        <v>76</v>
      </c>
    </row>
    <row r="2" customFormat="false" ht="15.75" hidden="false" customHeight="false" outlineLevel="0" collapsed="false">
      <c r="A2" s="163" t="s">
        <v>300</v>
      </c>
      <c r="B2" s="129" t="s">
        <v>170</v>
      </c>
    </row>
    <row r="3" customFormat="false" ht="15.75" hidden="false" customHeight="false" outlineLevel="0" collapsed="false">
      <c r="A3" s="129" t="s">
        <v>273</v>
      </c>
      <c r="B3" s="80" t="s">
        <v>169</v>
      </c>
    </row>
    <row r="4" customFormat="false" ht="15.75" hidden="false" customHeight="false" outlineLevel="0" collapsed="false">
      <c r="A4" s="129" t="str">
        <f aca="false">'Sovereign Ratings (Moody''s,S&amp;P)'!A4</f>
        <v>Andorra (Principality of)</v>
      </c>
      <c r="B4" s="80" t="s">
        <v>172</v>
      </c>
    </row>
    <row r="5" customFormat="false" ht="15.75" hidden="false" customHeight="false" outlineLevel="0" collapsed="false">
      <c r="A5" s="129" t="s">
        <v>183</v>
      </c>
      <c r="B5" s="80" t="s">
        <v>98</v>
      </c>
    </row>
    <row r="6" customFormat="false" ht="15.75" hidden="false" customHeight="false" outlineLevel="0" collapsed="false">
      <c r="A6" s="129" t="s">
        <v>254</v>
      </c>
      <c r="B6" s="80" t="s">
        <v>168</v>
      </c>
    </row>
    <row r="7" customFormat="false" ht="15.75" hidden="false" customHeight="false" outlineLevel="0" collapsed="false">
      <c r="A7" s="129" t="s">
        <v>274</v>
      </c>
      <c r="B7" s="80" t="s">
        <v>169</v>
      </c>
    </row>
    <row r="8" customFormat="false" ht="15.75" hidden="false" customHeight="false" outlineLevel="0" collapsed="false">
      <c r="A8" s="164" t="s">
        <v>240</v>
      </c>
      <c r="B8" s="129" t="s">
        <v>167</v>
      </c>
    </row>
    <row r="9" customFormat="false" ht="15.75" hidden="false" customHeight="false" outlineLevel="0" collapsed="false">
      <c r="A9" s="129" t="s">
        <v>237</v>
      </c>
      <c r="B9" s="80" t="s">
        <v>166</v>
      </c>
    </row>
    <row r="10" customFormat="false" ht="15.75" hidden="false" customHeight="false" outlineLevel="0" collapsed="false">
      <c r="A10" s="129" t="s">
        <v>316</v>
      </c>
      <c r="B10" s="129" t="s">
        <v>172</v>
      </c>
    </row>
    <row r="11" customFormat="false" ht="15.75" hidden="false" customHeight="false" outlineLevel="0" collapsed="false">
      <c r="A11" s="129" t="s">
        <v>275</v>
      </c>
      <c r="B11" s="129" t="s">
        <v>169</v>
      </c>
    </row>
    <row r="12" customFormat="false" ht="15.75" hidden="false" customHeight="false" outlineLevel="0" collapsed="false">
      <c r="A12" s="129" t="s">
        <v>241</v>
      </c>
      <c r="B12" s="80" t="s">
        <v>167</v>
      </c>
    </row>
    <row r="13" customFormat="false" ht="15.75" hidden="false" customHeight="false" outlineLevel="0" collapsed="false">
      <c r="A13" s="129" t="s">
        <v>301</v>
      </c>
      <c r="B13" s="129" t="s">
        <v>170</v>
      </c>
    </row>
    <row r="14" customFormat="false" ht="15.75" hidden="false" customHeight="false" outlineLevel="0" collapsed="false">
      <c r="A14" s="129" t="s">
        <v>213</v>
      </c>
      <c r="B14" s="129" t="s">
        <v>77</v>
      </c>
    </row>
    <row r="15" customFormat="false" ht="15.75" hidden="false" customHeight="false" outlineLevel="0" collapsed="false">
      <c r="A15" s="129" t="s">
        <v>242</v>
      </c>
      <c r="B15" s="129" t="s">
        <v>167</v>
      </c>
    </row>
    <row r="16" customFormat="false" ht="15.75" hidden="false" customHeight="false" outlineLevel="0" collapsed="false">
      <c r="A16" s="129" t="s">
        <v>276</v>
      </c>
      <c r="B16" s="129" t="s">
        <v>169</v>
      </c>
    </row>
    <row r="17" customFormat="false" ht="15.75" hidden="false" customHeight="false" outlineLevel="0" collapsed="false">
      <c r="A17" s="129" t="s">
        <v>317</v>
      </c>
      <c r="B17" s="129" t="s">
        <v>172</v>
      </c>
    </row>
    <row r="18" customFormat="false" ht="15.75" hidden="false" customHeight="false" outlineLevel="0" collapsed="false">
      <c r="A18" s="129" t="s">
        <v>255</v>
      </c>
      <c r="B18" s="129" t="s">
        <v>168</v>
      </c>
    </row>
    <row r="19" customFormat="false" ht="15.75" hidden="false" customHeight="false" outlineLevel="0" collapsed="false">
      <c r="A19" s="129" t="s">
        <v>184</v>
      </c>
      <c r="B19" s="129" t="s">
        <v>98</v>
      </c>
    </row>
    <row r="20" customFormat="false" ht="15.75" hidden="false" customHeight="false" outlineLevel="0" collapsed="false">
      <c r="A20" s="129" t="s">
        <v>243</v>
      </c>
      <c r="B20" s="129" t="s">
        <v>167</v>
      </c>
    </row>
    <row r="21" customFormat="false" ht="15.75" hidden="false" customHeight="false" outlineLevel="0" collapsed="false">
      <c r="A21" s="129" t="s">
        <v>256</v>
      </c>
      <c r="B21" s="129" t="s">
        <v>168</v>
      </c>
    </row>
    <row r="22" customFormat="false" ht="15.75" hidden="false" customHeight="false" outlineLevel="0" collapsed="false">
      <c r="A22" s="129" t="s">
        <v>277</v>
      </c>
      <c r="B22" s="129" t="s">
        <v>169</v>
      </c>
    </row>
    <row r="23" customFormat="false" ht="15.75" hidden="false" customHeight="false" outlineLevel="0" collapsed="false">
      <c r="A23" s="129" t="s">
        <v>185</v>
      </c>
      <c r="B23" s="129" t="s">
        <v>98</v>
      </c>
    </row>
    <row r="24" customFormat="false" ht="15.75" hidden="false" customHeight="false" outlineLevel="0" collapsed="false">
      <c r="A24" s="129" t="s">
        <v>257</v>
      </c>
      <c r="B24" s="129" t="s">
        <v>168</v>
      </c>
    </row>
    <row r="25" customFormat="false" ht="15.75" hidden="false" customHeight="false" outlineLevel="0" collapsed="false">
      <c r="A25" s="129" t="s">
        <v>278</v>
      </c>
      <c r="B25" s="129" t="s">
        <v>169</v>
      </c>
    </row>
    <row r="26" customFormat="false" ht="15.75" hidden="false" customHeight="false" outlineLevel="0" collapsed="false">
      <c r="A26" s="164" t="s">
        <v>186</v>
      </c>
      <c r="B26" s="129" t="s">
        <v>98</v>
      </c>
    </row>
    <row r="27" customFormat="false" ht="15.75" hidden="false" customHeight="false" outlineLevel="0" collapsed="false">
      <c r="A27" s="129" t="s">
        <v>214</v>
      </c>
      <c r="B27" s="129" t="s">
        <v>77</v>
      </c>
    </row>
    <row r="28" customFormat="false" ht="15.75" hidden="false" customHeight="false" outlineLevel="0" collapsed="false">
      <c r="A28" s="165" t="s">
        <v>187</v>
      </c>
      <c r="B28" s="129" t="s">
        <v>98</v>
      </c>
    </row>
    <row r="29" customFormat="false" ht="15.75" hidden="false" customHeight="false" outlineLevel="0" collapsed="false">
      <c r="A29" s="129" t="s">
        <v>313</v>
      </c>
      <c r="B29" s="129" t="s">
        <v>171</v>
      </c>
    </row>
    <row r="30" customFormat="false" ht="15.75" hidden="false" customHeight="false" outlineLevel="0" collapsed="false">
      <c r="A30" s="129" t="s">
        <v>188</v>
      </c>
      <c r="B30" s="129" t="s">
        <v>98</v>
      </c>
    </row>
    <row r="31" customFormat="false" ht="15.75" hidden="false" customHeight="false" outlineLevel="0" collapsed="false">
      <c r="A31" s="129" t="s">
        <v>244</v>
      </c>
      <c r="B31" s="129" t="s">
        <v>167</v>
      </c>
    </row>
    <row r="32" customFormat="false" ht="15.75" hidden="false" customHeight="false" outlineLevel="0" collapsed="false">
      <c r="A32" s="129" t="s">
        <v>258</v>
      </c>
      <c r="B32" s="129" t="s">
        <v>168</v>
      </c>
    </row>
    <row r="33" customFormat="false" ht="15.75" hidden="false" customHeight="false" outlineLevel="0" collapsed="false">
      <c r="A33" s="129" t="s">
        <v>215</v>
      </c>
      <c r="B33" s="129" t="s">
        <v>77</v>
      </c>
    </row>
    <row r="34" customFormat="false" ht="15.75" hidden="false" customHeight="false" outlineLevel="0" collapsed="false">
      <c r="A34" s="129" t="s">
        <v>259</v>
      </c>
      <c r="B34" s="129" t="s">
        <v>168</v>
      </c>
    </row>
    <row r="35" customFormat="false" ht="15.75" hidden="false" customHeight="false" outlineLevel="0" collapsed="false">
      <c r="A35" s="163" t="s">
        <v>189</v>
      </c>
      <c r="B35" s="129" t="s">
        <v>98</v>
      </c>
    </row>
    <row r="36" customFormat="false" ht="15.75" hidden="false" customHeight="false" outlineLevel="0" collapsed="false">
      <c r="A36" s="163" t="s">
        <v>190</v>
      </c>
      <c r="B36" s="129" t="s">
        <v>98</v>
      </c>
    </row>
    <row r="37" customFormat="false" ht="15.75" hidden="false" customHeight="false" outlineLevel="0" collapsed="false">
      <c r="A37" s="165" t="s">
        <v>238</v>
      </c>
      <c r="B37" s="129" t="s">
        <v>166</v>
      </c>
    </row>
    <row r="38" customFormat="false" ht="15.75" hidden="false" customHeight="false" outlineLevel="0" collapsed="false">
      <c r="A38" s="129" t="s">
        <v>260</v>
      </c>
      <c r="B38" s="129" t="s">
        <v>168</v>
      </c>
    </row>
    <row r="39" customFormat="false" ht="15.75" hidden="false" customHeight="false" outlineLevel="0" collapsed="false">
      <c r="A39" s="163" t="s">
        <v>191</v>
      </c>
      <c r="B39" s="129" t="s">
        <v>98</v>
      </c>
    </row>
    <row r="40" customFormat="false" ht="15.75" hidden="false" customHeight="false" outlineLevel="0" collapsed="false">
      <c r="A40" s="129" t="s">
        <v>279</v>
      </c>
      <c r="B40" s="129" t="s">
        <v>169</v>
      </c>
    </row>
    <row r="41" customFormat="false" ht="15.75" hidden="false" customHeight="false" outlineLevel="0" collapsed="false">
      <c r="A41" s="129" t="s">
        <v>245</v>
      </c>
      <c r="B41" s="129" t="s">
        <v>167</v>
      </c>
    </row>
    <row r="42" customFormat="false" ht="15.75" hidden="false" customHeight="false" outlineLevel="0" collapsed="false">
      <c r="A42" s="164" t="s">
        <v>246</v>
      </c>
      <c r="B42" s="129" t="s">
        <v>167</v>
      </c>
    </row>
    <row r="43" customFormat="false" ht="15.75" hidden="false" customHeight="false" outlineLevel="0" collapsed="false">
      <c r="A43" s="129" t="s">
        <v>318</v>
      </c>
      <c r="B43" s="129" t="s">
        <v>172</v>
      </c>
    </row>
    <row r="44" customFormat="false" ht="15.75" hidden="false" customHeight="false" outlineLevel="0" collapsed="false">
      <c r="A44" s="129" t="s">
        <v>280</v>
      </c>
      <c r="B44" s="129" t="s">
        <v>169</v>
      </c>
    </row>
    <row r="45" customFormat="false" ht="15.75" hidden="false" customHeight="false" outlineLevel="0" collapsed="false">
      <c r="A45" s="2" t="s">
        <v>402</v>
      </c>
      <c r="B45" s="129" t="s">
        <v>98</v>
      </c>
    </row>
    <row r="46" customFormat="false" ht="15.75" hidden="false" customHeight="false" outlineLevel="0" collapsed="false">
      <c r="A46" s="129" t="s">
        <v>319</v>
      </c>
      <c r="B46" s="129" t="s">
        <v>172</v>
      </c>
    </row>
    <row r="47" customFormat="false" ht="15.75" hidden="false" customHeight="false" outlineLevel="0" collapsed="false">
      <c r="A47" s="129" t="s">
        <v>247</v>
      </c>
      <c r="B47" s="129" t="s">
        <v>167</v>
      </c>
    </row>
    <row r="48" customFormat="false" ht="15.75" hidden="false" customHeight="false" outlineLevel="0" collapsed="false">
      <c r="A48" s="129" t="s">
        <v>261</v>
      </c>
      <c r="B48" s="129" t="s">
        <v>168</v>
      </c>
    </row>
    <row r="49" customFormat="false" ht="15.75" hidden="false" customHeight="false" outlineLevel="0" collapsed="false">
      <c r="A49" s="129" t="s">
        <v>192</v>
      </c>
      <c r="B49" s="129" t="s">
        <v>98</v>
      </c>
    </row>
    <row r="50" customFormat="false" ht="15.75" hidden="false" customHeight="false" outlineLevel="0" collapsed="false">
      <c r="A50" s="129" t="s">
        <v>262</v>
      </c>
      <c r="B50" s="129" t="s">
        <v>168</v>
      </c>
    </row>
    <row r="51" customFormat="false" ht="15.75" hidden="false" customHeight="false" outlineLevel="0" collapsed="false">
      <c r="A51" s="129" t="s">
        <v>281</v>
      </c>
      <c r="B51" s="129" t="s">
        <v>169</v>
      </c>
    </row>
    <row r="52" customFormat="false" ht="15.75" hidden="false" customHeight="false" outlineLevel="0" collapsed="false">
      <c r="A52" s="163" t="s">
        <v>193</v>
      </c>
      <c r="B52" s="129" t="s">
        <v>98</v>
      </c>
    </row>
    <row r="53" customFormat="false" ht="15.75" hidden="false" customHeight="false" outlineLevel="0" collapsed="false">
      <c r="A53" s="129" t="s">
        <v>216</v>
      </c>
      <c r="B53" s="129" t="s">
        <v>77</v>
      </c>
    </row>
    <row r="54" customFormat="false" ht="15.75" hidden="false" customHeight="false" outlineLevel="0" collapsed="false">
      <c r="A54" s="129" t="s">
        <v>320</v>
      </c>
      <c r="B54" s="129" t="s">
        <v>172</v>
      </c>
    </row>
    <row r="55" customFormat="false" ht="15.75" hidden="false" customHeight="false" outlineLevel="0" collapsed="false">
      <c r="A55" s="129" t="s">
        <v>321</v>
      </c>
      <c r="B55" s="129" t="s">
        <v>172</v>
      </c>
    </row>
    <row r="56" customFormat="false" ht="15.75" hidden="false" customHeight="false" outlineLevel="0" collapsed="false">
      <c r="A56" s="164" t="s">
        <v>194</v>
      </c>
      <c r="B56" s="129" t="s">
        <v>98</v>
      </c>
    </row>
    <row r="57" customFormat="false" ht="15.75" hidden="false" customHeight="false" outlineLevel="0" collapsed="false">
      <c r="A57" s="129" t="s">
        <v>282</v>
      </c>
      <c r="B57" s="129" t="s">
        <v>169</v>
      </c>
    </row>
    <row r="58" customFormat="false" ht="15.75" hidden="false" customHeight="false" outlineLevel="0" collapsed="false">
      <c r="A58" s="129" t="s">
        <v>322</v>
      </c>
      <c r="B58" s="129" t="s">
        <v>172</v>
      </c>
    </row>
    <row r="59" customFormat="false" ht="15.75" hidden="false" customHeight="false" outlineLevel="0" collapsed="false">
      <c r="A59" s="129" t="s">
        <v>195</v>
      </c>
      <c r="B59" s="129" t="s">
        <v>98</v>
      </c>
    </row>
    <row r="60" customFormat="false" ht="15.75" hidden="false" customHeight="false" outlineLevel="0" collapsed="false">
      <c r="A60" s="129" t="s">
        <v>323</v>
      </c>
      <c r="B60" s="129" t="s">
        <v>172</v>
      </c>
    </row>
    <row r="61" customFormat="false" ht="15.75" hidden="false" customHeight="false" outlineLevel="0" collapsed="false">
      <c r="A61" s="129" t="s">
        <v>263</v>
      </c>
      <c r="B61" s="129" t="s">
        <v>168</v>
      </c>
    </row>
    <row r="62" customFormat="false" ht="15.75" hidden="false" customHeight="false" outlineLevel="0" collapsed="false">
      <c r="A62" s="163" t="s">
        <v>324</v>
      </c>
      <c r="B62" s="129" t="s">
        <v>172</v>
      </c>
    </row>
    <row r="63" customFormat="false" ht="15.75" hidden="false" customHeight="false" outlineLevel="0" collapsed="false">
      <c r="A63" s="129" t="s">
        <v>264</v>
      </c>
      <c r="B63" s="129" t="s">
        <v>168</v>
      </c>
    </row>
    <row r="64" customFormat="false" ht="15.75" hidden="false" customHeight="false" outlineLevel="0" collapsed="false">
      <c r="A64" s="129" t="s">
        <v>217</v>
      </c>
      <c r="B64" s="129" t="s">
        <v>77</v>
      </c>
    </row>
    <row r="65" customFormat="false" ht="15.75" hidden="false" customHeight="false" outlineLevel="0" collapsed="false">
      <c r="A65" s="129" t="s">
        <v>283</v>
      </c>
      <c r="B65" s="129" t="s">
        <v>169</v>
      </c>
    </row>
    <row r="66" customFormat="false" ht="15.75" hidden="false" customHeight="false" outlineLevel="0" collapsed="false">
      <c r="A66" s="129" t="s">
        <v>325</v>
      </c>
      <c r="B66" s="129" t="s">
        <v>172</v>
      </c>
    </row>
    <row r="67" customFormat="false" ht="15.75" hidden="false" customHeight="false" outlineLevel="0" collapsed="false">
      <c r="A67" s="129" t="s">
        <v>218</v>
      </c>
      <c r="B67" s="129" t="s">
        <v>77</v>
      </c>
    </row>
    <row r="68" customFormat="false" ht="15.75" hidden="false" customHeight="false" outlineLevel="0" collapsed="false">
      <c r="A68" s="129" t="s">
        <v>219</v>
      </c>
      <c r="B68" s="129" t="s">
        <v>77</v>
      </c>
    </row>
    <row r="69" customFormat="false" ht="15.75" hidden="false" customHeight="false" outlineLevel="0" collapsed="false">
      <c r="A69" s="129" t="s">
        <v>302</v>
      </c>
      <c r="B69" s="129" t="s">
        <v>170</v>
      </c>
    </row>
    <row r="70" customFormat="false" ht="15.75" hidden="false" customHeight="false" outlineLevel="0" collapsed="false">
      <c r="A70" s="129" t="s">
        <v>326</v>
      </c>
      <c r="B70" s="129" t="s">
        <v>172</v>
      </c>
    </row>
    <row r="71" customFormat="false" ht="15.75" hidden="false" customHeight="false" outlineLevel="0" collapsed="false">
      <c r="A71" s="129" t="s">
        <v>327</v>
      </c>
      <c r="B71" s="129" t="s">
        <v>172</v>
      </c>
    </row>
    <row r="72" customFormat="false" ht="15.75" hidden="false" customHeight="false" outlineLevel="0" collapsed="false">
      <c r="A72" s="129" t="s">
        <v>303</v>
      </c>
      <c r="B72" s="129" t="s">
        <v>170</v>
      </c>
    </row>
    <row r="73" customFormat="false" ht="15.75" hidden="false" customHeight="false" outlineLevel="0" collapsed="false">
      <c r="A73" s="129" t="s">
        <v>328</v>
      </c>
      <c r="B73" s="129" t="s">
        <v>172</v>
      </c>
    </row>
    <row r="74" customFormat="false" ht="15.75" hidden="false" customHeight="false" outlineLevel="0" collapsed="false">
      <c r="A74" s="129" t="s">
        <v>248</v>
      </c>
      <c r="B74" s="129" t="s">
        <v>167</v>
      </c>
    </row>
    <row r="75" customFormat="false" ht="15.75" hidden="false" customHeight="false" outlineLevel="0" collapsed="false">
      <c r="A75" s="129" t="s">
        <v>220</v>
      </c>
      <c r="B75" s="129" t="s">
        <v>77</v>
      </c>
    </row>
    <row r="76" customFormat="false" ht="15.75" hidden="false" customHeight="false" outlineLevel="0" collapsed="false">
      <c r="A76" s="163" t="s">
        <v>329</v>
      </c>
      <c r="B76" s="129" t="s">
        <v>172</v>
      </c>
    </row>
    <row r="77" customFormat="false" ht="15.75" hidden="false" customHeight="false" outlineLevel="0" collapsed="false">
      <c r="A77" s="129" t="s">
        <v>304</v>
      </c>
      <c r="B77" s="129" t="s">
        <v>170</v>
      </c>
    </row>
    <row r="78" customFormat="false" ht="15.75" hidden="false" customHeight="false" outlineLevel="0" collapsed="false">
      <c r="A78" s="129" t="s">
        <v>284</v>
      </c>
      <c r="B78" s="129" t="s">
        <v>169</v>
      </c>
    </row>
    <row r="79" customFormat="false" ht="15.75" hidden="false" customHeight="false" outlineLevel="0" collapsed="false">
      <c r="A79" s="129" t="s">
        <v>196</v>
      </c>
      <c r="B79" s="129" t="s">
        <v>98</v>
      </c>
    </row>
    <row r="80" customFormat="false" ht="15.75" hidden="false" customHeight="false" outlineLevel="0" collapsed="false">
      <c r="A80" s="129" t="s">
        <v>221</v>
      </c>
      <c r="B80" s="129" t="s">
        <v>77</v>
      </c>
    </row>
    <row r="81" customFormat="false" ht="15.75" hidden="false" customHeight="false" outlineLevel="0" collapsed="false">
      <c r="A81" s="129" t="s">
        <v>305</v>
      </c>
      <c r="B81" s="129" t="s">
        <v>170</v>
      </c>
    </row>
    <row r="82" customFormat="false" ht="15.75" hidden="false" customHeight="false" outlineLevel="0" collapsed="false">
      <c r="A82" s="0" t="s">
        <v>285</v>
      </c>
      <c r="B82" s="129" t="s">
        <v>169</v>
      </c>
    </row>
    <row r="83" customFormat="false" ht="15.75" hidden="false" customHeight="false" outlineLevel="0" collapsed="false">
      <c r="A83" s="166" t="s">
        <v>222</v>
      </c>
      <c r="B83" s="129" t="s">
        <v>77</v>
      </c>
    </row>
    <row r="84" customFormat="false" ht="15.75" hidden="false" customHeight="false" outlineLevel="0" collapsed="false">
      <c r="A84" s="129" t="s">
        <v>286</v>
      </c>
      <c r="B84" s="129" t="s">
        <v>169</v>
      </c>
    </row>
    <row r="85" customFormat="false" ht="15.75" hidden="false" customHeight="false" outlineLevel="0" collapsed="false">
      <c r="A85" s="129" t="s">
        <v>306</v>
      </c>
      <c r="B85" s="129" t="s">
        <v>170</v>
      </c>
    </row>
    <row r="86" customFormat="false" ht="15.75" hidden="false" customHeight="false" outlineLevel="0" collapsed="false">
      <c r="A86" s="165" t="s">
        <v>330</v>
      </c>
      <c r="B86" s="129" t="s">
        <v>172</v>
      </c>
    </row>
    <row r="87" customFormat="false" ht="15.75" hidden="false" customHeight="false" outlineLevel="0" collapsed="false">
      <c r="A87" s="129" t="s">
        <v>287</v>
      </c>
      <c r="B87" s="129" t="s">
        <v>169</v>
      </c>
    </row>
    <row r="88" customFormat="false" ht="15.75" hidden="false" customHeight="false" outlineLevel="0" collapsed="false">
      <c r="A88" s="129" t="s">
        <v>331</v>
      </c>
      <c r="B88" s="129" t="s">
        <v>172</v>
      </c>
    </row>
    <row r="89" customFormat="false" ht="15.75" hidden="false" customHeight="false" outlineLevel="0" collapsed="false">
      <c r="A89" s="129" t="s">
        <v>223</v>
      </c>
      <c r="B89" s="129" t="s">
        <v>77</v>
      </c>
    </row>
    <row r="90" customFormat="false" ht="15.75" hidden="false" customHeight="false" outlineLevel="0" collapsed="false">
      <c r="A90" s="165" t="s">
        <v>288</v>
      </c>
      <c r="B90" s="129" t="s">
        <v>169</v>
      </c>
    </row>
    <row r="91" customFormat="false" ht="15.75" hidden="false" customHeight="false" outlineLevel="0" collapsed="false">
      <c r="A91" s="129" t="s">
        <v>224</v>
      </c>
      <c r="B91" s="129" t="s">
        <v>77</v>
      </c>
    </row>
    <row r="92" customFormat="false" ht="15.75" hidden="false" customHeight="false" outlineLevel="0" collapsed="false">
      <c r="A92" s="129" t="s">
        <v>225</v>
      </c>
      <c r="B92" s="129" t="s">
        <v>77</v>
      </c>
    </row>
    <row r="93" customFormat="false" ht="15.75" hidden="false" customHeight="false" outlineLevel="0" collapsed="false">
      <c r="A93" s="129" t="s">
        <v>197</v>
      </c>
      <c r="B93" s="129" t="s">
        <v>98</v>
      </c>
    </row>
    <row r="94" customFormat="false" ht="15.75" hidden="false" customHeight="false" outlineLevel="0" collapsed="false">
      <c r="A94" s="129" t="s">
        <v>332</v>
      </c>
      <c r="B94" s="129" t="s">
        <v>172</v>
      </c>
    </row>
    <row r="95" customFormat="false" ht="15.75" hidden="false" customHeight="false" outlineLevel="0" collapsed="false">
      <c r="A95" s="129" t="s">
        <v>198</v>
      </c>
      <c r="B95" s="129" t="s">
        <v>98</v>
      </c>
    </row>
    <row r="96" customFormat="false" ht="15.75" hidden="false" customHeight="false" outlineLevel="0" collapsed="false">
      <c r="A96" s="129" t="s">
        <v>265</v>
      </c>
      <c r="B96" s="129" t="s">
        <v>168</v>
      </c>
    </row>
    <row r="97" customFormat="false" ht="15.75" hidden="false" customHeight="false" outlineLevel="0" collapsed="false">
      <c r="A97" s="129" t="s">
        <v>289</v>
      </c>
      <c r="B97" s="129" t="s">
        <v>169</v>
      </c>
    </row>
    <row r="98" customFormat="false" ht="15.75" hidden="false" customHeight="false" outlineLevel="0" collapsed="false">
      <c r="A98" s="129" t="s">
        <v>226</v>
      </c>
      <c r="B98" s="129" t="s">
        <v>77</v>
      </c>
    </row>
    <row r="99" customFormat="false" ht="15.75" hidden="false" customHeight="false" outlineLevel="0" collapsed="false">
      <c r="A99" s="129" t="s">
        <v>290</v>
      </c>
      <c r="B99" s="129" t="s">
        <v>169</v>
      </c>
    </row>
    <row r="100" customFormat="false" ht="15.75" hidden="false" customHeight="false" outlineLevel="0" collapsed="false">
      <c r="A100" s="164" t="s">
        <v>249</v>
      </c>
      <c r="B100" s="129" t="s">
        <v>167</v>
      </c>
    </row>
    <row r="101" customFormat="false" ht="15.75" hidden="false" customHeight="false" outlineLevel="0" collapsed="false">
      <c r="A101" s="129" t="s">
        <v>199</v>
      </c>
      <c r="B101" s="129" t="s">
        <v>98</v>
      </c>
    </row>
    <row r="102" customFormat="false" ht="15.75" hidden="false" customHeight="false" outlineLevel="0" collapsed="false">
      <c r="A102" s="165" t="s">
        <v>200</v>
      </c>
      <c r="B102" s="129" t="s">
        <v>98</v>
      </c>
    </row>
    <row r="103" customFormat="false" ht="15.75" hidden="false" customHeight="false" outlineLevel="0" collapsed="false">
      <c r="A103" s="129" t="s">
        <v>201</v>
      </c>
      <c r="B103" s="129" t="s">
        <v>98</v>
      </c>
    </row>
    <row r="104" customFormat="false" ht="15.75" hidden="false" customHeight="false" outlineLevel="0" collapsed="false">
      <c r="A104" s="129" t="s">
        <v>227</v>
      </c>
      <c r="B104" s="129" t="s">
        <v>77</v>
      </c>
    </row>
    <row r="105" customFormat="false" ht="15.75" hidden="false" customHeight="false" outlineLevel="0" collapsed="false">
      <c r="A105" s="129" t="s">
        <v>333</v>
      </c>
      <c r="B105" s="129" t="s">
        <v>172</v>
      </c>
    </row>
    <row r="106" customFormat="false" ht="15.75" hidden="false" customHeight="false" outlineLevel="0" collapsed="false">
      <c r="A106" s="129" t="s">
        <v>239</v>
      </c>
      <c r="B106" s="129" t="s">
        <v>166</v>
      </c>
    </row>
    <row r="107" customFormat="false" ht="15.75" hidden="false" customHeight="false" outlineLevel="0" collapsed="false">
      <c r="A107" s="129" t="s">
        <v>266</v>
      </c>
      <c r="B107" s="129" t="s">
        <v>168</v>
      </c>
    </row>
    <row r="108" customFormat="false" ht="15.75" hidden="false" customHeight="false" outlineLevel="0" collapsed="false">
      <c r="A108" s="129" t="s">
        <v>202</v>
      </c>
      <c r="B108" s="129" t="s">
        <v>98</v>
      </c>
    </row>
    <row r="109" customFormat="false" ht="15.75" hidden="false" customHeight="false" outlineLevel="0" collapsed="false">
      <c r="A109" s="129" t="s">
        <v>203</v>
      </c>
      <c r="B109" s="129" t="s">
        <v>98</v>
      </c>
    </row>
    <row r="110" customFormat="false" ht="15.75" hidden="false" customHeight="false" outlineLevel="0" collapsed="false">
      <c r="A110" s="129" t="s">
        <v>334</v>
      </c>
      <c r="B110" s="129" t="s">
        <v>172</v>
      </c>
    </row>
    <row r="111" customFormat="false" ht="15.75" hidden="false" customHeight="false" outlineLevel="0" collapsed="false">
      <c r="A111" s="129" t="s">
        <v>307</v>
      </c>
      <c r="B111" s="129" t="s">
        <v>170</v>
      </c>
    </row>
    <row r="112" customFormat="false" ht="15.75" hidden="false" customHeight="false" outlineLevel="0" collapsed="false">
      <c r="A112" s="129" t="s">
        <v>228</v>
      </c>
      <c r="B112" s="129" t="s">
        <v>77</v>
      </c>
    </row>
    <row r="113" customFormat="false" ht="15.75" hidden="false" customHeight="false" outlineLevel="0" collapsed="false">
      <c r="A113" s="129" t="s">
        <v>267</v>
      </c>
      <c r="B113" s="129" t="s">
        <v>168</v>
      </c>
    </row>
    <row r="114" customFormat="false" ht="15.75" hidden="false" customHeight="false" outlineLevel="0" collapsed="false">
      <c r="A114" s="129" t="s">
        <v>229</v>
      </c>
      <c r="B114" s="129" t="s">
        <v>77</v>
      </c>
    </row>
    <row r="115" customFormat="false" ht="15.75" hidden="false" customHeight="false" outlineLevel="0" collapsed="false">
      <c r="A115" s="129" t="s">
        <v>268</v>
      </c>
      <c r="B115" s="129" t="s">
        <v>168</v>
      </c>
    </row>
    <row r="116" customFormat="false" ht="15.75" hidden="false" customHeight="false" outlineLevel="0" collapsed="false">
      <c r="A116" s="129" t="s">
        <v>269</v>
      </c>
      <c r="B116" s="129" t="s">
        <v>168</v>
      </c>
    </row>
    <row r="117" customFormat="false" ht="15.75" hidden="false" customHeight="false" outlineLevel="0" collapsed="false">
      <c r="A117" s="129" t="s">
        <v>230</v>
      </c>
      <c r="B117" s="129" t="s">
        <v>77</v>
      </c>
    </row>
    <row r="118" customFormat="false" ht="15.75" hidden="false" customHeight="false" outlineLevel="0" collapsed="false">
      <c r="A118" s="129" t="s">
        <v>291</v>
      </c>
      <c r="B118" s="129" t="s">
        <v>169</v>
      </c>
    </row>
    <row r="119" customFormat="false" ht="15.75" hidden="false" customHeight="false" outlineLevel="0" collapsed="false">
      <c r="A119" s="129" t="s">
        <v>335</v>
      </c>
      <c r="B119" s="129" t="s">
        <v>172</v>
      </c>
    </row>
    <row r="120" customFormat="false" ht="15.75" hidden="false" customHeight="false" outlineLevel="0" collapsed="false">
      <c r="A120" s="129" t="s">
        <v>308</v>
      </c>
      <c r="B120" s="129" t="s">
        <v>170</v>
      </c>
    </row>
    <row r="121" customFormat="false" ht="15.75" hidden="false" customHeight="false" outlineLevel="0" collapsed="false">
      <c r="A121" s="2" t="s">
        <v>309</v>
      </c>
      <c r="B121" s="129" t="s">
        <v>170</v>
      </c>
    </row>
    <row r="122" customFormat="false" ht="15.75" hidden="false" customHeight="false" outlineLevel="0" collapsed="false">
      <c r="A122" s="2" t="s">
        <v>403</v>
      </c>
      <c r="B122" s="129" t="s">
        <v>98</v>
      </c>
    </row>
    <row r="123" customFormat="false" ht="15.75" hidden="false" customHeight="false" outlineLevel="0" collapsed="false">
      <c r="A123" s="129" t="s">
        <v>292</v>
      </c>
      <c r="B123" s="129" t="s">
        <v>169</v>
      </c>
    </row>
    <row r="124" customFormat="false" ht="15.75" hidden="false" customHeight="false" outlineLevel="0" collapsed="false">
      <c r="A124" s="129" t="s">
        <v>404</v>
      </c>
      <c r="B124" s="129" t="s">
        <v>169</v>
      </c>
    </row>
    <row r="125" customFormat="false" ht="15.75" hidden="false" customHeight="false" outlineLevel="0" collapsed="false">
      <c r="A125" s="165" t="s">
        <v>204</v>
      </c>
      <c r="B125" s="129" t="s">
        <v>98</v>
      </c>
    </row>
    <row r="126" customFormat="false" ht="15.75" hidden="false" customHeight="false" outlineLevel="0" collapsed="false">
      <c r="A126" s="129" t="s">
        <v>310</v>
      </c>
      <c r="B126" s="129" t="s">
        <v>170</v>
      </c>
    </row>
    <row r="127" customFormat="false" ht="15.75" hidden="false" customHeight="false" outlineLevel="0" collapsed="false">
      <c r="A127" s="129" t="s">
        <v>205</v>
      </c>
      <c r="B127" s="129" t="s">
        <v>98</v>
      </c>
    </row>
    <row r="128" customFormat="false" ht="15.75" hidden="false" customHeight="false" outlineLevel="0" collapsed="false">
      <c r="A128" s="165" t="s">
        <v>293</v>
      </c>
      <c r="B128" s="129" t="s">
        <v>169</v>
      </c>
    </row>
    <row r="129" customFormat="false" ht="15.75" hidden="false" customHeight="false" outlineLevel="0" collapsed="false">
      <c r="A129" s="163" t="s">
        <v>311</v>
      </c>
      <c r="B129" s="129" t="s">
        <v>170</v>
      </c>
    </row>
    <row r="130" customFormat="false" ht="15.75" hidden="false" customHeight="false" outlineLevel="0" collapsed="false">
      <c r="A130" s="129" t="s">
        <v>231</v>
      </c>
      <c r="B130" s="129" t="s">
        <v>77</v>
      </c>
    </row>
    <row r="131" customFormat="false" ht="15.75" hidden="false" customHeight="false" outlineLevel="0" collapsed="false">
      <c r="A131" s="129" t="s">
        <v>294</v>
      </c>
      <c r="B131" s="129" t="s">
        <v>169</v>
      </c>
    </row>
    <row r="132" customFormat="false" ht="15.75" hidden="false" customHeight="false" outlineLevel="0" collapsed="false">
      <c r="A132" s="129" t="s">
        <v>295</v>
      </c>
      <c r="B132" s="129" t="s">
        <v>169</v>
      </c>
    </row>
    <row r="133" customFormat="false" ht="15.75" hidden="false" customHeight="false" outlineLevel="0" collapsed="false">
      <c r="A133" s="129" t="s">
        <v>232</v>
      </c>
      <c r="B133" s="129" t="s">
        <v>77</v>
      </c>
    </row>
    <row r="134" customFormat="false" ht="15.75" hidden="false" customHeight="false" outlineLevel="0" collapsed="false">
      <c r="A134" s="129" t="s">
        <v>206</v>
      </c>
      <c r="B134" s="129" t="s">
        <v>98</v>
      </c>
    </row>
    <row r="135" customFormat="false" ht="15.75" hidden="false" customHeight="false" outlineLevel="0" collapsed="false">
      <c r="A135" s="129" t="s">
        <v>336</v>
      </c>
      <c r="B135" s="129" t="s">
        <v>172</v>
      </c>
    </row>
    <row r="136" customFormat="false" ht="15.75" hidden="false" customHeight="false" outlineLevel="0" collapsed="false">
      <c r="A136" s="129" t="s">
        <v>233</v>
      </c>
      <c r="B136" s="129" t="s">
        <v>77</v>
      </c>
    </row>
    <row r="137" customFormat="false" ht="15.75" hidden="false" customHeight="false" outlineLevel="0" collapsed="false">
      <c r="A137" s="167" t="s">
        <v>250</v>
      </c>
      <c r="B137" s="129" t="s">
        <v>167</v>
      </c>
    </row>
    <row r="138" customFormat="false" ht="15.75" hidden="false" customHeight="false" outlineLevel="0" collapsed="false">
      <c r="A138" s="129" t="s">
        <v>251</v>
      </c>
      <c r="B138" s="129" t="s">
        <v>167</v>
      </c>
    </row>
    <row r="139" customFormat="false" ht="15.75" hidden="false" customHeight="false" outlineLevel="0" collapsed="false">
      <c r="A139" s="129" t="s">
        <v>270</v>
      </c>
      <c r="B139" s="129" t="s">
        <v>168</v>
      </c>
    </row>
    <row r="140" customFormat="false" ht="15.75" hidden="false" customHeight="false" outlineLevel="0" collapsed="false">
      <c r="A140" s="129" t="s">
        <v>207</v>
      </c>
      <c r="B140" s="129" t="s">
        <v>98</v>
      </c>
    </row>
    <row r="141" customFormat="false" ht="15.75" hidden="false" customHeight="false" outlineLevel="0" collapsed="false">
      <c r="A141" s="129" t="s">
        <v>337</v>
      </c>
      <c r="B141" s="129" t="s">
        <v>172</v>
      </c>
    </row>
    <row r="142" customFormat="false" ht="15.75" hidden="false" customHeight="false" outlineLevel="0" collapsed="false">
      <c r="A142" s="129" t="s">
        <v>338</v>
      </c>
      <c r="B142" s="129" t="s">
        <v>172</v>
      </c>
    </row>
    <row r="143" customFormat="false" ht="15.75" hidden="false" customHeight="false" outlineLevel="0" collapsed="false">
      <c r="A143" s="129" t="s">
        <v>234</v>
      </c>
      <c r="B143" s="129" t="s">
        <v>77</v>
      </c>
    </row>
    <row r="144" customFormat="false" ht="15.75" hidden="false" customHeight="false" outlineLevel="0" collapsed="false">
      <c r="A144" s="129" t="s">
        <v>296</v>
      </c>
      <c r="B144" s="129" t="s">
        <v>169</v>
      </c>
    </row>
    <row r="145" customFormat="false" ht="15.75" hidden="false" customHeight="false" outlineLevel="0" collapsed="false">
      <c r="A145" s="129" t="s">
        <v>208</v>
      </c>
      <c r="B145" s="129" t="s">
        <v>98</v>
      </c>
    </row>
    <row r="146" customFormat="false" ht="15.75" hidden="false" customHeight="false" outlineLevel="0" collapsed="false">
      <c r="A146" s="129" t="s">
        <v>235</v>
      </c>
      <c r="B146" s="129" t="s">
        <v>77</v>
      </c>
    </row>
    <row r="147" customFormat="false" ht="15.75" hidden="false" customHeight="false" outlineLevel="0" collapsed="false">
      <c r="A147" s="129" t="s">
        <v>209</v>
      </c>
      <c r="B147" s="129" t="s">
        <v>98</v>
      </c>
    </row>
    <row r="148" customFormat="false" ht="15.75" hidden="false" customHeight="false" outlineLevel="0" collapsed="false">
      <c r="A148" s="129" t="s">
        <v>252</v>
      </c>
      <c r="B148" s="129" t="s">
        <v>167</v>
      </c>
    </row>
    <row r="149" customFormat="false" ht="15.75" hidden="false" customHeight="false" outlineLevel="0" collapsed="false">
      <c r="A149" s="129" t="s">
        <v>210</v>
      </c>
      <c r="B149" s="129" t="s">
        <v>98</v>
      </c>
    </row>
    <row r="150" customFormat="false" ht="15.75" hidden="false" customHeight="false" outlineLevel="0" collapsed="false">
      <c r="A150" s="129" t="s">
        <v>62</v>
      </c>
      <c r="B150" s="129" t="s">
        <v>172</v>
      </c>
    </row>
    <row r="151" customFormat="false" ht="15.75" hidden="false" customHeight="false" outlineLevel="0" collapsed="false">
      <c r="A151" s="129" t="s">
        <v>405</v>
      </c>
      <c r="B151" s="129" t="s">
        <v>169</v>
      </c>
    </row>
    <row r="152" customFormat="false" ht="15.75" hidden="false" customHeight="false" outlineLevel="0" collapsed="false">
      <c r="A152" s="129" t="s">
        <v>253</v>
      </c>
      <c r="B152" s="129" t="s">
        <v>167</v>
      </c>
    </row>
    <row r="153" customFormat="false" ht="15.75" hidden="false" customHeight="false" outlineLevel="0" collapsed="false">
      <c r="A153" s="129" t="s">
        <v>211</v>
      </c>
      <c r="B153" s="129" t="s">
        <v>98</v>
      </c>
    </row>
    <row r="154" customFormat="false" ht="15.75" hidden="false" customHeight="false" outlineLevel="0" collapsed="false">
      <c r="A154" s="129" t="s">
        <v>297</v>
      </c>
      <c r="B154" s="129" t="s">
        <v>169</v>
      </c>
    </row>
    <row r="155" customFormat="false" ht="15.75" hidden="false" customHeight="false" outlineLevel="0" collapsed="false">
      <c r="A155" s="129" t="s">
        <v>312</v>
      </c>
      <c r="B155" s="129" t="s">
        <v>170</v>
      </c>
    </row>
    <row r="156" customFormat="false" ht="15.75" hidden="false" customHeight="false" outlineLevel="0" collapsed="false">
      <c r="A156" s="129" t="s">
        <v>339</v>
      </c>
      <c r="B156" s="129" t="s">
        <v>172</v>
      </c>
    </row>
    <row r="157" customFormat="false" ht="15.75" hidden="false" customHeight="false" outlineLevel="0" collapsed="false">
      <c r="A157" s="129" t="s">
        <v>314</v>
      </c>
      <c r="B157" s="129" t="s">
        <v>171</v>
      </c>
    </row>
    <row r="158" customFormat="false" ht="15.75" hidden="false" customHeight="false" outlineLevel="0" collapsed="false">
      <c r="A158" s="129" t="s">
        <v>271</v>
      </c>
      <c r="B158" s="129" t="s">
        <v>168</v>
      </c>
    </row>
    <row r="159" customFormat="false" ht="15.75" hidden="false" customHeight="false" outlineLevel="0" collapsed="false">
      <c r="A159" s="129" t="s">
        <v>298</v>
      </c>
      <c r="B159" s="129" t="s">
        <v>169</v>
      </c>
    </row>
    <row r="160" customFormat="false" ht="15.75" hidden="false" customHeight="false" outlineLevel="0" collapsed="false">
      <c r="A160" s="129" t="s">
        <v>272</v>
      </c>
      <c r="B160" s="129" t="s">
        <v>168</v>
      </c>
    </row>
    <row r="161" customFormat="false" ht="15.75" hidden="false" customHeight="false" outlineLevel="0" collapsed="false">
      <c r="A161" s="129" t="s">
        <v>236</v>
      </c>
      <c r="B161" s="129" t="s">
        <v>77</v>
      </c>
    </row>
    <row r="162" customFormat="false" ht="15.75" hidden="false" customHeight="false" outlineLevel="0" collapsed="false">
      <c r="A162" s="129" t="s">
        <v>212</v>
      </c>
      <c r="B162" s="129" t="s">
        <v>98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10.65234375" defaultRowHeight="12.75" zeroHeight="false" outlineLevelRow="0" outlineLevelCol="0"/>
  <cols>
    <col collapsed="false" customWidth="true" hidden="false" outlineLevel="0" max="1" min="1" style="0" width="11.83"/>
    <col collapsed="false" customWidth="true" hidden="false" outlineLevel="0" max="2" min="2" style="98" width="16.33"/>
    <col collapsed="false" customWidth="true" hidden="false" outlineLevel="0" max="3" min="3" style="98" width="19"/>
    <col collapsed="false" customWidth="true" hidden="false" outlineLevel="0" max="4" min="4" style="0" width="47.5"/>
    <col collapsed="false" customWidth="true" hidden="false" outlineLevel="0" max="5" min="5" style="0" width="19.67"/>
    <col collapsed="false" customWidth="true" hidden="false" outlineLevel="0" max="7" min="7" style="98" width="10.83"/>
    <col collapsed="false" customWidth="true" hidden="false" outlineLevel="0" max="11" min="11" style="0" width="22.17"/>
  </cols>
  <sheetData>
    <row r="1" customFormat="false" ht="33.75" hidden="false" customHeight="false" outlineLevel="0" collapsed="false">
      <c r="A1" s="53" t="s">
        <v>107</v>
      </c>
      <c r="B1" s="168" t="s">
        <v>406</v>
      </c>
      <c r="C1" s="169" t="s">
        <v>407</v>
      </c>
      <c r="E1" s="148" t="s">
        <v>61</v>
      </c>
      <c r="F1" s="149" t="s">
        <v>99</v>
      </c>
      <c r="G1" s="170" t="n">
        <v>44377</v>
      </c>
      <c r="H1" s="170" t="n">
        <v>44560</v>
      </c>
      <c r="I1" s="149" t="s">
        <v>408</v>
      </c>
      <c r="K1" s="148" t="s">
        <v>61</v>
      </c>
      <c r="L1" s="170" t="n">
        <v>44560</v>
      </c>
      <c r="M1" s="148"/>
      <c r="N1" s="170"/>
    </row>
    <row r="2" customFormat="false" ht="15.75" hidden="false" customHeight="false" outlineLevel="0" collapsed="false">
      <c r="A2" s="54" t="s">
        <v>109</v>
      </c>
      <c r="B2" s="171" t="n">
        <v>69.3364435436633</v>
      </c>
      <c r="C2" s="172" t="n">
        <f aca="false">B2*(1+$I$84)</f>
        <v>59.9292644515462</v>
      </c>
      <c r="E2" s="64" t="s">
        <v>300</v>
      </c>
      <c r="F2" s="65" t="str">
        <f aca="false">VLOOKUP(E2,'Sovereign Ratings (Moody''s,S&amp;P)'!A2:D158,4,FALSE())</f>
        <v>Aa2</v>
      </c>
      <c r="G2" s="99" t="n">
        <v>0.0068</v>
      </c>
      <c r="H2" s="99" t="n">
        <f aca="false">VLOOKUP(E2,$K$2:$L$91,2,FALSE())</f>
        <v>0.006</v>
      </c>
      <c r="I2" s="74" t="n">
        <f aca="false">IF(H2="NA","NA",IF(G2="NA","NA",H2/G2-1))</f>
        <v>-0.117647058823529</v>
      </c>
      <c r="K2" s="64" t="s">
        <v>300</v>
      </c>
      <c r="L2" s="99" t="n">
        <v>0.006</v>
      </c>
      <c r="M2" s="64"/>
      <c r="N2" s="99"/>
    </row>
    <row r="3" customFormat="false" ht="15.75" hidden="false" customHeight="false" outlineLevel="0" collapsed="false">
      <c r="A3" s="54" t="s">
        <v>110</v>
      </c>
      <c r="B3" s="171" t="n">
        <v>83.203732252396</v>
      </c>
      <c r="C3" s="172" t="n">
        <f aca="false">B3*(1+$I$84)</f>
        <v>71.9151173418554</v>
      </c>
      <c r="E3" s="64" t="s">
        <v>409</v>
      </c>
      <c r="F3" s="65" t="e">
        <f aca="false">VLOOKUP(E3,'Sovereign Ratings (Moody''s,S&amp;P)'!A3:D159,4,FALSE())</f>
        <v>#N/A</v>
      </c>
      <c r="G3" s="99" t="n">
        <v>0.014</v>
      </c>
      <c r="H3" s="99" t="n">
        <f aca="false">VLOOKUP(E3,$K$2:$L$91,2,FALSE())</f>
        <v>0.0134</v>
      </c>
      <c r="I3" s="74" t="n">
        <f aca="false">IF(H3="NA","NA",IF(G3="NA","NA",H3/G3-1))</f>
        <v>-0.0428571428571428</v>
      </c>
      <c r="K3" s="64" t="s">
        <v>409</v>
      </c>
      <c r="L3" s="99" t="n">
        <v>0.0134</v>
      </c>
      <c r="M3" s="64"/>
      <c r="N3" s="99"/>
    </row>
    <row r="4" customFormat="false" ht="15.75" hidden="false" customHeight="false" outlineLevel="0" collapsed="false">
      <c r="A4" s="54" t="s">
        <v>111</v>
      </c>
      <c r="B4" s="171" t="n">
        <v>117.871954024228</v>
      </c>
      <c r="C4" s="172" t="n">
        <f aca="false">B4*(1+$I$84)</f>
        <v>101.879749567629</v>
      </c>
      <c r="E4" s="64" t="s">
        <v>183</v>
      </c>
      <c r="F4" s="65" t="str">
        <f aca="false">VLOOKUP(E4,'Sovereign Ratings (Moody''s,S&amp;P)'!A4:D160,4,FALSE())</f>
        <v>B3</v>
      </c>
      <c r="G4" s="99" t="n">
        <v>0.0716</v>
      </c>
      <c r="H4" s="99" t="n">
        <f aca="false">VLOOKUP(E4,$K$2:$L$91,2,FALSE())</f>
        <v>0.0624</v>
      </c>
      <c r="I4" s="74" t="n">
        <f aca="false">IF(H4="NA","NA",IF(G4="NA","NA",H4/G4-1))</f>
        <v>-0.128491620111732</v>
      </c>
      <c r="K4" s="64" t="s">
        <v>183</v>
      </c>
      <c r="L4" s="99" t="n">
        <v>0.0624</v>
      </c>
      <c r="M4" s="64"/>
      <c r="N4" s="99"/>
    </row>
    <row r="5" customFormat="false" ht="15.75" hidden="false" customHeight="false" outlineLevel="0" collapsed="false">
      <c r="A5" s="54" t="s">
        <v>112</v>
      </c>
      <c r="B5" s="171" t="n">
        <v>27</v>
      </c>
      <c r="C5" s="172" t="n">
        <f aca="false">B5*(1+$I$84)</f>
        <v>23.3367916999202</v>
      </c>
      <c r="D5" s="0" t="s">
        <v>410</v>
      </c>
      <c r="E5" s="64" t="s">
        <v>237</v>
      </c>
      <c r="F5" s="65" t="str">
        <f aca="false">VLOOKUP(E5,'Sovereign Ratings (Moody''s,S&amp;P)'!A5:D161,4,FALSE())</f>
        <v>Aaa</v>
      </c>
      <c r="G5" s="99" t="n">
        <v>0.0018</v>
      </c>
      <c r="H5" s="99" t="n">
        <f aca="false">VLOOKUP(E5,$K$2:$L$91,2,FALSE())</f>
        <v>0.0019</v>
      </c>
      <c r="I5" s="74" t="n">
        <f aca="false">IF(H5="NA","NA",IF(G5="NA","NA",H5/G5-1))</f>
        <v>0.0555555555555556</v>
      </c>
      <c r="K5" s="64" t="s">
        <v>254</v>
      </c>
      <c r="L5" s="173" t="n">
        <v>0.0694</v>
      </c>
      <c r="M5" s="64"/>
      <c r="N5" s="173"/>
    </row>
    <row r="6" customFormat="false" ht="15.75" hidden="false" customHeight="false" outlineLevel="0" collapsed="false">
      <c r="A6" s="54" t="s">
        <v>113</v>
      </c>
      <c r="B6" s="171" t="n">
        <v>48.5355104805643</v>
      </c>
      <c r="C6" s="172" t="n">
        <f aca="false">B6*(1+$I$84)</f>
        <v>41.9504851160823</v>
      </c>
      <c r="E6" s="64" t="s">
        <v>316</v>
      </c>
      <c r="F6" s="65" t="str">
        <f aca="false">VLOOKUP(E6,'Sovereign Ratings (Moody''s,S&amp;P)'!A6:D162,4,FALSE())</f>
        <v>Aa1</v>
      </c>
      <c r="G6" s="99" t="n">
        <v>0.0032</v>
      </c>
      <c r="H6" s="99" t="n">
        <f aca="false">VLOOKUP(E6,$K$2:$L$91,2,FALSE())</f>
        <v>0.0028</v>
      </c>
      <c r="I6" s="74" t="n">
        <f aca="false">IF(H6="NA","NA",IF(G6="NA","NA",H6/G6-1))</f>
        <v>-0.125</v>
      </c>
      <c r="K6" s="64" t="s">
        <v>237</v>
      </c>
      <c r="L6" s="99" t="n">
        <v>0.0019</v>
      </c>
      <c r="M6" s="64"/>
      <c r="N6" s="99"/>
    </row>
    <row r="7" customFormat="false" ht="15.75" hidden="false" customHeight="false" outlineLevel="0" collapsed="false">
      <c r="A7" s="54" t="s">
        <v>114</v>
      </c>
      <c r="B7" s="171" t="n">
        <v>58.9359770121138</v>
      </c>
      <c r="C7" s="172" t="n">
        <f aca="false">B7*(1+$I$84)</f>
        <v>50.9398747838143</v>
      </c>
      <c r="E7" s="64" t="s">
        <v>301</v>
      </c>
      <c r="F7" s="65" t="str">
        <f aca="false">VLOOKUP(E7,'Sovereign Ratings (Moody''s,S&amp;P)'!A7:D163,4,FALSE())</f>
        <v>B2</v>
      </c>
      <c r="G7" s="99" t="n">
        <v>0.0279</v>
      </c>
      <c r="H7" s="99" t="n">
        <f aca="false">VLOOKUP(E7,$K$2:$L$91,2,FALSE())</f>
        <v>0.0247</v>
      </c>
      <c r="I7" s="74" t="n">
        <f aca="false">IF(H7="NA","NA",IF(G7="NA","NA",H7/G7-1))</f>
        <v>-0.114695340501792</v>
      </c>
      <c r="K7" s="64" t="s">
        <v>316</v>
      </c>
      <c r="L7" s="99" t="n">
        <v>0.0028</v>
      </c>
      <c r="M7" s="64"/>
      <c r="N7" s="99"/>
    </row>
    <row r="8" customFormat="false" ht="15.75" hidden="false" customHeight="false" outlineLevel="0" collapsed="false">
      <c r="A8" s="54" t="s">
        <v>115</v>
      </c>
      <c r="B8" s="171" t="n">
        <v>0</v>
      </c>
      <c r="C8" s="172" t="n">
        <f aca="false">B8*(1+$I$84)</f>
        <v>0</v>
      </c>
      <c r="E8" s="64" t="s">
        <v>317</v>
      </c>
      <c r="F8" s="65" t="str">
        <f aca="false">VLOOKUP(E8,'Sovereign Ratings (Moody''s,S&amp;P)'!A8:D164,4,FALSE())</f>
        <v>Aa3</v>
      </c>
      <c r="G8" s="99" t="n">
        <v>0.005</v>
      </c>
      <c r="H8" s="99" t="n">
        <f aca="false">VLOOKUP(E8,$K$2:$L$91,2,FALSE())</f>
        <v>0.004</v>
      </c>
      <c r="I8" s="74" t="n">
        <f aca="false">IF(H8="NA","NA",IF(G8="NA","NA",H8/G8-1))</f>
        <v>-0.2</v>
      </c>
      <c r="K8" s="64" t="s">
        <v>301</v>
      </c>
      <c r="L8" s="99" t="n">
        <v>0.0247</v>
      </c>
      <c r="M8" s="64"/>
      <c r="N8" s="99"/>
    </row>
    <row r="9" customFormat="false" ht="15.75" hidden="false" customHeight="false" outlineLevel="0" collapsed="false">
      <c r="A9" s="54" t="s">
        <v>116</v>
      </c>
      <c r="B9" s="171" t="n">
        <v>442.597631287051</v>
      </c>
      <c r="C9" s="172" t="n">
        <f aca="false">B9*(1+$I$84)</f>
        <v>382.548471415703</v>
      </c>
      <c r="E9" s="64" t="s">
        <v>257</v>
      </c>
      <c r="F9" s="65" t="str">
        <f aca="false">VLOOKUP(E9,'Sovereign Ratings (Moody''s,S&amp;P)'!A9:D165,4,FALSE())</f>
        <v>Ba1</v>
      </c>
      <c r="G9" s="99" t="n">
        <v>0.0255</v>
      </c>
      <c r="H9" s="99" t="n">
        <f aca="false">VLOOKUP(E9,$K$2:$L$91,2,FALSE())</f>
        <v>0.0235</v>
      </c>
      <c r="I9" s="74" t="n">
        <f aca="false">IF(H9="NA","NA",IF(G9="NA","NA",H9/G9-1))</f>
        <v>-0.0784313725490196</v>
      </c>
      <c r="K9" s="64" t="s">
        <v>317</v>
      </c>
      <c r="L9" s="99" t="n">
        <v>0.004</v>
      </c>
      <c r="M9" s="64"/>
      <c r="N9" s="99"/>
    </row>
    <row r="10" customFormat="false" ht="15.75" hidden="false" customHeight="false" outlineLevel="0" collapsed="false">
      <c r="A10" s="54" t="s">
        <v>117</v>
      </c>
      <c r="B10" s="171" t="n">
        <v>540.824259640574</v>
      </c>
      <c r="C10" s="172" t="n">
        <f aca="false">B10*(1+$I$84)</f>
        <v>467.44826272206</v>
      </c>
      <c r="E10" s="64" t="s">
        <v>278</v>
      </c>
      <c r="F10" s="65" t="str">
        <f aca="false">VLOOKUP(E10,'Sovereign Ratings (Moody''s,S&amp;P)'!A10:D166,4,FALSE())</f>
        <v>Baa1</v>
      </c>
      <c r="G10" s="99" t="n">
        <v>0.0112</v>
      </c>
      <c r="H10" s="99" t="n">
        <f aca="false">VLOOKUP(E10,$K$2:$L$91,2,FALSE())</f>
        <v>0.0077</v>
      </c>
      <c r="I10" s="74" t="n">
        <f aca="false">IF(H10="NA","NA",IF(G10="NA","NA",H10/G10-1))</f>
        <v>-0.3125</v>
      </c>
      <c r="K10" s="64" t="s">
        <v>257</v>
      </c>
      <c r="L10" s="99" t="n">
        <v>0.0235</v>
      </c>
      <c r="M10" s="64"/>
      <c r="N10" s="99"/>
    </row>
    <row r="11" customFormat="false" ht="15.75" hidden="false" customHeight="false" outlineLevel="0" collapsed="false">
      <c r="A11" s="54" t="s">
        <v>118</v>
      </c>
      <c r="B11" s="171" t="n">
        <v>639.050887994097</v>
      </c>
      <c r="C11" s="172" t="n">
        <f aca="false">B11*(1+$I$84)</f>
        <v>552.348054028417</v>
      </c>
      <c r="E11" s="64" t="s">
        <v>187</v>
      </c>
      <c r="F11" s="65" t="str">
        <f aca="false">VLOOKUP(E11,'Sovereign Ratings (Moody''s,S&amp;P)'!A11:D167,4,FALSE())</f>
        <v>Caa1</v>
      </c>
      <c r="G11" s="99" t="n">
        <v>0.0803</v>
      </c>
      <c r="H11" s="99" t="n">
        <f aca="false">VLOOKUP(E11,$K$2:$L$91,2,FALSE())</f>
        <v>0.0687</v>
      </c>
      <c r="I11" s="74" t="n">
        <f aca="false">IF(H11="NA","NA",IF(G11="NA","NA",H11/G11-1))</f>
        <v>-0.144458281444583</v>
      </c>
      <c r="K11" s="64" t="s">
        <v>278</v>
      </c>
      <c r="L11" s="99" t="n">
        <v>0.0077</v>
      </c>
      <c r="M11" s="64"/>
      <c r="N11" s="99"/>
    </row>
    <row r="12" customFormat="false" ht="15.75" hidden="false" customHeight="false" outlineLevel="0" collapsed="false">
      <c r="A12" s="54" t="s">
        <v>119</v>
      </c>
      <c r="B12" s="171" t="n">
        <v>246.144374580005</v>
      </c>
      <c r="C12" s="172" t="n">
        <f aca="false">B12*(1+$I$84)</f>
        <v>212.748888802989</v>
      </c>
      <c r="E12" s="64" t="s">
        <v>313</v>
      </c>
      <c r="F12" s="65" t="str">
        <f aca="false">VLOOKUP(E12,'Sovereign Ratings (Moody''s,S&amp;P)'!A12:D168,4,FALSE())</f>
        <v>Aaa</v>
      </c>
      <c r="G12" s="99" t="n">
        <v>0.0037</v>
      </c>
      <c r="H12" s="99" t="n">
        <f aca="false">VLOOKUP(E12,$K$2:$L$91,2,FALSE())</f>
        <v>0.0033</v>
      </c>
      <c r="I12" s="74" t="n">
        <f aca="false">IF(H12="NA","NA",IF(G12="NA","NA",H12/G12-1))</f>
        <v>-0.108108108108108</v>
      </c>
      <c r="K12" s="64" t="s">
        <v>187</v>
      </c>
      <c r="L12" s="99" t="n">
        <v>0.0687</v>
      </c>
      <c r="M12" s="64"/>
      <c r="N12" s="99"/>
    </row>
    <row r="13" customFormat="false" ht="15.75" hidden="false" customHeight="false" outlineLevel="0" collapsed="false">
      <c r="A13" s="54" t="s">
        <v>120</v>
      </c>
      <c r="B13" s="171" t="n">
        <v>295.835492452963</v>
      </c>
      <c r="C13" s="172" t="n">
        <f aca="false">B13*(1+$I$84)</f>
        <v>255.698194993264</v>
      </c>
      <c r="E13" s="64" t="s">
        <v>258</v>
      </c>
      <c r="F13" s="65" t="str">
        <f aca="false">VLOOKUP(E13,'Sovereign Ratings (Moody''s,S&amp;P)'!A13:D169,4,FALSE())</f>
        <v>A2</v>
      </c>
      <c r="G13" s="99" t="n">
        <v>0.0104</v>
      </c>
      <c r="H13" s="99" t="n">
        <f aca="false">VLOOKUP(E13,$K$2:$L$91,2,FALSE())</f>
        <v>0.0087</v>
      </c>
      <c r="I13" s="74" t="n">
        <f aca="false">IF(H13="NA","NA",IF(G13="NA","NA",H13/G13-1))</f>
        <v>-0.163461538461538</v>
      </c>
      <c r="K13" s="64" t="s">
        <v>313</v>
      </c>
      <c r="L13" s="99" t="n">
        <v>0.0033</v>
      </c>
      <c r="M13" s="64"/>
      <c r="N13" s="99"/>
    </row>
    <row r="14" customFormat="false" ht="15.75" hidden="false" customHeight="false" outlineLevel="0" collapsed="false">
      <c r="A14" s="54" t="s">
        <v>121</v>
      </c>
      <c r="B14" s="171" t="n">
        <v>353.615862072683</v>
      </c>
      <c r="C14" s="172" t="n">
        <f aca="false">B14*(1+$I$84)</f>
        <v>305.639248702886</v>
      </c>
      <c r="E14" s="64" t="s">
        <v>215</v>
      </c>
      <c r="F14" s="65" t="str">
        <f aca="false">VLOOKUP(E14,'Sovereign Ratings (Moody''s,S&amp;P)'!A14:D170,4,FALSE())</f>
        <v>A1</v>
      </c>
      <c r="G14" s="99" t="n">
        <v>0.0075</v>
      </c>
      <c r="H14" s="99" t="n">
        <f aca="false">VLOOKUP(E14,$K$2:$L$91,2,FALSE())</f>
        <v>0.0064</v>
      </c>
      <c r="I14" s="74" t="n">
        <f aca="false">IF(H14="NA","NA",IF(G14="NA","NA",H14/G14-1))</f>
        <v>-0.146666666666667</v>
      </c>
      <c r="K14" s="64" t="s">
        <v>258</v>
      </c>
      <c r="L14" s="99" t="n">
        <v>0.0087</v>
      </c>
      <c r="M14" s="64"/>
      <c r="N14" s="99"/>
    </row>
    <row r="15" customFormat="false" ht="15.75" hidden="false" customHeight="false" outlineLevel="0" collapsed="false">
      <c r="A15" s="54" t="s">
        <v>122</v>
      </c>
      <c r="B15" s="171" t="n">
        <v>157.162605365637</v>
      </c>
      <c r="C15" s="172" t="n">
        <f aca="false">B15*(1+$I$84)</f>
        <v>135.839666090171</v>
      </c>
      <c r="E15" s="64" t="s">
        <v>259</v>
      </c>
      <c r="F15" s="65" t="str">
        <f aca="false">VLOOKUP(E15,'Sovereign Ratings (Moody''s,S&amp;P)'!A15:D171,4,FALSE())</f>
        <v>Baa3</v>
      </c>
      <c r="G15" s="99" t="n">
        <v>0.0348</v>
      </c>
      <c r="H15" s="99" t="n">
        <f aca="false">VLOOKUP(E15,$K$2:$L$91,2,FALSE())</f>
        <v>0.0334</v>
      </c>
      <c r="I15" s="74" t="n">
        <f aca="false">IF(H15="NA","NA",IF(G15="NA","NA",H15/G15-1))</f>
        <v>-0.0402298850574713</v>
      </c>
      <c r="K15" s="64" t="s">
        <v>215</v>
      </c>
      <c r="L15" s="99" t="n">
        <v>0.0064</v>
      </c>
      <c r="M15" s="64"/>
      <c r="N15" s="99"/>
    </row>
    <row r="16" customFormat="false" ht="15.75" hidden="false" customHeight="false" outlineLevel="0" collapsed="false">
      <c r="A16" s="54" t="s">
        <v>123</v>
      </c>
      <c r="B16" s="171" t="n">
        <v>187.208397567891</v>
      </c>
      <c r="C16" s="172" t="n">
        <f aca="false">B16*(1+$I$84)</f>
        <v>161.809014019175</v>
      </c>
      <c r="E16" s="64" t="s">
        <v>260</v>
      </c>
      <c r="F16" s="65" t="str">
        <f aca="false">VLOOKUP(E16,'Sovereign Ratings (Moody''s,S&amp;P)'!A16:D172,4,FALSE())</f>
        <v>Ba2</v>
      </c>
      <c r="G16" s="99" t="n">
        <v>0.025</v>
      </c>
      <c r="H16" s="99" t="n">
        <f aca="false">VLOOKUP(E16,$K$2:$L$91,2,FALSE())</f>
        <v>0.0175</v>
      </c>
      <c r="I16" s="74" t="n">
        <f aca="false">IF(H16="NA","NA",IF(G16="NA","NA",H16/G16-1))</f>
        <v>-0.3</v>
      </c>
      <c r="K16" s="64" t="s">
        <v>259</v>
      </c>
      <c r="L16" s="99" t="n">
        <v>0.0334</v>
      </c>
      <c r="M16" s="64"/>
      <c r="N16" s="99"/>
    </row>
    <row r="17" customFormat="false" ht="15.75" hidden="false" customHeight="false" outlineLevel="0" collapsed="false">
      <c r="A17" s="54" t="s">
        <v>124</v>
      </c>
      <c r="B17" s="171" t="n">
        <v>216.098582377751</v>
      </c>
      <c r="C17" s="172" t="n">
        <f aca="false">B17*(1+$I$84)</f>
        <v>186.779540873986</v>
      </c>
      <c r="E17" s="64" t="s">
        <v>279</v>
      </c>
      <c r="F17" s="65" t="str">
        <f aca="false">VLOOKUP(E17,'Sovereign Ratings (Moody''s,S&amp;P)'!A17:D173,4,FALSE())</f>
        <v>A3</v>
      </c>
      <c r="G17" s="99" t="n">
        <v>0.0124</v>
      </c>
      <c r="H17" s="99" t="n">
        <f aca="false">VLOOKUP(E17,$K$2:$L$91,2,FALSE())</f>
        <v>0.0102</v>
      </c>
      <c r="I17" s="74" t="n">
        <f aca="false">IF(H17="NA","NA",IF(G17="NA","NA",H17/G17-1))</f>
        <v>-0.17741935483871</v>
      </c>
      <c r="K17" s="64" t="s">
        <v>260</v>
      </c>
      <c r="L17" s="99" t="n">
        <v>0.0175</v>
      </c>
      <c r="M17" s="64"/>
      <c r="N17" s="99"/>
    </row>
    <row r="18" customFormat="false" ht="15.75" hidden="false" customHeight="false" outlineLevel="0" collapsed="false">
      <c r="A18" s="54" t="s">
        <v>126</v>
      </c>
      <c r="B18" s="171" t="n">
        <v>1179.87514763467</v>
      </c>
      <c r="C18" s="172" t="n">
        <f aca="false">B18*(1+$I$84)</f>
        <v>1019.79631675048</v>
      </c>
      <c r="E18" s="64" t="s">
        <v>318</v>
      </c>
      <c r="F18" s="65" t="str">
        <f aca="false">VLOOKUP(E18,'Sovereign Ratings (Moody''s,S&amp;P)'!A18:D174,4,FALSE())</f>
        <v>A3</v>
      </c>
      <c r="G18" s="99" t="n">
        <v>0.0082</v>
      </c>
      <c r="H18" s="99" t="n">
        <f aca="false">VLOOKUP(E18,$K$2:$L$91,2,FALSE())</f>
        <v>0.0075</v>
      </c>
      <c r="I18" s="74" t="n">
        <f aca="false">IF(H18="NA","NA",IF(G18="NA","NA",H18/G18-1))</f>
        <v>-0.0853658536585367</v>
      </c>
      <c r="K18" s="64" t="s">
        <v>279</v>
      </c>
      <c r="L18" s="99" t="n">
        <v>0.0102</v>
      </c>
      <c r="M18" s="64"/>
      <c r="N18" s="99"/>
    </row>
    <row r="19" customFormat="false" ht="15.75" hidden="false" customHeight="false" outlineLevel="0" collapsed="false">
      <c r="A19" s="54" t="s">
        <v>133</v>
      </c>
      <c r="B19" s="171" t="n">
        <v>737.27751634762</v>
      </c>
      <c r="C19" s="172" t="n">
        <f aca="false">B19*(1+$I$84)</f>
        <v>637.247845334774</v>
      </c>
      <c r="E19" s="64" t="s">
        <v>280</v>
      </c>
      <c r="F19" s="65" t="str">
        <f aca="false">VLOOKUP(E19,'Sovereign Ratings (Moody''s,S&amp;P)'!A19:D175,4,FALSE())</f>
        <v>Aa3</v>
      </c>
      <c r="G19" s="99" t="n">
        <v>0.0054</v>
      </c>
      <c r="H19" s="99" t="n">
        <f aca="false">VLOOKUP(E19,$K$2:$L$91,2,FALSE())</f>
        <v>0.0048</v>
      </c>
      <c r="I19" s="74" t="n">
        <f aca="false">IF(H19="NA","NA",IF(G19="NA","NA",H19/G19-1))</f>
        <v>-0.111111111111111</v>
      </c>
      <c r="K19" s="64" t="s">
        <v>318</v>
      </c>
      <c r="L19" s="99" t="n">
        <v>0.0075</v>
      </c>
      <c r="M19" s="64"/>
      <c r="N19" s="99"/>
    </row>
    <row r="20" customFormat="false" ht="15.75" hidden="false" customHeight="false" outlineLevel="0" collapsed="false">
      <c r="A20" s="54" t="s">
        <v>134</v>
      </c>
      <c r="B20" s="171" t="n">
        <v>885.195262574102</v>
      </c>
      <c r="C20" s="172" t="n">
        <f aca="false">B20*(1+$I$84)</f>
        <v>765.096942831406</v>
      </c>
      <c r="E20" s="64" t="s">
        <v>319</v>
      </c>
      <c r="F20" s="65" t="str">
        <f aca="false">VLOOKUP(E20,'Sovereign Ratings (Moody''s,S&amp;P)'!A20:D176,4,FALSE())</f>
        <v>Aaa</v>
      </c>
      <c r="G20" s="99" t="n">
        <v>0.0021</v>
      </c>
      <c r="H20" s="99" t="n">
        <f aca="false">VLOOKUP(E20,$K$2:$L$91,2,FALSE())</f>
        <v>0.0018</v>
      </c>
      <c r="I20" s="74" t="n">
        <f aca="false">IF(H20="NA","NA",IF(G20="NA","NA",H20/G20-1))</f>
        <v>-0.142857142857143</v>
      </c>
      <c r="K20" s="64" t="s">
        <v>280</v>
      </c>
      <c r="L20" s="99" t="n">
        <v>0.0048</v>
      </c>
      <c r="M20" s="64"/>
      <c r="N20" s="99"/>
    </row>
    <row r="21" customFormat="false" ht="15.75" hidden="false" customHeight="false" outlineLevel="0" collapsed="false">
      <c r="A21" s="54" t="s">
        <v>135</v>
      </c>
      <c r="B21" s="171" t="n">
        <v>983.421890927625</v>
      </c>
      <c r="C21" s="172" t="n">
        <f aca="false">B21*(1+$I$84)</f>
        <v>849.996734137764</v>
      </c>
      <c r="E21" s="64" t="s">
        <v>411</v>
      </c>
      <c r="F21" s="65" t="e">
        <f aca="false">VLOOKUP(E21,'Sovereign Ratings (Moody''s,S&amp;P)'!A21:D177,4,FALSE())</f>
        <v>#N/A</v>
      </c>
      <c r="G21" s="99" t="n">
        <v>0.0098</v>
      </c>
      <c r="H21" s="99" t="n">
        <f aca="false">VLOOKUP(E21,$K$2:$L$91,2,FALSE())</f>
        <v>0.0082</v>
      </c>
      <c r="I21" s="74" t="n">
        <f aca="false">IF(H21="NA","NA",IF(G21="NA","NA",H21/G21-1))</f>
        <v>-0.163265306122449</v>
      </c>
      <c r="K21" s="64" t="s">
        <v>319</v>
      </c>
      <c r="L21" s="99" t="n">
        <v>0.0018</v>
      </c>
      <c r="M21" s="64"/>
      <c r="N21" s="99"/>
    </row>
    <row r="22" customFormat="false" ht="15.75" hidden="false" customHeight="false" outlineLevel="0" collapsed="false">
      <c r="A22" s="174" t="s">
        <v>127</v>
      </c>
      <c r="B22" s="98" t="s">
        <v>136</v>
      </c>
      <c r="C22" s="175" t="s">
        <v>136</v>
      </c>
      <c r="E22" s="64" t="s">
        <v>261</v>
      </c>
      <c r="F22" s="65" t="str">
        <f aca="false">VLOOKUP(E22,'Sovereign Ratings (Moody''s,S&amp;P)'!A22:D178,4,FALSE())</f>
        <v>Caa3</v>
      </c>
      <c r="G22" s="99" t="n">
        <v>0.1242</v>
      </c>
      <c r="H22" s="99" t="n">
        <f aca="false">VLOOKUP(E22,$K$2:$L$91,2,FALSE())</f>
        <v>0.0567</v>
      </c>
      <c r="I22" s="74" t="n">
        <f aca="false">IF(H22="NA","NA",IF(G22="NA","NA",H22/G22-1))</f>
        <v>-0.543478260869565</v>
      </c>
      <c r="K22" s="64" t="s">
        <v>411</v>
      </c>
      <c r="L22" s="99" t="n">
        <v>0.0082</v>
      </c>
      <c r="M22" s="64"/>
      <c r="N22" s="99"/>
    </row>
    <row r="23" customFormat="false" ht="15.75" hidden="false" customHeight="false" outlineLevel="0" collapsed="false">
      <c r="E23" s="64" t="s">
        <v>192</v>
      </c>
      <c r="F23" s="65" t="str">
        <f aca="false">VLOOKUP(E23,'Sovereign Ratings (Moody''s,S&amp;P)'!A23:D179,4,FALSE())</f>
        <v>Caa1</v>
      </c>
      <c r="G23" s="99" t="n">
        <v>0.0661</v>
      </c>
      <c r="H23" s="99" t="n">
        <f aca="false">VLOOKUP(E23,$K$2:$L$91,2,FALSE())</f>
        <v>0.0355</v>
      </c>
      <c r="I23" s="74" t="n">
        <f aca="false">IF(H23="NA","NA",IF(G23="NA","NA",H23/G23-1))</f>
        <v>-0.462934947049924</v>
      </c>
      <c r="K23" s="158" t="s">
        <v>261</v>
      </c>
      <c r="L23" s="173" t="n">
        <v>0.0567</v>
      </c>
      <c r="M23" s="158"/>
      <c r="N23" s="173"/>
    </row>
    <row r="24" customFormat="false" ht="15.75" hidden="false" customHeight="false" outlineLevel="0" collapsed="false">
      <c r="E24" s="64" t="s">
        <v>262</v>
      </c>
      <c r="F24" s="65" t="str">
        <f aca="false">VLOOKUP(E24,'Sovereign Ratings (Moody''s,S&amp;P)'!A24:D180,4,FALSE())</f>
        <v>B3</v>
      </c>
      <c r="G24" s="99" t="n">
        <v>0.0447</v>
      </c>
      <c r="H24" s="99" t="n">
        <f aca="false">VLOOKUP(E24,$K$2:$L$91,2,FALSE())</f>
        <v>0.034</v>
      </c>
      <c r="I24" s="74" t="n">
        <f aca="false">IF(H24="NA","NA",IF(G24="NA","NA",H24/G24-1))</f>
        <v>-0.239373601789709</v>
      </c>
      <c r="K24" s="158" t="s">
        <v>192</v>
      </c>
      <c r="L24" s="99" t="n">
        <v>0.0355</v>
      </c>
      <c r="M24" s="158"/>
      <c r="N24" s="99"/>
    </row>
    <row r="25" customFormat="false" ht="15.75" hidden="false" customHeight="false" outlineLevel="0" collapsed="false">
      <c r="E25" s="64" t="s">
        <v>281</v>
      </c>
      <c r="F25" s="65" t="str">
        <f aca="false">VLOOKUP(E25,'Sovereign Ratings (Moody''s,S&amp;P)'!A25:D181,4,FALSE())</f>
        <v>A1</v>
      </c>
      <c r="G25" s="99" t="n">
        <v>0.0093</v>
      </c>
      <c r="H25" s="99" t="n">
        <f aca="false">VLOOKUP(E25,$K$2:$L$91,2,FALSE())</f>
        <v>0.01</v>
      </c>
      <c r="I25" s="74" t="n">
        <f aca="false">IF(H25="NA","NA",IF(G25="NA","NA",H25/G25-1))</f>
        <v>0.0752688172043012</v>
      </c>
      <c r="K25" s="64" t="s">
        <v>262</v>
      </c>
      <c r="L25" s="99" t="n">
        <v>0.034</v>
      </c>
      <c r="M25" s="64"/>
      <c r="N25" s="99"/>
    </row>
    <row r="26" customFormat="false" ht="15.75" hidden="false" customHeight="false" outlineLevel="0" collapsed="false">
      <c r="E26" s="64" t="s">
        <v>320</v>
      </c>
      <c r="F26" s="65" t="str">
        <f aca="false">VLOOKUP(E26,'Sovereign Ratings (Moody''s,S&amp;P)'!A26:D182,4,FALSE())</f>
        <v>Aa1</v>
      </c>
      <c r="G26" s="99" t="n">
        <v>0.0032</v>
      </c>
      <c r="H26" s="99" t="n">
        <f aca="false">VLOOKUP(E26,$K$2:$L$91,2,FALSE())</f>
        <v>0.0026</v>
      </c>
      <c r="I26" s="74" t="n">
        <f aca="false">IF(H26="NA","NA",IF(G26="NA","NA",H26/G26-1))</f>
        <v>-0.1875</v>
      </c>
      <c r="K26" s="64" t="s">
        <v>281</v>
      </c>
      <c r="L26" s="99" t="n">
        <v>0.01</v>
      </c>
      <c r="M26" s="64"/>
      <c r="N26" s="99"/>
    </row>
    <row r="27" customFormat="false" ht="15.75" hidden="false" customHeight="false" outlineLevel="0" collapsed="false">
      <c r="E27" s="64" t="s">
        <v>321</v>
      </c>
      <c r="F27" s="65" t="str">
        <f aca="false">VLOOKUP(E27,'Sovereign Ratings (Moody''s,S&amp;P)'!A27:D183,4,FALSE())</f>
        <v>Aa3</v>
      </c>
      <c r="G27" s="99" t="n">
        <v>0.0068</v>
      </c>
      <c r="H27" s="99" t="n">
        <f aca="false">VLOOKUP(E27,$K$2:$L$91,2,FALSE())</f>
        <v>0.0064</v>
      </c>
      <c r="I27" s="74" t="n">
        <f aca="false">IF(H27="NA","NA",IF(G27="NA","NA",H27/G27-1))</f>
        <v>-0.0588235294117646</v>
      </c>
      <c r="K27" s="64" t="s">
        <v>193</v>
      </c>
      <c r="L27" s="173" t="s">
        <v>136</v>
      </c>
      <c r="M27" s="64"/>
      <c r="N27" s="173"/>
    </row>
    <row r="28" customFormat="false" ht="15.75" hidden="false" customHeight="false" outlineLevel="0" collapsed="false">
      <c r="E28" s="64" t="s">
        <v>322</v>
      </c>
      <c r="F28" s="65" t="str">
        <f aca="false">VLOOKUP(E28,'Sovereign Ratings (Moody''s,S&amp;P)'!A28:D184,4,FALSE())</f>
        <v>Aaa</v>
      </c>
      <c r="G28" s="99" t="n">
        <v>0.0024</v>
      </c>
      <c r="H28" s="99" t="n">
        <f aca="false">VLOOKUP(E28,$K$2:$L$91,2,FALSE())</f>
        <v>0.0021</v>
      </c>
      <c r="I28" s="74" t="n">
        <f aca="false">IF(H28="NA","NA",IF(G28="NA","NA",H28/G28-1))</f>
        <v>-0.125</v>
      </c>
      <c r="K28" s="64" t="s">
        <v>320</v>
      </c>
      <c r="L28" s="99" t="n">
        <v>0.0026</v>
      </c>
      <c r="M28" s="64"/>
      <c r="N28" s="99"/>
    </row>
    <row r="29" customFormat="false" ht="15.75" hidden="false" customHeight="false" outlineLevel="0" collapsed="false">
      <c r="E29" s="64" t="s">
        <v>323</v>
      </c>
      <c r="F29" s="65" t="str">
        <f aca="false">VLOOKUP(E29,'Sovereign Ratings (Moody''s,S&amp;P)'!A29:D185,4,FALSE())</f>
        <v>Baa3</v>
      </c>
      <c r="G29" s="99" t="n">
        <v>0.0104</v>
      </c>
      <c r="H29" s="99" t="n">
        <f aca="false">VLOOKUP(E29,$K$2:$L$91,2,FALSE())</f>
        <v>0.0075</v>
      </c>
      <c r="I29" s="74" t="n">
        <f aca="false">IF(H29="NA","NA",IF(G29="NA","NA",H29/G29-1))</f>
        <v>-0.278846153846154</v>
      </c>
      <c r="K29" s="64" t="s">
        <v>321</v>
      </c>
      <c r="L29" s="99" t="n">
        <v>0.0064</v>
      </c>
      <c r="M29" s="64"/>
      <c r="N29" s="99"/>
    </row>
    <row r="30" customFormat="false" ht="15.75" hidden="false" customHeight="false" outlineLevel="0" collapsed="false">
      <c r="E30" s="64" t="s">
        <v>263</v>
      </c>
      <c r="F30" s="65" t="str">
        <f aca="false">VLOOKUP(E30,'Sovereign Ratings (Moody''s,S&amp;P)'!A30:D186,4,FALSE())</f>
        <v>Ba1</v>
      </c>
      <c r="G30" s="99" t="n">
        <v>0.0221</v>
      </c>
      <c r="H30" s="99" t="n">
        <f aca="false">VLOOKUP(E30,$K$2:$L$91,2,FALSE())</f>
        <v>0.0171</v>
      </c>
      <c r="I30" s="74" t="n">
        <f aca="false">IF(H30="NA","NA",IF(G30="NA","NA",H30/G30-1))</f>
        <v>-0.226244343891403</v>
      </c>
      <c r="K30" s="64" t="s">
        <v>194</v>
      </c>
      <c r="L30" s="99" t="n">
        <v>0.0854</v>
      </c>
      <c r="M30" s="64"/>
      <c r="N30" s="99"/>
    </row>
    <row r="31" customFormat="false" ht="15.75" hidden="false" customHeight="false" outlineLevel="0" collapsed="false">
      <c r="E31" s="64" t="s">
        <v>217</v>
      </c>
      <c r="F31" s="65" t="str">
        <f aca="false">VLOOKUP(E31,'Sovereign Ratings (Moody''s,S&amp;P)'!A31:D187,4,FALSE())</f>
        <v>Aa3</v>
      </c>
      <c r="G31" s="99" t="n">
        <v>0.0059</v>
      </c>
      <c r="H31" s="99" t="n">
        <f aca="false">VLOOKUP(E31,$K$2:$L$91,2,FALSE())</f>
        <v>0.0044</v>
      </c>
      <c r="I31" s="74" t="n">
        <f aca="false">IF(H31="NA","NA",IF(G31="NA","NA",H31/G31-1))</f>
        <v>-0.254237288135593</v>
      </c>
      <c r="K31" s="64" t="s">
        <v>322</v>
      </c>
      <c r="L31" s="99" t="n">
        <v>0.0021</v>
      </c>
      <c r="M31" s="64"/>
      <c r="N31" s="99"/>
    </row>
    <row r="32" customFormat="false" ht="15.75" hidden="false" customHeight="false" outlineLevel="0" collapsed="false">
      <c r="E32" s="64" t="s">
        <v>283</v>
      </c>
      <c r="F32" s="65" t="str">
        <f aca="false">VLOOKUP(E32,'Sovereign Ratings (Moody''s,S&amp;P)'!A32:D188,4,FALSE())</f>
        <v>Baa2</v>
      </c>
      <c r="G32" s="99" t="n">
        <v>0.0183</v>
      </c>
      <c r="H32" s="99" t="n">
        <f aca="false">VLOOKUP(E32,$K$2:$L$91,2,FALSE())</f>
        <v>0.016</v>
      </c>
      <c r="I32" s="74" t="n">
        <f aca="false">IF(H32="NA","NA",IF(G32="NA","NA",H32/G32-1))</f>
        <v>-0.12568306010929</v>
      </c>
      <c r="K32" s="64" t="s">
        <v>323</v>
      </c>
      <c r="L32" s="99" t="n">
        <v>0.0075</v>
      </c>
      <c r="M32" s="64"/>
      <c r="N32" s="99"/>
    </row>
    <row r="33" customFormat="false" ht="15.75" hidden="false" customHeight="false" outlineLevel="0" collapsed="false">
      <c r="E33" s="64" t="s">
        <v>325</v>
      </c>
      <c r="F33" s="65" t="str">
        <f aca="false">VLOOKUP(E33,'Sovereign Ratings (Moody''s,S&amp;P)'!A33:D189,4,FALSE())</f>
        <v>A1</v>
      </c>
      <c r="G33" s="99" t="n">
        <v>0.0047</v>
      </c>
      <c r="H33" s="99" t="n">
        <f aca="false">VLOOKUP(E33,$K$2:$L$91,2,FALSE())</f>
        <v>0.0045</v>
      </c>
      <c r="I33" s="74" t="n">
        <f aca="false">IF(H33="NA","NA",IF(G33="NA","NA",H33/G33-1))</f>
        <v>-0.0425531914893618</v>
      </c>
      <c r="K33" s="64" t="s">
        <v>263</v>
      </c>
      <c r="L33" s="99" t="n">
        <v>0.0171</v>
      </c>
      <c r="M33" s="64"/>
      <c r="N33" s="99"/>
    </row>
    <row r="34" customFormat="false" ht="15.75" hidden="false" customHeight="false" outlineLevel="0" collapsed="false">
      <c r="E34" s="64" t="s">
        <v>218</v>
      </c>
      <c r="F34" s="65" t="str">
        <f aca="false">VLOOKUP(E34,'Sovereign Ratings (Moody''s,S&amp;P)'!A34:D190,4,FALSE())</f>
        <v>Baa3</v>
      </c>
      <c r="G34" s="99" t="n">
        <v>0.0084</v>
      </c>
      <c r="H34" s="99" t="n">
        <f aca="false">VLOOKUP(E34,$K$2:$L$91,2,FALSE())</f>
        <v>0.008</v>
      </c>
      <c r="I34" s="74" t="n">
        <f aca="false">IF(H34="NA","NA",IF(G34="NA","NA",H34/G34-1))</f>
        <v>-0.0476190476190476</v>
      </c>
      <c r="K34" s="64" t="s">
        <v>217</v>
      </c>
      <c r="L34" s="99" t="n">
        <v>0.0044</v>
      </c>
      <c r="M34" s="64"/>
      <c r="N34" s="99"/>
    </row>
    <row r="35" customFormat="false" ht="15.75" hidden="false" customHeight="false" outlineLevel="0" collapsed="false">
      <c r="E35" s="64" t="s">
        <v>219</v>
      </c>
      <c r="F35" s="65" t="str">
        <f aca="false">VLOOKUP(E35,'Sovereign Ratings (Moody''s,S&amp;P)'!A35:D191,4,FALSE())</f>
        <v>Baa2</v>
      </c>
      <c r="G35" s="99" t="n">
        <v>0.0134</v>
      </c>
      <c r="H35" s="99" t="n">
        <f aca="false">VLOOKUP(E35,$K$2:$L$91,2,FALSE())</f>
        <v>0.0119</v>
      </c>
      <c r="I35" s="74" t="n">
        <f aca="false">IF(H35="NA","NA",IF(G35="NA","NA",H35/G35-1))</f>
        <v>-0.111940298507463</v>
      </c>
      <c r="K35" s="64" t="s">
        <v>283</v>
      </c>
      <c r="L35" s="99" t="n">
        <v>0.016</v>
      </c>
      <c r="M35" s="64"/>
      <c r="N35" s="99"/>
    </row>
    <row r="36" customFormat="false" ht="15.75" hidden="false" customHeight="false" outlineLevel="0" collapsed="false">
      <c r="E36" s="64" t="s">
        <v>302</v>
      </c>
      <c r="F36" s="65" t="str">
        <f aca="false">VLOOKUP(E36,'Sovereign Ratings (Moody''s,S&amp;P)'!A36:D192,4,FALSE())</f>
        <v>Caa1</v>
      </c>
      <c r="G36" s="99" t="n">
        <v>0.0405</v>
      </c>
      <c r="H36" s="99" t="n">
        <f aca="false">VLOOKUP(E36,$K$2:$L$91,2,FALSE())</f>
        <v>0.0289</v>
      </c>
      <c r="I36" s="74" t="n">
        <f aca="false">IF(H36="NA","NA",IF(G36="NA","NA",H36/G36-1))</f>
        <v>-0.28641975308642</v>
      </c>
      <c r="K36" s="64" t="s">
        <v>325</v>
      </c>
      <c r="L36" s="99" t="n">
        <v>0.0045</v>
      </c>
      <c r="M36" s="64"/>
      <c r="N36" s="99"/>
    </row>
    <row r="37" customFormat="false" ht="15.75" hidden="false" customHeight="false" outlineLevel="0" collapsed="false">
      <c r="E37" s="64" t="s">
        <v>326</v>
      </c>
      <c r="F37" s="65" t="str">
        <f aca="false">VLOOKUP(E37,'Sovereign Ratings (Moody''s,S&amp;P)'!A37:D193,4,FALSE())</f>
        <v>Aa3</v>
      </c>
      <c r="G37" s="99" t="n">
        <v>0.0038</v>
      </c>
      <c r="H37" s="99" t="n">
        <f aca="false">VLOOKUP(E37,$K$2:$L$91,2,FALSE())</f>
        <v>0.0034</v>
      </c>
      <c r="I37" s="74" t="n">
        <f aca="false">IF(H37="NA","NA",IF(G37="NA","NA",H37/G37-1))</f>
        <v>-0.105263157894737</v>
      </c>
      <c r="K37" s="64" t="s">
        <v>218</v>
      </c>
      <c r="L37" s="99" t="n">
        <v>0.008</v>
      </c>
      <c r="M37" s="64"/>
      <c r="N37" s="99"/>
    </row>
    <row r="38" customFormat="false" ht="15.75" hidden="false" customHeight="false" outlineLevel="0" collapsed="false">
      <c r="E38" s="64" t="s">
        <v>303</v>
      </c>
      <c r="F38" s="65" t="str">
        <f aca="false">VLOOKUP(E38,'Sovereign Ratings (Moody''s,S&amp;P)'!A38:D194,4,FALSE())</f>
        <v>Baa1</v>
      </c>
      <c r="G38" s="99" t="n">
        <v>0.0139</v>
      </c>
      <c r="H38" s="99" t="n">
        <f aca="false">VLOOKUP(E38,$K$2:$L$91,2,FALSE())</f>
        <v>0.0113</v>
      </c>
      <c r="I38" s="74" t="n">
        <f aca="false">IF(H38="NA","NA",IF(G38="NA","NA",H38/G38-1))</f>
        <v>-0.18705035971223</v>
      </c>
      <c r="K38" s="64" t="s">
        <v>219</v>
      </c>
      <c r="L38" s="99" t="n">
        <v>0.0119</v>
      </c>
      <c r="M38" s="64"/>
      <c r="N38" s="99"/>
    </row>
    <row r="39" customFormat="false" ht="15.75" hidden="false" customHeight="false" outlineLevel="0" collapsed="false">
      <c r="E39" s="64" t="s">
        <v>328</v>
      </c>
      <c r="F39" s="65" t="str">
        <f aca="false">VLOOKUP(E39,'Sovereign Ratings (Moody''s,S&amp;P)'!A39:D195,4,FALSE())</f>
        <v>Baa2</v>
      </c>
      <c r="G39" s="99" t="n">
        <v>0.0098</v>
      </c>
      <c r="H39" s="99" t="n">
        <f aca="false">VLOOKUP(E39,$K$2:$L$91,2,FALSE())</f>
        <v>0.0061</v>
      </c>
      <c r="I39" s="74" t="n">
        <f aca="false">IF(H39="NA","NA",IF(G39="NA","NA",H39/G39-1))</f>
        <v>-0.377551020408163</v>
      </c>
      <c r="K39" s="64" t="s">
        <v>302</v>
      </c>
      <c r="L39" s="99" t="n">
        <v>0.0289</v>
      </c>
      <c r="M39" s="64"/>
      <c r="N39" s="99"/>
    </row>
    <row r="40" customFormat="false" ht="15.75" hidden="false" customHeight="false" outlineLevel="0" collapsed="false">
      <c r="E40" s="64" t="s">
        <v>220</v>
      </c>
      <c r="F40" s="65" t="str">
        <f aca="false">VLOOKUP(E40,'Sovereign Ratings (Moody''s,S&amp;P)'!A40:D196,4,FALSE())</f>
        <v>A1</v>
      </c>
      <c r="G40" s="99" t="n">
        <v>0.0036</v>
      </c>
      <c r="H40" s="99" t="n">
        <f aca="false">VLOOKUP(E40,$K$2:$L$91,2,FALSE())</f>
        <v>0.0044</v>
      </c>
      <c r="I40" s="74" t="n">
        <f aca="false">IF(H40="NA","NA",IF(G40="NA","NA",H40/G40-1))</f>
        <v>0.222222222222222</v>
      </c>
      <c r="K40" s="64" t="s">
        <v>326</v>
      </c>
      <c r="L40" s="99" t="n">
        <v>0.0034</v>
      </c>
      <c r="M40" s="64"/>
      <c r="N40" s="99"/>
    </row>
    <row r="41" customFormat="false" ht="15.75" hidden="false" customHeight="false" outlineLevel="0" collapsed="false">
      <c r="E41" s="64" t="s">
        <v>284</v>
      </c>
      <c r="F41" s="65" t="str">
        <f aca="false">VLOOKUP(E41,'Sovereign Ratings (Moody''s,S&amp;P)'!A41:D197,4,FALSE())</f>
        <v>Baa1</v>
      </c>
      <c r="G41" s="99" t="n">
        <v>0.0146</v>
      </c>
      <c r="H41" s="99" t="n">
        <f aca="false">VLOOKUP(E41,$K$2:$L$91,2,FALSE())</f>
        <v>0.0131</v>
      </c>
      <c r="I41" s="74" t="n">
        <f aca="false">IF(H41="NA","NA",IF(G41="NA","NA",H41/G41-1))</f>
        <v>-0.102739726027397</v>
      </c>
      <c r="K41" s="64" t="s">
        <v>303</v>
      </c>
      <c r="L41" s="99" t="n">
        <v>0.0113</v>
      </c>
      <c r="M41" s="64"/>
      <c r="N41" s="99"/>
    </row>
    <row r="42" customFormat="false" ht="15.75" hidden="false" customHeight="false" outlineLevel="0" collapsed="false">
      <c r="E42" s="64" t="s">
        <v>196</v>
      </c>
      <c r="F42" s="65" t="str">
        <f aca="false">VLOOKUP(E42,'Sovereign Ratings (Moody''s,S&amp;P)'!A42:D198,4,FALSE())</f>
        <v>B3</v>
      </c>
      <c r="G42" s="99" t="n">
        <v>0.0634</v>
      </c>
      <c r="H42" s="99" t="n">
        <f aca="false">VLOOKUP(E42,$K$2:$L$91,2,FALSE())</f>
        <v>0.0451</v>
      </c>
      <c r="I42" s="74" t="n">
        <f aca="false">IF(H42="NA","NA",IF(G42="NA","NA",H42/G42-1))</f>
        <v>-0.288643533123028</v>
      </c>
      <c r="K42" s="64" t="s">
        <v>328</v>
      </c>
      <c r="L42" s="99" t="n">
        <v>0.0061</v>
      </c>
      <c r="M42" s="64"/>
      <c r="N42" s="99"/>
    </row>
    <row r="43" customFormat="false" ht="15.75" hidden="false" customHeight="false" outlineLevel="0" collapsed="false">
      <c r="E43" s="64" t="s">
        <v>221</v>
      </c>
      <c r="F43" s="65" t="str">
        <f aca="false">VLOOKUP(E43,'Sovereign Ratings (Moody''s,S&amp;P)'!A43:D199,4,FALSE())</f>
        <v>Aa2</v>
      </c>
      <c r="G43" s="99" t="n">
        <v>0.0037</v>
      </c>
      <c r="H43" s="99" t="n">
        <f aca="false">VLOOKUP(E43,$K$2:$L$91,2,FALSE())</f>
        <v>0.0034</v>
      </c>
      <c r="I43" s="74" t="n">
        <f aca="false">IF(H43="NA","NA",IF(G43="NA","NA",H43/G43-1))</f>
        <v>-0.0810810810810811</v>
      </c>
      <c r="K43" s="64" t="s">
        <v>220</v>
      </c>
      <c r="L43" s="99" t="n">
        <v>0.0044</v>
      </c>
      <c r="M43" s="64"/>
      <c r="N43" s="99"/>
    </row>
    <row r="44" customFormat="false" ht="15.75" hidden="false" customHeight="false" outlineLevel="0" collapsed="false">
      <c r="E44" s="64" t="s">
        <v>305</v>
      </c>
      <c r="F44" s="65" t="str">
        <f aca="false">VLOOKUP(E44,'Sovereign Ratings (Moody''s,S&amp;P)'!A44:D200,4,FALSE())</f>
        <v>A1</v>
      </c>
      <c r="G44" s="99" t="n">
        <v>0.0087</v>
      </c>
      <c r="H44" s="99" t="n">
        <f aca="false">VLOOKUP(E44,$K$2:$L$91,2,FALSE())</f>
        <v>0.0087</v>
      </c>
      <c r="I44" s="74" t="n">
        <f aca="false">IF(H44="NA","NA",IF(G44="NA","NA",H44/G44-1))</f>
        <v>0</v>
      </c>
      <c r="K44" s="64" t="s">
        <v>284</v>
      </c>
      <c r="L44" s="99" t="n">
        <v>0.0131</v>
      </c>
      <c r="M44" s="64"/>
      <c r="N44" s="99"/>
    </row>
    <row r="45" customFormat="false" ht="15.75" hidden="false" customHeight="false" outlineLevel="0" collapsed="false">
      <c r="E45" s="64" t="s">
        <v>286</v>
      </c>
      <c r="F45" s="65" t="str">
        <f aca="false">VLOOKUP(E45,'Sovereign Ratings (Moody''s,S&amp;P)'!A45:D201,4,FALSE())</f>
        <v>A3</v>
      </c>
      <c r="G45" s="99" t="n">
        <v>0.0098</v>
      </c>
      <c r="H45" s="99" t="n">
        <f aca="false">VLOOKUP(E45,$K$2:$L$91,2,FALSE())</f>
        <v>0.0082</v>
      </c>
      <c r="I45" s="74" t="n">
        <f aca="false">IF(H45="NA","NA",IF(G45="NA","NA",H45/G45-1))</f>
        <v>-0.163265306122449</v>
      </c>
      <c r="K45" s="64" t="s">
        <v>196</v>
      </c>
      <c r="L45" s="99" t="n">
        <v>0.0451</v>
      </c>
      <c r="M45" s="64"/>
      <c r="N45" s="99"/>
    </row>
    <row r="46" customFormat="false" ht="15.75" hidden="false" customHeight="false" outlineLevel="0" collapsed="false">
      <c r="E46" s="64" t="s">
        <v>287</v>
      </c>
      <c r="F46" s="65" t="str">
        <f aca="false">VLOOKUP(E46,'Sovereign Ratings (Moody''s,S&amp;P)'!A46:D202,4,FALSE())</f>
        <v>A2</v>
      </c>
      <c r="G46" s="99" t="n">
        <v>0.009</v>
      </c>
      <c r="H46" s="99" t="n">
        <f aca="false">VLOOKUP(E46,$K$2:$L$91,2,FALSE())</f>
        <v>0.0082</v>
      </c>
      <c r="I46" s="74" t="n">
        <f aca="false">IF(H46="NA","NA",IF(G46="NA","NA",H46/G46-1))</f>
        <v>-0.0888888888888888</v>
      </c>
      <c r="K46" s="64" t="s">
        <v>221</v>
      </c>
      <c r="L46" s="99" t="n">
        <v>0.0034</v>
      </c>
      <c r="M46" s="64"/>
      <c r="N46" s="99"/>
    </row>
    <row r="47" customFormat="false" ht="15.75" hidden="false" customHeight="false" outlineLevel="0" collapsed="false">
      <c r="E47" s="64" t="s">
        <v>224</v>
      </c>
      <c r="F47" s="65" t="str">
        <f aca="false">VLOOKUP(E47,'Sovereign Ratings (Moody''s,S&amp;P)'!A47:D203,4,FALSE())</f>
        <v>A3</v>
      </c>
      <c r="G47" s="99" t="n">
        <v>0.0081</v>
      </c>
      <c r="H47" s="99" t="n">
        <f aca="false">VLOOKUP(E47,$K$2:$L$91,2,FALSE())</f>
        <v>0.0067</v>
      </c>
      <c r="I47" s="74" t="n">
        <f aca="false">IF(H47="NA","NA",IF(G47="NA","NA",H47/G47-1))</f>
        <v>-0.172839506172839</v>
      </c>
      <c r="K47" s="64" t="s">
        <v>305</v>
      </c>
      <c r="L47" s="99" t="n">
        <v>0.0087</v>
      </c>
      <c r="M47" s="64"/>
      <c r="N47" s="99"/>
    </row>
    <row r="48" customFormat="false" ht="15.75" hidden="false" customHeight="false" outlineLevel="0" collapsed="false">
      <c r="E48" s="64" t="s">
        <v>265</v>
      </c>
      <c r="F48" s="65" t="str">
        <f aca="false">VLOOKUP(E48,'Sovereign Ratings (Moody''s,S&amp;P)'!A48:D204,4,FALSE())</f>
        <v>Baa2</v>
      </c>
      <c r="G48" s="99" t="n">
        <v>0.0186</v>
      </c>
      <c r="H48" s="99" t="n">
        <f aca="false">VLOOKUP(E48,$K$2:$L$91,2,FALSE())</f>
        <v>0.0166</v>
      </c>
      <c r="I48" s="74" t="n">
        <f aca="false">IF(H48="NA","NA",IF(G48="NA","NA",H48/G48-1))</f>
        <v>-0.10752688172043</v>
      </c>
      <c r="K48" s="64" t="s">
        <v>286</v>
      </c>
      <c r="L48" s="99" t="n">
        <v>0.0082</v>
      </c>
      <c r="M48" s="64"/>
      <c r="N48" s="99"/>
    </row>
    <row r="49" customFormat="false" ht="15.75" hidden="false" customHeight="false" outlineLevel="0" collapsed="false">
      <c r="E49" s="64" t="s">
        <v>199</v>
      </c>
      <c r="F49" s="65" t="str">
        <f aca="false">VLOOKUP(E49,'Sovereign Ratings (Moody''s,S&amp;P)'!A49:D205,4,FALSE())</f>
        <v>Ba1</v>
      </c>
      <c r="G49" s="99" t="n">
        <v>0.016</v>
      </c>
      <c r="H49" s="99" t="n">
        <f aca="false">VLOOKUP(E49,$K$2:$L$91,2,FALSE())</f>
        <v>0.013</v>
      </c>
      <c r="I49" s="74" t="n">
        <f aca="false">IF(H49="NA","NA",IF(G49="NA","NA",H49/G49-1))</f>
        <v>-0.1875</v>
      </c>
      <c r="K49" s="64" t="s">
        <v>306</v>
      </c>
      <c r="L49" s="99" t="s">
        <v>136</v>
      </c>
      <c r="M49" s="64"/>
      <c r="N49" s="99"/>
    </row>
    <row r="50" customFormat="false" ht="15.75" hidden="false" customHeight="false" outlineLevel="0" collapsed="false">
      <c r="E50" s="64" t="s">
        <v>201</v>
      </c>
      <c r="F50" s="65" t="str">
        <f aca="false">VLOOKUP(E50,'Sovereign Ratings (Moody''s,S&amp;P)'!A50:D206,4,FALSE())</f>
        <v>B1</v>
      </c>
      <c r="G50" s="99" t="n">
        <v>0.0365</v>
      </c>
      <c r="H50" s="99" t="n">
        <f aca="false">VLOOKUP(E50,$K$2:$L$91,2,FALSE())</f>
        <v>0.0341</v>
      </c>
      <c r="I50" s="74" t="n">
        <f aca="false">IF(H50="NA","NA",IF(G50="NA","NA",H50/G50-1))</f>
        <v>-0.0657534246575342</v>
      </c>
      <c r="K50" s="64" t="s">
        <v>287</v>
      </c>
      <c r="L50" s="99" t="n">
        <v>0.0082</v>
      </c>
      <c r="M50" s="64"/>
      <c r="N50" s="99"/>
    </row>
    <row r="51" customFormat="false" ht="15.75" hidden="false" customHeight="false" outlineLevel="0" collapsed="false">
      <c r="E51" s="64" t="s">
        <v>333</v>
      </c>
      <c r="F51" s="65" t="str">
        <f aca="false">VLOOKUP(E51,'Sovereign Ratings (Moody''s,S&amp;P)'!A51:D207,4,FALSE())</f>
        <v>Aaa</v>
      </c>
      <c r="G51" s="99" t="n">
        <v>0.0025</v>
      </c>
      <c r="H51" s="99" t="n">
        <f aca="false">VLOOKUP(E51,$K$2:$L$91,2,FALSE())</f>
        <v>0.002</v>
      </c>
      <c r="I51" s="74" t="n">
        <f aca="false">IF(H51="NA","NA",IF(G51="NA","NA",H51/G51-1))</f>
        <v>-0.2</v>
      </c>
      <c r="K51" s="64" t="s">
        <v>224</v>
      </c>
      <c r="L51" s="99" t="n">
        <v>0.0067</v>
      </c>
      <c r="M51" s="64"/>
      <c r="N51" s="99"/>
    </row>
    <row r="52" customFormat="false" ht="15.75" hidden="false" customHeight="false" outlineLevel="0" collapsed="false">
      <c r="E52" s="64" t="s">
        <v>239</v>
      </c>
      <c r="F52" s="65" t="str">
        <f aca="false">VLOOKUP(E52,'Sovereign Ratings (Moody''s,S&amp;P)'!A52:D208,4,FALSE())</f>
        <v>Aaa</v>
      </c>
      <c r="G52" s="99" t="n">
        <v>0.0023</v>
      </c>
      <c r="H52" s="99" t="n">
        <f aca="false">VLOOKUP(E52,$K$2:$L$91,2,FALSE())</f>
        <v>0.0023</v>
      </c>
      <c r="I52" s="74" t="n">
        <f aca="false">IF(H52="NA","NA",IF(G52="NA","NA",H52/G52-1))</f>
        <v>0</v>
      </c>
      <c r="K52" s="64" t="s">
        <v>265</v>
      </c>
      <c r="L52" s="99" t="n">
        <v>0.0166</v>
      </c>
      <c r="M52" s="64"/>
      <c r="N52" s="99"/>
    </row>
    <row r="53" customFormat="false" ht="15.75" hidden="false" customHeight="false" outlineLevel="0" collapsed="false">
      <c r="E53" s="64" t="s">
        <v>266</v>
      </c>
      <c r="F53" s="65" t="str">
        <f aca="false">VLOOKUP(E53,'Sovereign Ratings (Moody''s,S&amp;P)'!A53:D209,4,FALSE())</f>
        <v>B2</v>
      </c>
      <c r="G53" s="176" t="n">
        <v>0.0637</v>
      </c>
      <c r="H53" s="99" t="n">
        <f aca="false">VLOOKUP(E53,$K$2:$L$91,2,FALSE())</f>
        <v>0.0529</v>
      </c>
      <c r="I53" s="74" t="n">
        <f aca="false">IF(H53="NA","NA",IF(G53="NA","NA",H53/G53-1))</f>
        <v>-0.169544740973312</v>
      </c>
      <c r="K53" s="64" t="s">
        <v>226</v>
      </c>
      <c r="L53" s="99" t="n">
        <v>0.0326</v>
      </c>
      <c r="M53" s="64"/>
      <c r="N53" s="99"/>
    </row>
    <row r="54" customFormat="false" ht="15.75" hidden="false" customHeight="false" outlineLevel="0" collapsed="false">
      <c r="E54" s="64" t="s">
        <v>203</v>
      </c>
      <c r="F54" s="65" t="str">
        <f aca="false">VLOOKUP(E54,'Sovereign Ratings (Moody''s,S&amp;P)'!A54:D210,4,FALSE())</f>
        <v>B3</v>
      </c>
      <c r="G54" s="99" t="n">
        <v>0.0605</v>
      </c>
      <c r="H54" s="99" t="n">
        <f aca="false">VLOOKUP(E54,$K$2:$L$91,2,FALSE())</f>
        <v>0.0391</v>
      </c>
      <c r="I54" s="74" t="n">
        <f aca="false">IF(H54="NA","NA",IF(G54="NA","NA",H54/G54-1))</f>
        <v>-0.353719008264463</v>
      </c>
      <c r="K54" s="64" t="s">
        <v>199</v>
      </c>
      <c r="L54" s="99" t="n">
        <v>0.013</v>
      </c>
      <c r="M54" s="64"/>
      <c r="N54" s="99"/>
    </row>
    <row r="55" customFormat="false" ht="15.75" hidden="false" customHeight="false" outlineLevel="0" collapsed="false">
      <c r="E55" s="64" t="s">
        <v>334</v>
      </c>
      <c r="F55" s="65" t="str">
        <f aca="false">VLOOKUP(E55,'Sovereign Ratings (Moody''s,S&amp;P)'!A55:D211,4,FALSE())</f>
        <v>Aaa</v>
      </c>
      <c r="G55" s="99" t="n">
        <v>0.0022</v>
      </c>
      <c r="H55" s="99" t="n">
        <f aca="false">VLOOKUP(E55,$K$2:$L$91,2,FALSE())</f>
        <v>0.0018</v>
      </c>
      <c r="I55" s="74" t="n">
        <f aca="false">IF(H55="NA","NA",IF(G55="NA","NA",H55/G55-1))</f>
        <v>-0.181818181818182</v>
      </c>
      <c r="K55" s="64" t="s">
        <v>201</v>
      </c>
      <c r="L55" s="99" t="n">
        <v>0.0341</v>
      </c>
      <c r="M55" s="64"/>
      <c r="N55" s="99"/>
    </row>
    <row r="56" customFormat="false" ht="15.75" hidden="false" customHeight="false" outlineLevel="0" collapsed="false">
      <c r="E56" s="64" t="s">
        <v>307</v>
      </c>
      <c r="F56" s="65" t="str">
        <f aca="false">VLOOKUP(E56,'Sovereign Ratings (Moody''s,S&amp;P)'!A56:D212,4,FALSE())</f>
        <v>Baa3</v>
      </c>
      <c r="G56" s="99" t="n">
        <v>0.0166</v>
      </c>
      <c r="H56" s="99" t="n">
        <f aca="false">VLOOKUP(E56,$K$2:$L$91,2,FALSE())</f>
        <v>0.013</v>
      </c>
      <c r="I56" s="74" t="n">
        <f aca="false">IF(H56="NA","NA",IF(G56="NA","NA",H56/G56-1))</f>
        <v>-0.216867469879518</v>
      </c>
      <c r="K56" s="158" t="s">
        <v>333</v>
      </c>
      <c r="L56" s="173" t="n">
        <v>0.002</v>
      </c>
      <c r="M56" s="158"/>
      <c r="N56" s="173"/>
    </row>
    <row r="57" customFormat="false" ht="15.75" hidden="false" customHeight="false" outlineLevel="0" collapsed="false">
      <c r="E57" s="64" t="s">
        <v>228</v>
      </c>
      <c r="F57" s="65" t="str">
        <f aca="false">VLOOKUP(E57,'Sovereign Ratings (Moody''s,S&amp;P)'!A57:D213,4,FALSE())</f>
        <v>Caa1</v>
      </c>
      <c r="G57" s="99" t="n">
        <v>0.0764</v>
      </c>
      <c r="H57" s="99" t="n">
        <f aca="false">VLOOKUP(E57,$K$2:$L$91,2,FALSE())</f>
        <v>0.0523</v>
      </c>
      <c r="I57" s="74" t="n">
        <f aca="false">IF(H57="NA","NA",IF(G57="NA","NA",H57/G57-1))</f>
        <v>-0.31544502617801</v>
      </c>
      <c r="K57" s="64" t="s">
        <v>239</v>
      </c>
      <c r="L57" s="99" t="n">
        <v>0.0023</v>
      </c>
      <c r="M57" s="64"/>
      <c r="N57" s="99"/>
    </row>
    <row r="58" customFormat="false" ht="15.75" hidden="false" customHeight="false" outlineLevel="0" collapsed="false">
      <c r="E58" s="64" t="s">
        <v>267</v>
      </c>
      <c r="F58" s="65" t="str">
        <f aca="false">VLOOKUP(E58,'Sovereign Ratings (Moody''s,S&amp;P)'!A58:D214,4,FALSE())</f>
        <v>Baa3</v>
      </c>
      <c r="G58" s="99" t="n">
        <v>0.0296</v>
      </c>
      <c r="H58" s="99" t="n">
        <f aca="false">VLOOKUP(E58,$K$2:$L$91,2,FALSE())</f>
        <v>0.0222</v>
      </c>
      <c r="I58" s="74" t="n">
        <f aca="false">IF(H58="NA","NA",IF(G58="NA","NA",H58/G58-1))</f>
        <v>-0.25</v>
      </c>
      <c r="K58" s="64" t="s">
        <v>266</v>
      </c>
      <c r="L58" s="99" t="n">
        <v>0.0529</v>
      </c>
      <c r="M58" s="64"/>
      <c r="N58" s="99"/>
    </row>
    <row r="59" customFormat="false" ht="15.75" hidden="false" customHeight="false" outlineLevel="0" collapsed="false">
      <c r="E59" s="64" t="s">
        <v>269</v>
      </c>
      <c r="F59" s="65" t="str">
        <f aca="false">VLOOKUP(E59,'Sovereign Ratings (Moody''s,S&amp;P)'!A59:D215,4,FALSE())</f>
        <v>Baa1</v>
      </c>
      <c r="G59" s="99" t="n">
        <v>0.0139</v>
      </c>
      <c r="H59" s="99" t="n">
        <f aca="false">VLOOKUP(E59,$K$2:$L$91,2,FALSE())</f>
        <v>0.0126</v>
      </c>
      <c r="I59" s="74" t="n">
        <f aca="false">IF(H59="NA","NA",IF(G59="NA","NA",H59/G59-1))</f>
        <v>-0.0935251798561151</v>
      </c>
      <c r="K59" s="64" t="s">
        <v>203</v>
      </c>
      <c r="L59" s="99" t="n">
        <v>0.0391</v>
      </c>
      <c r="M59" s="64"/>
      <c r="N59" s="99"/>
    </row>
    <row r="60" customFormat="false" ht="15.75" hidden="false" customHeight="false" outlineLevel="0" collapsed="false">
      <c r="E60" s="64" t="s">
        <v>230</v>
      </c>
      <c r="F60" s="65" t="str">
        <f aca="false">VLOOKUP(E60,'Sovereign Ratings (Moody''s,S&amp;P)'!A60:D216,4,FALSE())</f>
        <v>Baa2</v>
      </c>
      <c r="G60" s="99" t="n">
        <v>0.0115</v>
      </c>
      <c r="H60" s="99" t="n">
        <f aca="false">VLOOKUP(E60,$K$2:$L$91,2,FALSE())</f>
        <v>0.0102</v>
      </c>
      <c r="I60" s="74" t="n">
        <f aca="false">IF(H60="NA","NA",IF(G60="NA","NA",H60/G60-1))</f>
        <v>-0.113043478260869</v>
      </c>
      <c r="K60" s="64" t="s">
        <v>334</v>
      </c>
      <c r="L60" s="99" t="n">
        <v>0.0018</v>
      </c>
      <c r="M60" s="64"/>
      <c r="N60" s="99"/>
    </row>
    <row r="61" customFormat="false" ht="15.75" hidden="false" customHeight="false" outlineLevel="0" collapsed="false">
      <c r="E61" s="64" t="s">
        <v>291</v>
      </c>
      <c r="F61" s="65" t="str">
        <f aca="false">VLOOKUP(E61,'Sovereign Ratings (Moody''s,S&amp;P)'!A61:D217,4,FALSE())</f>
        <v>A2</v>
      </c>
      <c r="G61" s="99" t="n">
        <v>0.011</v>
      </c>
      <c r="H61" s="99" t="n">
        <f aca="false">VLOOKUP(E61,$K$2:$L$91,2,FALSE())</f>
        <v>0.01</v>
      </c>
      <c r="I61" s="74" t="n">
        <f aca="false">IF(H61="NA","NA",IF(G61="NA","NA",H61/G61-1))</f>
        <v>-0.0909090909090908</v>
      </c>
      <c r="K61" s="64" t="s">
        <v>307</v>
      </c>
      <c r="L61" s="99" t="n">
        <v>0.013</v>
      </c>
      <c r="M61" s="64"/>
      <c r="N61" s="99"/>
    </row>
    <row r="62" customFormat="false" ht="15.75" hidden="false" customHeight="false" outlineLevel="0" collapsed="false">
      <c r="E62" s="64" t="s">
        <v>335</v>
      </c>
      <c r="F62" s="65" t="str">
        <f aca="false">VLOOKUP(E62,'Sovereign Ratings (Moody''s,S&amp;P)'!A62:D218,4,FALSE())</f>
        <v>A3</v>
      </c>
      <c r="G62" s="99" t="n">
        <v>0.0055</v>
      </c>
      <c r="H62" s="99" t="n">
        <f aca="false">VLOOKUP(E62,$K$2:$L$91,2,FALSE())</f>
        <v>0.0045</v>
      </c>
      <c r="I62" s="74" t="n">
        <f aca="false">IF(H62="NA","NA",IF(G62="NA","NA",H62/G62-1))</f>
        <v>-0.181818181818182</v>
      </c>
      <c r="K62" s="64" t="s">
        <v>228</v>
      </c>
      <c r="L62" s="176" t="n">
        <v>0.0523</v>
      </c>
      <c r="M62" s="64"/>
      <c r="N62" s="176"/>
    </row>
    <row r="63" customFormat="false" ht="15.75" hidden="false" customHeight="false" outlineLevel="0" collapsed="false">
      <c r="E63" s="64" t="s">
        <v>308</v>
      </c>
      <c r="F63" s="65" t="str">
        <f aca="false">VLOOKUP(E63,'Sovereign Ratings (Moody''s,S&amp;P)'!A63:D219,4,FALSE())</f>
        <v>Aa2</v>
      </c>
      <c r="G63" s="99" t="n">
        <v>0.0068</v>
      </c>
      <c r="H63" s="99" t="n">
        <f aca="false">VLOOKUP(E63,$K$2:$L$91,2,FALSE())</f>
        <v>0.0061</v>
      </c>
      <c r="I63" s="74" t="n">
        <f aca="false">IF(H63="NA","NA",IF(G63="NA","NA",H63/G63-1))</f>
        <v>-0.102941176470588</v>
      </c>
      <c r="K63" s="64" t="s">
        <v>267</v>
      </c>
      <c r="L63" s="99" t="n">
        <v>0.0222</v>
      </c>
      <c r="M63" s="64"/>
      <c r="N63" s="99"/>
    </row>
    <row r="64" customFormat="false" ht="15.75" hidden="false" customHeight="false" outlineLevel="0" collapsed="false">
      <c r="E64" s="64" t="s">
        <v>292</v>
      </c>
      <c r="F64" s="65" t="str">
        <f aca="false">VLOOKUP(E64,'Sovereign Ratings (Moody''s,S&amp;P)'!A64:D220,4,FALSE())</f>
        <v>Baa3</v>
      </c>
      <c r="G64" s="99" t="n">
        <v>0.0267</v>
      </c>
      <c r="H64" s="99" t="n">
        <f aca="false">VLOOKUP(E64,$K$2:$L$91,2,FALSE())</f>
        <v>0.0211</v>
      </c>
      <c r="I64" s="74" t="n">
        <f aca="false">IF(H64="NA","NA",IF(G64="NA","NA",H64/G64-1))</f>
        <v>-0.209737827715356</v>
      </c>
      <c r="K64" s="64" t="s">
        <v>269</v>
      </c>
      <c r="L64" s="99" t="n">
        <v>0.0126</v>
      </c>
      <c r="M64" s="64"/>
      <c r="N64" s="99"/>
    </row>
    <row r="65" customFormat="false" ht="15.75" hidden="false" customHeight="false" outlineLevel="0" collapsed="false">
      <c r="E65" s="64" t="s">
        <v>404</v>
      </c>
      <c r="F65" s="65" t="s">
        <v>412</v>
      </c>
      <c r="G65" s="99" t="s">
        <v>136</v>
      </c>
      <c r="H65" s="99" t="str">
        <f aca="false">VLOOKUP(E65,$K$2:$L$91,2,FALSE())</f>
        <v>NA</v>
      </c>
      <c r="I65" s="74" t="str">
        <f aca="false">IF(H65="NA","NA",IF(G65="NA","NA",H65/G65-1))</f>
        <v>NA</v>
      </c>
      <c r="K65" s="64" t="s">
        <v>230</v>
      </c>
      <c r="L65" s="99" t="n">
        <v>0.0102</v>
      </c>
      <c r="M65" s="64"/>
      <c r="N65" s="99"/>
    </row>
    <row r="66" customFormat="false" ht="15.75" hidden="false" customHeight="false" outlineLevel="0" collapsed="false">
      <c r="E66" s="64" t="s">
        <v>204</v>
      </c>
      <c r="F66" s="65" t="str">
        <f aca="false">VLOOKUP(E66,'Sovereign Ratings (Moody''s,S&amp;P)'!A66:D222,4,FALSE())</f>
        <v>B2</v>
      </c>
      <c r="G66" s="99" t="n">
        <v>0.0543</v>
      </c>
      <c r="H66" s="99" t="n">
        <f aca="false">VLOOKUP(E66,$K$2:$L$91,2,FALSE())</f>
        <v>0.0403</v>
      </c>
      <c r="I66" s="74" t="n">
        <f aca="false">IF(H66="NA","NA",IF(G66="NA","NA",H66/G66-1))</f>
        <v>-0.257826887661142</v>
      </c>
      <c r="K66" s="64" t="s">
        <v>291</v>
      </c>
      <c r="L66" s="99" t="n">
        <v>0.01</v>
      </c>
      <c r="M66" s="64"/>
      <c r="N66" s="99"/>
    </row>
    <row r="67" customFormat="false" ht="15.75" hidden="false" customHeight="false" outlineLevel="0" collapsed="false">
      <c r="E67" s="64" t="s">
        <v>310</v>
      </c>
      <c r="F67" s="65" t="str">
        <f aca="false">VLOOKUP(E67,'Sovereign Ratings (Moody''s,S&amp;P)'!A67:D223,4,FALSE())</f>
        <v>Aa3</v>
      </c>
      <c r="G67" s="99" t="n">
        <v>0.0112</v>
      </c>
      <c r="H67" s="99" t="n">
        <f aca="false">VLOOKUP(E67,$K$2:$L$91,2,FALSE())</f>
        <v>0.0112</v>
      </c>
      <c r="I67" s="74" t="n">
        <f aca="false">IF(H67="NA","NA",IF(G67="NA","NA",H67/G67-1))</f>
        <v>0</v>
      </c>
      <c r="K67" s="64" t="s">
        <v>335</v>
      </c>
      <c r="L67" s="99" t="n">
        <v>0.0045</v>
      </c>
      <c r="M67" s="64"/>
      <c r="N67" s="99"/>
    </row>
    <row r="68" customFormat="false" ht="15.75" hidden="false" customHeight="false" outlineLevel="0" collapsed="false">
      <c r="E68" s="64" t="s">
        <v>205</v>
      </c>
      <c r="F68" s="65" t="str">
        <f aca="false">VLOOKUP(E68,'Sovereign Ratings (Moody''s,S&amp;P)'!A68:D224,4,FALSE())</f>
        <v>Caa1</v>
      </c>
      <c r="G68" s="99" t="n">
        <v>0.0783</v>
      </c>
      <c r="H68" s="99" t="n">
        <f aca="false">VLOOKUP(E68,$K$2:$L$91,2,FALSE())</f>
        <v>0.0993</v>
      </c>
      <c r="I68" s="74" t="n">
        <f aca="false">IF(H68="NA","NA",IF(G68="NA","NA",H68/G68-1))</f>
        <v>0.268199233716475</v>
      </c>
      <c r="K68" s="64" t="s">
        <v>308</v>
      </c>
      <c r="L68" s="99" t="n">
        <v>0.0061</v>
      </c>
      <c r="M68" s="64"/>
      <c r="N68" s="99"/>
    </row>
    <row r="69" customFormat="false" ht="15.75" hidden="false" customHeight="false" outlineLevel="0" collapsed="false">
      <c r="E69" s="64" t="s">
        <v>293</v>
      </c>
      <c r="F69" s="65" t="str">
        <f aca="false">VLOOKUP(E69,'Sovereign Ratings (Moody''s,S&amp;P)'!A69:D225,4,FALSE())</f>
        <v>Ba2</v>
      </c>
      <c r="G69" s="99" t="n">
        <v>0.023</v>
      </c>
      <c r="H69" s="99" t="n">
        <f aca="false">VLOOKUP(E69,$K$2:$L$91,2,FALSE())</f>
        <v>0.0196</v>
      </c>
      <c r="I69" s="74" t="n">
        <f aca="false">IF(H69="NA","NA",IF(G69="NA","NA",H69/G69-1))</f>
        <v>-0.147826086956522</v>
      </c>
      <c r="K69" s="64" t="s">
        <v>292</v>
      </c>
      <c r="L69" s="99" t="n">
        <v>0.0211</v>
      </c>
      <c r="M69" s="64"/>
      <c r="N69" s="99"/>
    </row>
    <row r="70" customFormat="false" ht="15.75" hidden="false" customHeight="false" outlineLevel="0" collapsed="false">
      <c r="E70" s="64" t="s">
        <v>294</v>
      </c>
      <c r="F70" s="65" t="str">
        <f aca="false">VLOOKUP(E70,'Sovereign Ratings (Moody''s,S&amp;P)'!A70:D226,4,FALSE())</f>
        <v>A3</v>
      </c>
      <c r="G70" s="99" t="n">
        <v>0.0061</v>
      </c>
      <c r="H70" s="99" t="n">
        <f aca="false">VLOOKUP(E70,$K$2:$L$91,2,FALSE())</f>
        <v>0.0057</v>
      </c>
      <c r="I70" s="74" t="n">
        <f aca="false">IF(H70="NA","NA",IF(G70="NA","NA",H70/G70-1))</f>
        <v>-0.0655737704918034</v>
      </c>
      <c r="K70" s="64" t="s">
        <v>404</v>
      </c>
      <c r="L70" s="99" t="s">
        <v>136</v>
      </c>
      <c r="M70" s="64"/>
      <c r="N70" s="91"/>
    </row>
    <row r="71" customFormat="false" ht="15.75" hidden="false" customHeight="false" outlineLevel="0" collapsed="false">
      <c r="E71" s="64" t="s">
        <v>295</v>
      </c>
      <c r="F71" s="65" t="str">
        <f aca="false">VLOOKUP(E71,'Sovereign Ratings (Moody''s,S&amp;P)'!A71:D227,4,FALSE())</f>
        <v>A3</v>
      </c>
      <c r="G71" s="99" t="n">
        <v>0.007</v>
      </c>
      <c r="H71" s="99" t="n">
        <f aca="false">VLOOKUP(E71,$K$2:$L$91,2,FALSE())</f>
        <v>0.0067</v>
      </c>
      <c r="I71" s="74" t="n">
        <f aca="false">IF(H71="NA","NA",IF(G71="NA","NA",H71/G71-1))</f>
        <v>-0.0428571428571428</v>
      </c>
      <c r="K71" s="64" t="s">
        <v>204</v>
      </c>
      <c r="L71" s="99" t="n">
        <v>0.0403</v>
      </c>
      <c r="M71" s="64"/>
      <c r="N71" s="99"/>
    </row>
    <row r="72" customFormat="false" ht="15.75" hidden="false" customHeight="false" outlineLevel="0" collapsed="false">
      <c r="E72" s="64" t="s">
        <v>206</v>
      </c>
      <c r="F72" s="65" t="str">
        <f aca="false">VLOOKUP(E72,'Sovereign Ratings (Moody''s,S&amp;P)'!A72:D228,4,FALSE())</f>
        <v>Ba2</v>
      </c>
      <c r="G72" s="99" t="n">
        <v>0.0301</v>
      </c>
      <c r="H72" s="99" t="n">
        <f aca="false">VLOOKUP(E72,$K$2:$L$91,2,FALSE())</f>
        <v>0.024</v>
      </c>
      <c r="I72" s="74" t="n">
        <f aca="false">IF(H72="NA","NA",IF(G72="NA","NA",H72/G72-1))</f>
        <v>-0.20265780730897</v>
      </c>
      <c r="K72" s="64" t="s">
        <v>310</v>
      </c>
      <c r="L72" s="99" t="n">
        <v>0.0112</v>
      </c>
      <c r="M72" s="64"/>
      <c r="N72" s="99"/>
    </row>
    <row r="73" customFormat="false" ht="15.75" hidden="false" customHeight="false" outlineLevel="0" collapsed="false">
      <c r="E73" s="64" t="s">
        <v>336</v>
      </c>
      <c r="F73" s="65" t="str">
        <f aca="false">VLOOKUP(E73,'Sovereign Ratings (Moody''s,S&amp;P)'!A73:D229,4,FALSE())</f>
        <v>A3</v>
      </c>
      <c r="G73" s="99" t="n">
        <v>0.0064</v>
      </c>
      <c r="H73" s="99" t="n">
        <f aca="false">VLOOKUP(E73,$K$2:$L$91,2,FALSE())</f>
        <v>0.0045</v>
      </c>
      <c r="I73" s="74" t="n">
        <f aca="false">IF(H73="NA","NA",IF(G73="NA","NA",H73/G73-1))</f>
        <v>-0.296875</v>
      </c>
      <c r="K73" s="64" t="s">
        <v>205</v>
      </c>
      <c r="L73" s="99" t="n">
        <v>0.0993</v>
      </c>
      <c r="M73" s="64"/>
      <c r="N73" s="99"/>
    </row>
    <row r="74" customFormat="false" ht="15.75" hidden="false" customHeight="false" outlineLevel="0" collapsed="false">
      <c r="E74" s="64" t="s">
        <v>337</v>
      </c>
      <c r="F74" s="65" t="str">
        <f aca="false">VLOOKUP(E74,'Sovereign Ratings (Moody''s,S&amp;P)'!A74:D230,4,FALSE())</f>
        <v>Aaa</v>
      </c>
      <c r="G74" s="99" t="n">
        <v>0.0025</v>
      </c>
      <c r="H74" s="99" t="n">
        <f aca="false">VLOOKUP(E74,$K$2:$L$91,2,FALSE())</f>
        <v>0.002</v>
      </c>
      <c r="I74" s="74" t="n">
        <f aca="false">IF(H74="NA","NA",IF(G74="NA","NA",H74/G74-1))</f>
        <v>-0.2</v>
      </c>
      <c r="K74" s="64" t="s">
        <v>293</v>
      </c>
      <c r="L74" s="99" t="n">
        <v>0.0196</v>
      </c>
      <c r="M74" s="64"/>
      <c r="N74" s="99"/>
    </row>
    <row r="75" customFormat="false" ht="15.75" hidden="false" customHeight="false" outlineLevel="0" collapsed="false">
      <c r="E75" s="64" t="s">
        <v>338</v>
      </c>
      <c r="F75" s="65" t="str">
        <f aca="false">VLOOKUP(E75,'Sovereign Ratings (Moody''s,S&amp;P)'!A75:D231,4,FALSE())</f>
        <v>Aaa</v>
      </c>
      <c r="G75" s="99" t="n">
        <v>0.0017</v>
      </c>
      <c r="H75" s="99" t="n">
        <f aca="false">VLOOKUP(E75,$K$2:$L$91,2,FALSE())</f>
        <v>0.0014</v>
      </c>
      <c r="I75" s="74" t="n">
        <f aca="false">IF(H75="NA","NA",IF(G75="NA","NA",H75/G75-1))</f>
        <v>-0.176470588235294</v>
      </c>
      <c r="K75" s="64" t="s">
        <v>294</v>
      </c>
      <c r="L75" s="99" t="n">
        <v>0.0057</v>
      </c>
      <c r="M75" s="64"/>
      <c r="N75" s="99"/>
    </row>
    <row r="76" customFormat="false" ht="15.75" hidden="false" customHeight="false" outlineLevel="0" collapsed="false">
      <c r="E76" s="64" t="s">
        <v>235</v>
      </c>
      <c r="F76" s="65" t="str">
        <f aca="false">VLOOKUP(E76,'Sovereign Ratings (Moody''s,S&amp;P)'!A76:D232,4,FALSE())</f>
        <v>Baa1</v>
      </c>
      <c r="G76" s="99" t="n">
        <v>0.0072</v>
      </c>
      <c r="H76" s="99" t="n">
        <f aca="false">VLOOKUP(E76,$K$2:$L$91,2,FALSE())</f>
        <v>0.0066</v>
      </c>
      <c r="I76" s="74" t="n">
        <f aca="false">IF(H76="NA","NA",IF(G76="NA","NA",H76/G76-1))</f>
        <v>-0.0833333333333333</v>
      </c>
      <c r="K76" s="64" t="s">
        <v>295</v>
      </c>
      <c r="L76" s="99" t="n">
        <v>0.0067</v>
      </c>
      <c r="M76" s="64"/>
      <c r="N76" s="99"/>
    </row>
    <row r="77" customFormat="false" ht="15.75" hidden="false" customHeight="false" outlineLevel="0" collapsed="false">
      <c r="E77" s="64" t="s">
        <v>210</v>
      </c>
      <c r="F77" s="65" t="str">
        <f aca="false">VLOOKUP(E77,'Sovereign Ratings (Moody''s,S&amp;P)'!A77:D233,4,FALSE())</f>
        <v>Caa1</v>
      </c>
      <c r="G77" s="99" t="n">
        <v>0.0742</v>
      </c>
      <c r="H77" s="99" t="n">
        <f aca="false">VLOOKUP(E77,$K$2:$L$91,2,FALSE())</f>
        <v>0.0701</v>
      </c>
      <c r="I77" s="74" t="n">
        <f aca="false">IF(H77="NA","NA",IF(G77="NA","NA",H77/G77-1))</f>
        <v>-0.0552560646900271</v>
      </c>
      <c r="K77" s="64" t="s">
        <v>206</v>
      </c>
      <c r="L77" s="99" t="n">
        <v>0.024</v>
      </c>
      <c r="M77" s="64"/>
      <c r="N77" s="99"/>
    </row>
    <row r="78" customFormat="false" ht="15.75" hidden="false" customHeight="false" outlineLevel="0" collapsed="false">
      <c r="E78" s="64" t="s">
        <v>62</v>
      </c>
      <c r="F78" s="65" t="str">
        <f aca="false">VLOOKUP(E78,'Sovereign Ratings (Moody''s,S&amp;P)'!A78:D234,4,FALSE())</f>
        <v>Ba3</v>
      </c>
      <c r="G78" s="99" t="n">
        <v>0.038</v>
      </c>
      <c r="H78" s="99" t="n">
        <f aca="false">VLOOKUP(E78,$K$2:$L$91,2,FALSE())</f>
        <v>0.0299</v>
      </c>
      <c r="I78" s="74" t="n">
        <f aca="false">IF(H78="NA","NA",IF(G78="NA","NA",H78/G78-1))</f>
        <v>-0.213157894736842</v>
      </c>
      <c r="K78" s="64" t="s">
        <v>336</v>
      </c>
      <c r="L78" s="99" t="n">
        <v>0.0045</v>
      </c>
      <c r="M78" s="64"/>
      <c r="N78" s="99"/>
    </row>
    <row r="79" customFormat="false" ht="15.75" hidden="false" customHeight="false" outlineLevel="0" collapsed="false">
      <c r="E79" s="64" t="s">
        <v>339</v>
      </c>
      <c r="F79" s="65" t="str">
        <f aca="false">VLOOKUP(E79,'Sovereign Ratings (Moody''s,S&amp;P)'!A79:D235,4,FALSE())</f>
        <v>Aa3</v>
      </c>
      <c r="G79" s="99" t="n">
        <v>0.0037</v>
      </c>
      <c r="H79" s="99" t="n">
        <f aca="false">VLOOKUP(E79,$K$2:$L$91,2,FALSE())</f>
        <v>0.0037</v>
      </c>
      <c r="I79" s="74" t="n">
        <f aca="false">IF(H79="NA","NA",IF(G79="NA","NA",H79/G79-1))</f>
        <v>0</v>
      </c>
      <c r="K79" s="64" t="s">
        <v>233</v>
      </c>
      <c r="L79" s="99" t="s">
        <v>136</v>
      </c>
      <c r="M79" s="64"/>
      <c r="N79" s="99"/>
    </row>
    <row r="80" customFormat="false" ht="15.75" hidden="false" customHeight="false" outlineLevel="0" collapsed="false">
      <c r="E80" s="64" t="s">
        <v>314</v>
      </c>
      <c r="F80" s="65" t="str">
        <f aca="false">VLOOKUP(E80,'Sovereign Ratings (Moody''s,S&amp;P)'!A80:D236,4,FALSE())</f>
        <v>Aa1</v>
      </c>
      <c r="G80" s="99" t="n">
        <v>0.005</v>
      </c>
      <c r="H80" s="99" t="n">
        <f aca="false">VLOOKUP(E80,$K$2:$L$91,2,FALSE())</f>
        <v>0.0044</v>
      </c>
      <c r="I80" s="74" t="n">
        <f aca="false">IF(H80="NA","NA",IF(G80="NA","NA",H80/G80-1))</f>
        <v>-0.12</v>
      </c>
      <c r="K80" s="64" t="s">
        <v>337</v>
      </c>
      <c r="L80" s="99" t="n">
        <v>0.002</v>
      </c>
      <c r="M80" s="64"/>
      <c r="N80" s="99"/>
    </row>
    <row r="81" customFormat="false" ht="15.75" hidden="false" customHeight="false" outlineLevel="0" collapsed="false">
      <c r="E81" s="64" t="s">
        <v>271</v>
      </c>
      <c r="F81" s="65" t="str">
        <f aca="false">VLOOKUP(E81,'Sovereign Ratings (Moody''s,S&amp;P)'!A81:D237,4,FALSE())</f>
        <v>Baa1</v>
      </c>
      <c r="G81" s="99" t="n">
        <v>0.0119</v>
      </c>
      <c r="H81" s="99" t="n">
        <f aca="false">VLOOKUP(E81,$K$2:$L$91,2,FALSE())</f>
        <v>0.0077</v>
      </c>
      <c r="I81" s="74" t="n">
        <f aca="false">IF(H81="NA","NA",IF(G81="NA","NA",H81/G81-1))</f>
        <v>-0.352941176470588</v>
      </c>
      <c r="K81" s="64" t="s">
        <v>338</v>
      </c>
      <c r="L81" s="99" t="n">
        <v>0.0014</v>
      </c>
      <c r="M81" s="64"/>
      <c r="N81" s="99"/>
    </row>
    <row r="82" customFormat="false" ht="15.75" hidden="false" customHeight="false" outlineLevel="0" collapsed="false">
      <c r="E82" s="64" t="s">
        <v>236</v>
      </c>
      <c r="F82" s="65" t="str">
        <f aca="false">VLOOKUP(E82,'Sovereign Ratings (Moody''s,S&amp;P)'!A82:D238,4,FALSE())</f>
        <v>Ba2</v>
      </c>
      <c r="G82" s="99" t="n">
        <v>0.0157</v>
      </c>
      <c r="H82" s="99" t="n">
        <f aca="false">VLOOKUP(E82,$K$2:$L$91,2,FALSE())</f>
        <v>0.0151</v>
      </c>
      <c r="I82" s="74" t="n">
        <f aca="false">IF(H82="NA","NA",IF(G82="NA","NA",H82/G82-1))</f>
        <v>-0.038216560509554</v>
      </c>
      <c r="K82" s="64" t="s">
        <v>235</v>
      </c>
      <c r="L82" s="99" t="n">
        <v>0.0066</v>
      </c>
      <c r="M82" s="64"/>
      <c r="N82" s="99"/>
    </row>
    <row r="83" customFormat="false" ht="15.75" hidden="false" customHeight="false" outlineLevel="0" collapsed="false">
      <c r="E83" s="177" t="s">
        <v>413</v>
      </c>
      <c r="F83" s="177"/>
      <c r="H83" s="99"/>
      <c r="I83" s="178" t="n">
        <f aca="false">AVERAGE(I2:I82)</f>
        <v>-0.146655474893505</v>
      </c>
      <c r="K83" s="64" t="s">
        <v>210</v>
      </c>
      <c r="L83" s="99" t="n">
        <v>0.0701</v>
      </c>
      <c r="M83" s="64"/>
      <c r="N83" s="99"/>
    </row>
    <row r="84" customFormat="false" ht="15.75" hidden="false" customHeight="false" outlineLevel="0" collapsed="false">
      <c r="E84" s="177" t="s">
        <v>414</v>
      </c>
      <c r="F84" s="177"/>
      <c r="I84" s="178" t="n">
        <f aca="false">MEDIAN(I2:I82)</f>
        <v>-0.135674381484437</v>
      </c>
      <c r="K84" s="64" t="s">
        <v>62</v>
      </c>
      <c r="L84" s="99" t="n">
        <v>0.0299</v>
      </c>
      <c r="M84" s="64"/>
      <c r="N84" s="99"/>
    </row>
    <row r="85" customFormat="false" ht="15.75" hidden="false" customHeight="false" outlineLevel="0" collapsed="false">
      <c r="K85" s="64" t="s">
        <v>297</v>
      </c>
      <c r="L85" s="99" t="s">
        <v>136</v>
      </c>
      <c r="M85" s="64"/>
      <c r="N85" s="99"/>
    </row>
    <row r="86" customFormat="false" ht="15.75" hidden="false" customHeight="false" outlineLevel="0" collapsed="false">
      <c r="K86" s="64" t="s">
        <v>339</v>
      </c>
      <c r="L86" s="99" t="n">
        <v>0.0037</v>
      </c>
      <c r="M86" s="64"/>
      <c r="N86" s="99"/>
    </row>
    <row r="87" customFormat="false" ht="15.75" hidden="false" customHeight="false" outlineLevel="0" collapsed="false">
      <c r="K87" s="64" t="s">
        <v>314</v>
      </c>
      <c r="L87" s="99" t="n">
        <v>0.0044</v>
      </c>
      <c r="M87" s="64"/>
      <c r="N87" s="99"/>
    </row>
    <row r="88" customFormat="false" ht="15.75" hidden="false" customHeight="false" outlineLevel="0" collapsed="false">
      <c r="K88" s="64" t="s">
        <v>271</v>
      </c>
      <c r="L88" s="99" t="n">
        <v>0.0077</v>
      </c>
      <c r="M88" s="64"/>
      <c r="N88" s="99"/>
    </row>
    <row r="89" customFormat="false" ht="15.75" hidden="false" customHeight="false" outlineLevel="0" collapsed="false">
      <c r="K89" s="64" t="s">
        <v>272</v>
      </c>
      <c r="L89" s="99" t="n">
        <v>0.0929</v>
      </c>
      <c r="M89" s="64"/>
      <c r="N89" s="99"/>
    </row>
    <row r="90" customFormat="false" ht="12.75" hidden="false" customHeight="false" outlineLevel="0" collapsed="false">
      <c r="K90" s="0" t="s">
        <v>236</v>
      </c>
      <c r="L90" s="143" t="n">
        <v>0.0151</v>
      </c>
      <c r="N90" s="143"/>
    </row>
    <row r="91" customFormat="false" ht="12.75" hidden="false" customHeight="false" outlineLevel="0" collapsed="false">
      <c r="K91" s="0" t="s">
        <v>212</v>
      </c>
      <c r="L91" s="143" t="n">
        <v>0.0408</v>
      </c>
      <c r="N91" s="143"/>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58"/>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H23" activeCellId="0" sqref="H23"/>
    </sheetView>
  </sheetViews>
  <sheetFormatPr defaultColWidth="10.65234375" defaultRowHeight="13.5" zeroHeight="false" outlineLevelRow="0" outlineLevelCol="0"/>
  <cols>
    <col collapsed="false" customWidth="true" hidden="false" outlineLevel="0" max="1" min="1" style="179" width="24.84"/>
    <col collapsed="false" customWidth="true" hidden="false" outlineLevel="0" max="2" min="2" style="179" width="19"/>
    <col collapsed="false" customWidth="true" hidden="false" outlineLevel="0" max="3" min="3" style="179" width="19.33"/>
    <col collapsed="false" customWidth="true" hidden="false" outlineLevel="0" max="4" min="4" style="179" width="28.16"/>
    <col collapsed="false" customWidth="true" hidden="false" outlineLevel="0" max="8" min="8" style="0" width="19.67"/>
    <col collapsed="false" customWidth="true" hidden="false" outlineLevel="0" max="9" min="9" style="91" width="12.16"/>
    <col collapsed="false" customWidth="true" hidden="false" outlineLevel="0" max="10" min="10" style="98" width="29.66"/>
  </cols>
  <sheetData>
    <row r="1" customFormat="false" ht="33.75" hidden="false" customHeight="false" outlineLevel="0" collapsed="false">
      <c r="A1" s="148" t="s">
        <v>61</v>
      </c>
      <c r="B1" s="149" t="s">
        <v>99</v>
      </c>
      <c r="C1" s="180" t="s">
        <v>415</v>
      </c>
      <c r="D1" s="149" t="s">
        <v>416</v>
      </c>
      <c r="E1" s="181"/>
    </row>
    <row r="2" customFormat="false" ht="15.75" hidden="false" customHeight="false" outlineLevel="0" collapsed="false">
      <c r="A2" s="64" t="str">
        <f aca="false">'Sovereign Ratings (Moody''s,S&amp;P)'!A2</f>
        <v>Abu Dhabi</v>
      </c>
      <c r="B2" s="65" t="str">
        <f aca="false">'Sovereign Ratings (Moody''s,S&amp;P)'!D2</f>
        <v>Aa2</v>
      </c>
      <c r="C2" s="67" t="n">
        <f aca="false">VLOOKUP(A2,$H$24:$J$113,2,FALSE())</f>
        <v>0.006</v>
      </c>
      <c r="D2" s="67" t="n">
        <f aca="false">IF(C2="NA","NA",IF(C2&gt;$C$139,C2-$C$139,0))</f>
        <v>0.0046</v>
      </c>
    </row>
    <row r="3" customFormat="false" ht="15.75" hidden="false" customHeight="false" outlineLevel="0" collapsed="false">
      <c r="A3" s="64" t="str">
        <f aca="false">'Sovereign Ratings (Moody''s,S&amp;P)'!A3</f>
        <v>Albania</v>
      </c>
      <c r="B3" s="65" t="str">
        <f aca="false">'Sovereign Ratings (Moody''s,S&amp;P)'!D3</f>
        <v>Ba3</v>
      </c>
      <c r="C3" s="67" t="s">
        <v>136</v>
      </c>
      <c r="D3" s="67" t="str">
        <f aca="false">IF(C3="NA","NA",IF(C3&gt;$C$139,C3-$C$139,0))</f>
        <v>NA</v>
      </c>
    </row>
    <row r="4" customFormat="false" ht="15.75" hidden="false" customHeight="false" outlineLevel="0" collapsed="false">
      <c r="A4" s="64" t="str">
        <f aca="false">'Sovereign Ratings (Moody''s,S&amp;P)'!A4</f>
        <v>Andorra (Principality of)</v>
      </c>
      <c r="B4" s="65" t="str">
        <f aca="false">'Sovereign Ratings (Moody''s,S&amp;P)'!D4</f>
        <v>Baa1</v>
      </c>
      <c r="C4" s="67" t="s">
        <v>136</v>
      </c>
      <c r="D4" s="67" t="str">
        <f aca="false">IF(C4="NA","NA",IF(C4&gt;$C$139,C4-$C$139,0))</f>
        <v>NA</v>
      </c>
    </row>
    <row r="5" customFormat="false" ht="15.75" hidden="false" customHeight="false" outlineLevel="0" collapsed="false">
      <c r="A5" s="64" t="str">
        <f aca="false">'Sovereign Ratings (Moody''s,S&amp;P)'!A5</f>
        <v>Angola</v>
      </c>
      <c r="B5" s="65" t="str">
        <f aca="false">'Sovereign Ratings (Moody''s,S&amp;P)'!D5</f>
        <v>B3</v>
      </c>
      <c r="C5" s="67" t="n">
        <f aca="false">VLOOKUP(A5,$H$24:$J$113,2,FALSE())</f>
        <v>0.0624</v>
      </c>
      <c r="D5" s="67" t="n">
        <f aca="false">IF(C5="NA","NA",IF(C5&gt;$C$139,C5-$C$139,0))</f>
        <v>0.061</v>
      </c>
    </row>
    <row r="6" customFormat="false" ht="15.75" hidden="false" customHeight="false" outlineLevel="0" collapsed="false">
      <c r="A6" s="64" t="str">
        <f aca="false">'Sovereign Ratings (Moody''s,S&amp;P)'!A6</f>
        <v>Argentina</v>
      </c>
      <c r="B6" s="65" t="str">
        <f aca="false">'Sovereign Ratings (Moody''s,S&amp;P)'!D6</f>
        <v>Caa1</v>
      </c>
      <c r="C6" s="67" t="s">
        <v>136</v>
      </c>
      <c r="D6" s="67" t="str">
        <f aca="false">IF(C6="NA","NA",IF(C6&gt;$C$139,C6-$C$139,0))</f>
        <v>NA</v>
      </c>
    </row>
    <row r="7" customFormat="false" ht="15.75" hidden="false" customHeight="false" outlineLevel="0" collapsed="false">
      <c r="A7" s="64" t="str">
        <f aca="false">'Sovereign Ratings (Moody''s,S&amp;P)'!A7</f>
        <v>Armenia</v>
      </c>
      <c r="B7" s="65" t="str">
        <f aca="false">'Sovereign Ratings (Moody''s,S&amp;P)'!D7</f>
        <v>Ba3</v>
      </c>
      <c r="C7" s="67" t="s">
        <v>136</v>
      </c>
      <c r="D7" s="67" t="str">
        <f aca="false">IF(C7="NA","NA",IF(C7&gt;$C$139,C7-$C$139,0))</f>
        <v>NA</v>
      </c>
    </row>
    <row r="8" customFormat="false" ht="15.75" hidden="false" customHeight="false" outlineLevel="0" collapsed="false">
      <c r="A8" s="64" t="str">
        <f aca="false">'Sovereign Ratings (Moody''s,S&amp;P)'!A8</f>
        <v>Aruba</v>
      </c>
      <c r="B8" s="65" t="str">
        <f aca="false">'Sovereign Ratings (Moody''s,S&amp;P)'!D8</f>
        <v>Baa3</v>
      </c>
      <c r="C8" s="67" t="s">
        <v>136</v>
      </c>
      <c r="D8" s="67" t="str">
        <f aca="false">IF(C8="NA","NA",IF(C8&gt;$C$139,C8-$C$139,0))</f>
        <v>NA</v>
      </c>
    </row>
    <row r="9" customFormat="false" ht="15.75" hidden="false" customHeight="false" outlineLevel="0" collapsed="false">
      <c r="A9" s="64" t="str">
        <f aca="false">'Sovereign Ratings (Moody''s,S&amp;P)'!A9</f>
        <v>Australia</v>
      </c>
      <c r="B9" s="65" t="str">
        <f aca="false">'Sovereign Ratings (Moody''s,S&amp;P)'!D9</f>
        <v>Aaa</v>
      </c>
      <c r="C9" s="67" t="n">
        <f aca="false">VLOOKUP(A9,$H$24:$J$113,2,FALSE())</f>
        <v>0.0019</v>
      </c>
      <c r="D9" s="67" t="n">
        <f aca="false">IF(C9="NA","NA",IF(C9&gt;$C$139,C9-$C$139,0))</f>
        <v>0.0005</v>
      </c>
    </row>
    <row r="10" customFormat="false" ht="15.75" hidden="false" customHeight="false" outlineLevel="0" collapsed="false">
      <c r="A10" s="64" t="str">
        <f aca="false">'Sovereign Ratings (Moody''s,S&amp;P)'!A10</f>
        <v>Austria</v>
      </c>
      <c r="B10" s="65" t="str">
        <f aca="false">'Sovereign Ratings (Moody''s,S&amp;P)'!D10</f>
        <v>Aa1</v>
      </c>
      <c r="C10" s="67" t="n">
        <f aca="false">VLOOKUP(A10,$H$24:$J$113,2,FALSE())</f>
        <v>0.0028</v>
      </c>
      <c r="D10" s="67" t="n">
        <f aca="false">IF(C10="NA","NA",IF(C10&gt;$C$139,C10-$C$139,0))</f>
        <v>0.0014</v>
      </c>
    </row>
    <row r="11" customFormat="false" ht="15.75" hidden="false" customHeight="false" outlineLevel="0" collapsed="false">
      <c r="A11" s="64" t="str">
        <f aca="false">'Sovereign Ratings (Moody''s,S&amp;P)'!A11</f>
        <v>Azerbaijan</v>
      </c>
      <c r="B11" s="65" t="str">
        <f aca="false">'Sovereign Ratings (Moody''s,S&amp;P)'!D11</f>
        <v>Baa3</v>
      </c>
      <c r="C11" s="67" t="s">
        <v>136</v>
      </c>
      <c r="D11" s="67" t="str">
        <f aca="false">IF(C11="NA","NA",IF(C11&gt;$C$139,C11-$C$139,0))</f>
        <v>NA</v>
      </c>
    </row>
    <row r="12" customFormat="false" ht="15.75" hidden="false" customHeight="false" outlineLevel="0" collapsed="false">
      <c r="A12" s="64" t="str">
        <f aca="false">'Sovereign Ratings (Moody''s,S&amp;P)'!A12</f>
        <v>Bahamas</v>
      </c>
      <c r="B12" s="65" t="str">
        <f aca="false">'Sovereign Ratings (Moody''s,S&amp;P)'!D12</f>
        <v>B1</v>
      </c>
      <c r="C12" s="67" t="s">
        <v>136</v>
      </c>
      <c r="D12" s="67" t="str">
        <f aca="false">IF(C12="NA","NA",IF(C12&gt;$C$139,C12-$C$139,0))</f>
        <v>NA</v>
      </c>
    </row>
    <row r="13" customFormat="false" ht="15.75" hidden="false" customHeight="false" outlineLevel="0" collapsed="false">
      <c r="A13" s="64" t="str">
        <f aca="false">'Sovereign Ratings (Moody''s,S&amp;P)'!A13</f>
        <v>Bahrain</v>
      </c>
      <c r="B13" s="65" t="str">
        <f aca="false">'Sovereign Ratings (Moody''s,S&amp;P)'!D13</f>
        <v>B2</v>
      </c>
      <c r="C13" s="67" t="n">
        <f aca="false">VLOOKUP(A13,$H$24:$J$113,2,FALSE())</f>
        <v>0.0247</v>
      </c>
      <c r="D13" s="67" t="n">
        <f aca="false">IF(C13="NA","NA",IF(C13&gt;$C$139,C13-$C$139,0))</f>
        <v>0.0233</v>
      </c>
    </row>
    <row r="14" customFormat="false" ht="15.75" hidden="false" customHeight="false" outlineLevel="0" collapsed="false">
      <c r="A14" s="64" t="str">
        <f aca="false">'Sovereign Ratings (Moody''s,S&amp;P)'!A14</f>
        <v>Bangladesh</v>
      </c>
      <c r="B14" s="65" t="str">
        <f aca="false">'Sovereign Ratings (Moody''s,S&amp;P)'!D14</f>
        <v>B2</v>
      </c>
      <c r="C14" s="67" t="s">
        <v>136</v>
      </c>
      <c r="D14" s="67" t="str">
        <f aca="false">IF(C14="NA","NA",IF(C14&gt;$C$139,C14-$C$139,0))</f>
        <v>NA</v>
      </c>
    </row>
    <row r="15" customFormat="false" ht="15.75" hidden="false" customHeight="false" outlineLevel="0" collapsed="false">
      <c r="A15" s="64" t="str">
        <f aca="false">'Sovereign Ratings (Moody''s,S&amp;P)'!A15</f>
        <v>Barbados</v>
      </c>
      <c r="B15" s="65" t="str">
        <f aca="false">'Sovereign Ratings (Moody''s,S&amp;P)'!D15</f>
        <v>B2</v>
      </c>
      <c r="C15" s="67" t="s">
        <v>136</v>
      </c>
      <c r="D15" s="67" t="str">
        <f aca="false">IF(C15="NA","NA",IF(C15&gt;$C$139,C15-$C$139,0))</f>
        <v>NA</v>
      </c>
    </row>
    <row r="16" customFormat="false" ht="15.75" hidden="false" customHeight="false" outlineLevel="0" collapsed="false">
      <c r="A16" s="64" t="str">
        <f aca="false">'Sovereign Ratings (Moody''s,S&amp;P)'!A16</f>
        <v>Belarus</v>
      </c>
      <c r="B16" s="65" t="str">
        <f aca="false">'Sovereign Ratings (Moody''s,S&amp;P)'!D16</f>
        <v>C</v>
      </c>
      <c r="C16" s="67" t="s">
        <v>136</v>
      </c>
      <c r="D16" s="67" t="str">
        <f aca="false">IF(C16="NA","NA",IF(C16&gt;$C$139,C16-$C$139,0))</f>
        <v>NA</v>
      </c>
    </row>
    <row r="17" customFormat="false" ht="15.75" hidden="false" customHeight="false" outlineLevel="0" collapsed="false">
      <c r="A17" s="64" t="str">
        <f aca="false">'Sovereign Ratings (Moody''s,S&amp;P)'!A17</f>
        <v>Belgium</v>
      </c>
      <c r="B17" s="65" t="str">
        <f aca="false">'Sovereign Ratings (Moody''s,S&amp;P)'!D17</f>
        <v>Aa3</v>
      </c>
      <c r="C17" s="67" t="n">
        <f aca="false">VLOOKUP(A17,$H$24:$J$113,2,FALSE())</f>
        <v>0.004</v>
      </c>
      <c r="D17" s="67" t="n">
        <f aca="false">IF(C17="NA","NA",IF(C17&gt;$C$139,C17-$C$139,0))</f>
        <v>0.0026</v>
      </c>
    </row>
    <row r="18" customFormat="false" ht="15.75" hidden="false" customHeight="false" outlineLevel="0" collapsed="false">
      <c r="A18" s="64" t="str">
        <f aca="false">'Sovereign Ratings (Moody''s,S&amp;P)'!A18</f>
        <v>Belize</v>
      </c>
      <c r="B18" s="65" t="str">
        <f aca="false">'Sovereign Ratings (Moody''s,S&amp;P)'!D18</f>
        <v>Caa1</v>
      </c>
      <c r="C18" s="67" t="s">
        <v>136</v>
      </c>
      <c r="D18" s="67" t="str">
        <f aca="false">IF(C18="NA","NA",IF(C18&gt;$C$139,C18-$C$139,0))</f>
        <v>NA</v>
      </c>
    </row>
    <row r="19" customFormat="false" ht="15.75" hidden="false" customHeight="false" outlineLevel="0" collapsed="false">
      <c r="A19" s="64" t="str">
        <f aca="false">'Sovereign Ratings (Moody''s,S&amp;P)'!A19</f>
        <v>Benin</v>
      </c>
      <c r="B19" s="65" t="str">
        <f aca="false">'Sovereign Ratings (Moody''s,S&amp;P)'!D19</f>
        <v>B1</v>
      </c>
      <c r="C19" s="67" t="s">
        <v>136</v>
      </c>
      <c r="D19" s="67" t="str">
        <f aca="false">IF(C19="NA","NA",IF(C19&gt;$C$139,C19-$C$139,0))</f>
        <v>NA</v>
      </c>
    </row>
    <row r="20" customFormat="false" ht="15.75" hidden="false" customHeight="false" outlineLevel="0" collapsed="false">
      <c r="A20" s="64" t="str">
        <f aca="false">'Sovereign Ratings (Moody''s,S&amp;P)'!A20</f>
        <v>Bermuda</v>
      </c>
      <c r="B20" s="65" t="str">
        <f aca="false">'Sovereign Ratings (Moody''s,S&amp;P)'!D20</f>
        <v>A2</v>
      </c>
      <c r="C20" s="67" t="s">
        <v>136</v>
      </c>
      <c r="D20" s="67" t="str">
        <f aca="false">IF(C20="NA","NA",IF(C20&gt;$C$139,C20-$C$139,0))</f>
        <v>NA</v>
      </c>
    </row>
    <row r="21" customFormat="false" ht="15.75" hidden="false" customHeight="false" outlineLevel="0" collapsed="false">
      <c r="A21" s="64" t="str">
        <f aca="false">'Sovereign Ratings (Moody''s,S&amp;P)'!A21</f>
        <v>Bolivia</v>
      </c>
      <c r="B21" s="65" t="str">
        <f aca="false">'Sovereign Ratings (Moody''s,S&amp;P)'!D21</f>
        <v>Ca</v>
      </c>
      <c r="C21" s="67" t="s">
        <v>136</v>
      </c>
      <c r="D21" s="67" t="str">
        <f aca="false">IF(C21="NA","NA",IF(C21&gt;$C$139,C21-$C$139,0))</f>
        <v>NA</v>
      </c>
    </row>
    <row r="22" customFormat="false" ht="15.75" hidden="false" customHeight="false" outlineLevel="0" collapsed="false">
      <c r="A22" s="64" t="str">
        <f aca="false">'Sovereign Ratings (Moody''s,S&amp;P)'!A22</f>
        <v>Bosnia and Herzegovina</v>
      </c>
      <c r="B22" s="65" t="str">
        <f aca="false">'Sovereign Ratings (Moody''s,S&amp;P)'!D22</f>
        <v>B3</v>
      </c>
      <c r="C22" s="67" t="s">
        <v>136</v>
      </c>
      <c r="D22" s="67" t="str">
        <f aca="false">IF(C22="NA","NA",IF(C22&gt;$C$139,C22-$C$139,0))</f>
        <v>NA</v>
      </c>
    </row>
    <row r="23" customFormat="false" ht="18.75" hidden="false" customHeight="true" outlineLevel="0" collapsed="false">
      <c r="A23" s="64" t="str">
        <f aca="false">'Sovereign Ratings (Moody''s,S&amp;P)'!A23</f>
        <v>Botswana</v>
      </c>
      <c r="B23" s="65" t="str">
        <f aca="false">'Sovereign Ratings (Moody''s,S&amp;P)'!D23</f>
        <v>Baa1</v>
      </c>
      <c r="C23" s="67" t="s">
        <v>136</v>
      </c>
      <c r="D23" s="67" t="str">
        <f aca="false">IF(C23="NA","NA",IF(C23&gt;$C$139,C23-$C$139,0))</f>
        <v>NA</v>
      </c>
      <c r="H23" s="148" t="s">
        <v>61</v>
      </c>
      <c r="I23" s="170" t="n">
        <v>44560</v>
      </c>
      <c r="J23" s="134" t="s">
        <v>417</v>
      </c>
    </row>
    <row r="24" customFormat="false" ht="15.75" hidden="false" customHeight="false" outlineLevel="0" collapsed="false">
      <c r="A24" s="64" t="str">
        <f aca="false">'Sovereign Ratings (Moody''s,S&amp;P)'!A24</f>
        <v>Brazil</v>
      </c>
      <c r="B24" s="65" t="str">
        <f aca="false">'Sovereign Ratings (Moody''s,S&amp;P)'!D24</f>
        <v>Ba1</v>
      </c>
      <c r="C24" s="67" t="n">
        <f aca="false">VLOOKUP(A24,$H$24:$J$113,2,FALSE())</f>
        <v>0.0235</v>
      </c>
      <c r="D24" s="67" t="n">
        <f aca="false">IF(C24="NA","NA",IF(C24&gt;$C$139,C24-$C$139,0))</f>
        <v>0.0221</v>
      </c>
      <c r="H24" s="64" t="s">
        <v>300</v>
      </c>
      <c r="I24" s="99" t="n">
        <v>0.006</v>
      </c>
      <c r="J24" s="182" t="n">
        <f aca="false">IF(I24="NA","NA",IF(I24&lt;$I$103,0,I24-$I$103))</f>
        <v>0.0046</v>
      </c>
    </row>
    <row r="25" customFormat="false" ht="15.75" hidden="false" customHeight="false" outlineLevel="0" collapsed="false">
      <c r="A25" s="64" t="str">
        <f aca="false">'Sovereign Ratings (Moody''s,S&amp;P)'!A25</f>
        <v>Bulgaria</v>
      </c>
      <c r="B25" s="65" t="str">
        <f aca="false">'Sovereign Ratings (Moody''s,S&amp;P)'!D25</f>
        <v>Baa1</v>
      </c>
      <c r="C25" s="67" t="n">
        <f aca="false">VLOOKUP(A25,$H$24:$J$113,2,FALSE())</f>
        <v>0.0077</v>
      </c>
      <c r="D25" s="67" t="n">
        <f aca="false">IF(C25="NA","NA",IF(C25&gt;$C$139,C25-$C$139,0))</f>
        <v>0.0063</v>
      </c>
      <c r="H25" s="64" t="s">
        <v>409</v>
      </c>
      <c r="I25" s="99" t="n">
        <v>0.0134</v>
      </c>
      <c r="J25" s="182" t="n">
        <f aca="false">IF(I25="NA","NA",IF(I25&lt;$I$103,0,I25-$I$103))</f>
        <v>0.012</v>
      </c>
    </row>
    <row r="26" customFormat="false" ht="15.75" hidden="false" customHeight="false" outlineLevel="0" collapsed="false">
      <c r="A26" s="64" t="str">
        <f aca="false">'Sovereign Ratings (Moody''s,S&amp;P)'!A26</f>
        <v>Burkina Faso</v>
      </c>
      <c r="B26" s="65" t="str">
        <f aca="false">'Sovereign Ratings (Moody''s,S&amp;P)'!D26</f>
        <v>Caa1</v>
      </c>
      <c r="C26" s="67" t="s">
        <v>136</v>
      </c>
      <c r="D26" s="67" t="str">
        <f aca="false">IF(C26="NA","NA",IF(C26&gt;$C$139,C26-$C$139,0))</f>
        <v>NA</v>
      </c>
      <c r="H26" s="64" t="s">
        <v>183</v>
      </c>
      <c r="I26" s="99" t="n">
        <v>0.0624</v>
      </c>
      <c r="J26" s="182" t="n">
        <f aca="false">IF(I26="NA","NA",IF(I26&lt;$I$103,0,I26-$I$103))</f>
        <v>0.061</v>
      </c>
    </row>
    <row r="27" customFormat="false" ht="15.75" hidden="false" customHeight="false" outlineLevel="0" collapsed="false">
      <c r="A27" s="64" t="str">
        <f aca="false">'Sovereign Ratings (Moody''s,S&amp;P)'!A27</f>
        <v>Cambodia</v>
      </c>
      <c r="B27" s="65" t="str">
        <f aca="false">'Sovereign Ratings (Moody''s,S&amp;P)'!D27</f>
        <v>B2</v>
      </c>
      <c r="C27" s="67" t="s">
        <v>136</v>
      </c>
      <c r="D27" s="67" t="str">
        <f aca="false">IF(C27="NA","NA",IF(C27&gt;$C$139,C27-$C$139,0))</f>
        <v>NA</v>
      </c>
      <c r="H27" s="64" t="s">
        <v>254</v>
      </c>
      <c r="I27" s="173" t="n">
        <v>0.0694</v>
      </c>
      <c r="J27" s="182" t="n">
        <f aca="false">IF(I27="NA","NA",IF(I27&lt;$I$103,0,I27-$I$103))</f>
        <v>0.068</v>
      </c>
    </row>
    <row r="28" customFormat="false" ht="15.75" hidden="false" customHeight="false" outlineLevel="0" collapsed="false">
      <c r="A28" s="64" t="str">
        <f aca="false">'Sovereign Ratings (Moody''s,S&amp;P)'!A28</f>
        <v>Cameroon</v>
      </c>
      <c r="B28" s="65" t="str">
        <f aca="false">'Sovereign Ratings (Moody''s,S&amp;P)'!D28</f>
        <v>Caa1</v>
      </c>
      <c r="C28" s="67" t="n">
        <f aca="false">VLOOKUP(A28,$H$24:$J$113,2,FALSE())</f>
        <v>0.0687</v>
      </c>
      <c r="D28" s="67" t="n">
        <f aca="false">IF(C28="NA","NA",IF(C28&gt;$C$139,C28-$C$139,0))</f>
        <v>0.0673</v>
      </c>
      <c r="H28" s="64" t="s">
        <v>237</v>
      </c>
      <c r="I28" s="99" t="n">
        <v>0.0019</v>
      </c>
      <c r="J28" s="182" t="n">
        <f aca="false">IF(I28="NA","NA",IF(I28&lt;$I$103,0,I28-$I$103))</f>
        <v>0.0005</v>
      </c>
    </row>
    <row r="29" customFormat="false" ht="15.75" hidden="false" customHeight="false" outlineLevel="0" collapsed="false">
      <c r="A29" s="64" t="str">
        <f aca="false">'Sovereign Ratings (Moody''s,S&amp;P)'!A29</f>
        <v>Canada</v>
      </c>
      <c r="B29" s="65" t="str">
        <f aca="false">'Sovereign Ratings (Moody''s,S&amp;P)'!D29</f>
        <v>Aaa</v>
      </c>
      <c r="C29" s="67" t="n">
        <f aca="false">VLOOKUP(A29,$H$24:$J$113,2,FALSE())</f>
        <v>0.0033</v>
      </c>
      <c r="D29" s="67" t="n">
        <f aca="false">IF(C29="NA","NA",IF(C29&gt;$C$139,C29-$C$139,0))</f>
        <v>0.0019</v>
      </c>
      <c r="H29" s="64" t="s">
        <v>316</v>
      </c>
      <c r="I29" s="99" t="n">
        <v>0.0028</v>
      </c>
      <c r="J29" s="182" t="n">
        <f aca="false">IF(I29="NA","NA",IF(I29&lt;$I$103,0,I29-$I$103))</f>
        <v>0.0014</v>
      </c>
    </row>
    <row r="30" customFormat="false" ht="15.75" hidden="false" customHeight="false" outlineLevel="0" collapsed="false">
      <c r="A30" s="64" t="str">
        <f aca="false">'Sovereign Ratings (Moody''s,S&amp;P)'!A30</f>
        <v>Cape Verde</v>
      </c>
      <c r="B30" s="65" t="str">
        <f aca="false">'Sovereign Ratings (Moody''s,S&amp;P)'!D30</f>
        <v>B2</v>
      </c>
      <c r="C30" s="67" t="s">
        <v>136</v>
      </c>
      <c r="D30" s="67" t="str">
        <f aca="false">IF(C30="NA","NA",IF(C30&gt;$C$139,C30-$C$139,0))</f>
        <v>NA</v>
      </c>
      <c r="H30" s="64" t="s">
        <v>301</v>
      </c>
      <c r="I30" s="99" t="n">
        <v>0.0247</v>
      </c>
      <c r="J30" s="182" t="n">
        <f aca="false">IF(I30="NA","NA",IF(I30&lt;$I$103,0,I30-$I$103))</f>
        <v>0.0233</v>
      </c>
    </row>
    <row r="31" customFormat="false" ht="15.75" hidden="false" customHeight="false" outlineLevel="0" collapsed="false">
      <c r="A31" s="64" t="str">
        <f aca="false">'Sovereign Ratings (Moody''s,S&amp;P)'!A31</f>
        <v>Cayman Islands</v>
      </c>
      <c r="B31" s="65" t="str">
        <f aca="false">'Sovereign Ratings (Moody''s,S&amp;P)'!D31</f>
        <v>Aa3</v>
      </c>
      <c r="C31" s="67" t="s">
        <v>136</v>
      </c>
      <c r="D31" s="67" t="str">
        <f aca="false">IF(C31="NA","NA",IF(C31&gt;$C$139,C31-$C$139,0))</f>
        <v>NA</v>
      </c>
      <c r="H31" s="64" t="s">
        <v>317</v>
      </c>
      <c r="I31" s="99" t="n">
        <v>0.004</v>
      </c>
      <c r="J31" s="182" t="n">
        <f aca="false">IF(I31="NA","NA",IF(I31&lt;$I$103,0,I31-$I$103))</f>
        <v>0.0026</v>
      </c>
    </row>
    <row r="32" customFormat="false" ht="15.75" hidden="false" customHeight="false" outlineLevel="0" collapsed="false">
      <c r="A32" s="64" t="str">
        <f aca="false">'Sovereign Ratings (Moody''s,S&amp;P)'!A32</f>
        <v>Chile</v>
      </c>
      <c r="B32" s="65" t="str">
        <f aca="false">'Sovereign Ratings (Moody''s,S&amp;P)'!D32</f>
        <v>A2</v>
      </c>
      <c r="C32" s="67" t="n">
        <f aca="false">VLOOKUP(A32,$H$24:$J$113,2,FALSE())</f>
        <v>0.0087</v>
      </c>
      <c r="D32" s="67" t="n">
        <f aca="false">IF(C32="NA","NA",IF(C32&gt;$C$139,C32-$C$139,0))</f>
        <v>0.0073</v>
      </c>
      <c r="H32" s="64" t="s">
        <v>257</v>
      </c>
      <c r="I32" s="99" t="n">
        <v>0.0235</v>
      </c>
      <c r="J32" s="182" t="n">
        <f aca="false">IF(I32="NA","NA",IF(I32&lt;$I$103,0,I32-$I$103))</f>
        <v>0.0221</v>
      </c>
    </row>
    <row r="33" customFormat="false" ht="15.75" hidden="false" customHeight="false" outlineLevel="0" collapsed="false">
      <c r="A33" s="64" t="str">
        <f aca="false">'Sovereign Ratings (Moody''s,S&amp;P)'!A33</f>
        <v>China</v>
      </c>
      <c r="B33" s="65" t="str">
        <f aca="false">'Sovereign Ratings (Moody''s,S&amp;P)'!D33</f>
        <v>A1</v>
      </c>
      <c r="C33" s="67" t="n">
        <f aca="false">VLOOKUP(A33,$H$24:$J$113,2,FALSE())</f>
        <v>0.0064</v>
      </c>
      <c r="D33" s="67" t="n">
        <f aca="false">IF(C33="NA","NA",IF(C33&gt;$C$139,C33-$C$139,0))</f>
        <v>0.005</v>
      </c>
      <c r="H33" s="64" t="s">
        <v>278</v>
      </c>
      <c r="I33" s="99" t="n">
        <v>0.0077</v>
      </c>
      <c r="J33" s="182" t="n">
        <f aca="false">IF(I33="NA","NA",IF(I33&lt;$I$103,0,I33-$I$103))</f>
        <v>0.0063</v>
      </c>
    </row>
    <row r="34" customFormat="false" ht="15.75" hidden="false" customHeight="false" outlineLevel="0" collapsed="false">
      <c r="A34" s="64" t="str">
        <f aca="false">'Sovereign Ratings (Moody''s,S&amp;P)'!A34</f>
        <v>Colombia</v>
      </c>
      <c r="B34" s="65" t="str">
        <f aca="false">'Sovereign Ratings (Moody''s,S&amp;P)'!D34</f>
        <v>Baa3</v>
      </c>
      <c r="C34" s="67" t="n">
        <f aca="false">VLOOKUP(A34,$H$24:$J$113,2,FALSE())</f>
        <v>0.0334</v>
      </c>
      <c r="D34" s="67" t="n">
        <f aca="false">IF(C34="NA","NA",IF(C34&gt;$C$139,C34-$C$139,0))</f>
        <v>0.032</v>
      </c>
      <c r="H34" s="64" t="s">
        <v>187</v>
      </c>
      <c r="I34" s="99" t="n">
        <v>0.0687</v>
      </c>
      <c r="J34" s="182" t="n">
        <f aca="false">IF(I34="NA","NA",IF(I34&lt;$I$103,0,I34-$I$103))</f>
        <v>0.0673</v>
      </c>
    </row>
    <row r="35" customFormat="false" ht="15.75" hidden="false" customHeight="false" outlineLevel="0" collapsed="false">
      <c r="A35" s="64" t="str">
        <f aca="false">'Sovereign Ratings (Moody''s,S&amp;P)'!A35</f>
        <v>Congo (Democratic Republic of)</v>
      </c>
      <c r="B35" s="65" t="str">
        <f aca="false">'Sovereign Ratings (Moody''s,S&amp;P)'!D35</f>
        <v>B3</v>
      </c>
      <c r="C35" s="67" t="s">
        <v>136</v>
      </c>
      <c r="D35" s="67" t="str">
        <f aca="false">IF(C35="NA","NA",IF(C35&gt;$C$139,C35-$C$139,0))</f>
        <v>NA</v>
      </c>
      <c r="H35" s="64" t="s">
        <v>313</v>
      </c>
      <c r="I35" s="99" t="n">
        <v>0.0033</v>
      </c>
      <c r="J35" s="182" t="n">
        <f aca="false">IF(I35="NA","NA",IF(I35&lt;$I$103,0,I35-$I$103))</f>
        <v>0.0019</v>
      </c>
    </row>
    <row r="36" customFormat="false" ht="15.75" hidden="false" customHeight="false" outlineLevel="0" collapsed="false">
      <c r="A36" s="64" t="str">
        <f aca="false">'Sovereign Ratings (Moody''s,S&amp;P)'!A36</f>
        <v>Congo (Republic of)</v>
      </c>
      <c r="B36" s="65" t="str">
        <f aca="false">'Sovereign Ratings (Moody''s,S&amp;P)'!D36</f>
        <v>Caa2</v>
      </c>
      <c r="C36" s="67" t="s">
        <v>136</v>
      </c>
      <c r="D36" s="67" t="str">
        <f aca="false">IF(C36="NA","NA",IF(C36&gt;$C$139,C36-$C$139,0))</f>
        <v>NA</v>
      </c>
      <c r="H36" s="64" t="s">
        <v>258</v>
      </c>
      <c r="I36" s="99" t="n">
        <v>0.0087</v>
      </c>
      <c r="J36" s="182" t="n">
        <f aca="false">IF(I36="NA","NA",IF(I36&lt;$I$103,0,I36-$I$103))</f>
        <v>0.0073</v>
      </c>
    </row>
    <row r="37" customFormat="false" ht="15.75" hidden="false" customHeight="false" outlineLevel="0" collapsed="false">
      <c r="A37" s="64" t="str">
        <f aca="false">'Sovereign Ratings (Moody''s,S&amp;P)'!A37</f>
        <v>Cook Islands</v>
      </c>
      <c r="B37" s="65" t="str">
        <f aca="false">'Sovereign Ratings (Moody''s,S&amp;P)'!D37</f>
        <v>B1</v>
      </c>
      <c r="C37" s="67" t="s">
        <v>136</v>
      </c>
      <c r="D37" s="67" t="str">
        <f aca="false">IF(C37="NA","NA",IF(C37&gt;$C$139,C37-$C$139,0))</f>
        <v>NA</v>
      </c>
      <c r="H37" s="64" t="s">
        <v>215</v>
      </c>
      <c r="I37" s="99" t="n">
        <v>0.0064</v>
      </c>
      <c r="J37" s="182" t="n">
        <f aca="false">IF(I37="NA","NA",IF(I37&lt;$I$103,0,I37-$I$103))</f>
        <v>0.005</v>
      </c>
    </row>
    <row r="38" customFormat="false" ht="15.75" hidden="false" customHeight="false" outlineLevel="0" collapsed="false">
      <c r="A38" s="64" t="str">
        <f aca="false">'Sovereign Ratings (Moody''s,S&amp;P)'!A38</f>
        <v>Costa Rica</v>
      </c>
      <c r="B38" s="65" t="str">
        <f aca="false">'Sovereign Ratings (Moody''s,S&amp;P)'!D38</f>
        <v>Ba2</v>
      </c>
      <c r="C38" s="67" t="n">
        <f aca="false">VLOOKUP(A38,$H$24:$J$113,2,FALSE())</f>
        <v>0.0175</v>
      </c>
      <c r="D38" s="67" t="n">
        <f aca="false">IF(C38="NA","NA",IF(C38&gt;$C$139,C38-$C$139,0))</f>
        <v>0.0161</v>
      </c>
      <c r="H38" s="64" t="s">
        <v>259</v>
      </c>
      <c r="I38" s="99" t="n">
        <v>0.0334</v>
      </c>
      <c r="J38" s="182" t="n">
        <f aca="false">IF(I38="NA","NA",IF(I38&lt;$I$103,0,I38-$I$103))</f>
        <v>0.032</v>
      </c>
    </row>
    <row r="39" customFormat="false" ht="15.75" hidden="false" customHeight="false" outlineLevel="0" collapsed="false">
      <c r="A39" s="64" t="str">
        <f aca="false">'Sovereign Ratings (Moody''s,S&amp;P)'!A39</f>
        <v>Côte d'Ivoire</v>
      </c>
      <c r="B39" s="65" t="str">
        <f aca="false">'Sovereign Ratings (Moody''s,S&amp;P)'!D39</f>
        <v>Ba2</v>
      </c>
      <c r="C39" s="67" t="s">
        <v>136</v>
      </c>
      <c r="D39" s="67" t="str">
        <f aca="false">IF(C39="NA","NA",IF(C39&gt;$C$139,C39-$C$139,0))</f>
        <v>NA</v>
      </c>
      <c r="H39" s="64" t="s">
        <v>260</v>
      </c>
      <c r="I39" s="99" t="n">
        <v>0.0175</v>
      </c>
      <c r="J39" s="182" t="n">
        <f aca="false">IF(I39="NA","NA",IF(I39&lt;$I$103,0,I39-$I$103))</f>
        <v>0.0161</v>
      </c>
    </row>
    <row r="40" customFormat="false" ht="15.75" hidden="false" customHeight="false" outlineLevel="0" collapsed="false">
      <c r="A40" s="64" t="str">
        <f aca="false">'Sovereign Ratings (Moody''s,S&amp;P)'!A40</f>
        <v>Croatia</v>
      </c>
      <c r="B40" s="65" t="str">
        <f aca="false">'Sovereign Ratings (Moody''s,S&amp;P)'!D40</f>
        <v>A3</v>
      </c>
      <c r="C40" s="67" t="n">
        <f aca="false">VLOOKUP(A40,$H$24:$J$113,2,FALSE())</f>
        <v>0.0102</v>
      </c>
      <c r="D40" s="67" t="n">
        <f aca="false">IF(C40="NA","NA",IF(C40&gt;$C$139,C40-$C$139,0))</f>
        <v>0.0088</v>
      </c>
      <c r="H40" s="64" t="s">
        <v>279</v>
      </c>
      <c r="I40" s="99" t="n">
        <v>0.0102</v>
      </c>
      <c r="J40" s="182" t="n">
        <f aca="false">IF(I40="NA","NA",IF(I40&lt;$I$103,0,I40-$I$103))</f>
        <v>0.0088</v>
      </c>
    </row>
    <row r="41" customFormat="false" ht="15.75" hidden="false" customHeight="false" outlineLevel="0" collapsed="false">
      <c r="A41" s="64" t="str">
        <f aca="false">'Sovereign Ratings (Moody''s,S&amp;P)'!A41</f>
        <v>Cuba</v>
      </c>
      <c r="B41" s="65" t="str">
        <f aca="false">'Sovereign Ratings (Moody''s,S&amp;P)'!D41</f>
        <v>Ca</v>
      </c>
      <c r="C41" s="67" t="s">
        <v>136</v>
      </c>
      <c r="D41" s="67" t="str">
        <f aca="false">IF(C41="NA","NA",IF(C41&gt;$C$139,C41-$C$139,0))</f>
        <v>NA</v>
      </c>
      <c r="H41" s="64" t="s">
        <v>318</v>
      </c>
      <c r="I41" s="99" t="n">
        <v>0.0075</v>
      </c>
      <c r="J41" s="182" t="n">
        <f aca="false">IF(I41="NA","NA",IF(I41&lt;$I$103,0,I41-$I$103))</f>
        <v>0.0061</v>
      </c>
    </row>
    <row r="42" customFormat="false" ht="15.75" hidden="false" customHeight="false" outlineLevel="0" collapsed="false">
      <c r="A42" s="64" t="str">
        <f aca="false">'Sovereign Ratings (Moody''s,S&amp;P)'!A42</f>
        <v>Curacao</v>
      </c>
      <c r="B42" s="65" t="str">
        <f aca="false">'Sovereign Ratings (Moody''s,S&amp;P)'!D42</f>
        <v>Baa3</v>
      </c>
      <c r="C42" s="67" t="s">
        <v>136</v>
      </c>
      <c r="D42" s="67" t="str">
        <f aca="false">IF(C42="NA","NA",IF(C42&gt;$C$139,C42-$C$139,0))</f>
        <v>NA</v>
      </c>
      <c r="H42" s="64" t="s">
        <v>280</v>
      </c>
      <c r="I42" s="99" t="n">
        <v>0.0048</v>
      </c>
      <c r="J42" s="182" t="n">
        <f aca="false">IF(I42="NA","NA",IF(I42&lt;$I$103,0,I42-$I$103))</f>
        <v>0.0034</v>
      </c>
    </row>
    <row r="43" customFormat="false" ht="15.75" hidden="false" customHeight="false" outlineLevel="0" collapsed="false">
      <c r="A43" s="64" t="str">
        <f aca="false">'Sovereign Ratings (Moody''s,S&amp;P)'!A43</f>
        <v>Cyprus</v>
      </c>
      <c r="B43" s="65" t="str">
        <f aca="false">'Sovereign Ratings (Moody''s,S&amp;P)'!D43</f>
        <v>A3</v>
      </c>
      <c r="C43" s="67" t="n">
        <f aca="false">VLOOKUP(A43,$H$24:$J$113,2,FALSE())</f>
        <v>0.0075</v>
      </c>
      <c r="D43" s="67" t="n">
        <f aca="false">IF(C43="NA","NA",IF(C43&gt;$C$139,C43-$C$139,0))</f>
        <v>0.0061</v>
      </c>
      <c r="H43" s="64" t="s">
        <v>319</v>
      </c>
      <c r="I43" s="99" t="n">
        <v>0.0018</v>
      </c>
      <c r="J43" s="182" t="n">
        <f aca="false">IF(I43="NA","NA",IF(I43&lt;$I$103,0,I43-$I$103))</f>
        <v>0.0004</v>
      </c>
    </row>
    <row r="44" customFormat="false" ht="15.75" hidden="false" customHeight="false" outlineLevel="0" collapsed="false">
      <c r="A44" s="64" t="str">
        <f aca="false">'Sovereign Ratings (Moody''s,S&amp;P)'!A44</f>
        <v>Czech Republic</v>
      </c>
      <c r="B44" s="65" t="str">
        <f aca="false">'Sovereign Ratings (Moody''s,S&amp;P)'!D44</f>
        <v>Aa3</v>
      </c>
      <c r="C44" s="67" t="n">
        <f aca="false">VLOOKUP(A44,$H$24:$J$113,2,FALSE())</f>
        <v>0.0048</v>
      </c>
      <c r="D44" s="67" t="n">
        <f aca="false">IF(C44="NA","NA",IF(C44&gt;$C$139,C44-$C$139,0))</f>
        <v>0.0034</v>
      </c>
      <c r="H44" s="64" t="s">
        <v>411</v>
      </c>
      <c r="I44" s="99" t="n">
        <v>0.0082</v>
      </c>
      <c r="J44" s="182" t="n">
        <f aca="false">IF(I44="NA","NA",IF(I44&lt;$I$103,0,I44-$I$103))</f>
        <v>0.0068</v>
      </c>
    </row>
    <row r="45" customFormat="false" ht="15.75" hidden="false" customHeight="false" outlineLevel="0" collapsed="false">
      <c r="A45" s="64" t="str">
        <f aca="false">'Sovereign Ratings (Moody''s,S&amp;P)'!A45</f>
        <v>Denmark</v>
      </c>
      <c r="B45" s="65" t="str">
        <f aca="false">'Sovereign Ratings (Moody''s,S&amp;P)'!D45</f>
        <v>Aaa</v>
      </c>
      <c r="C45" s="67" t="n">
        <f aca="false">VLOOKUP(A45,$H$24:$J$113,2,FALSE())</f>
        <v>0.0018</v>
      </c>
      <c r="D45" s="67" t="n">
        <f aca="false">IF(C45="NA","NA",IF(C45&gt;$C$139,C45-$C$139,0))</f>
        <v>0.0004</v>
      </c>
      <c r="H45" s="158" t="s">
        <v>261</v>
      </c>
      <c r="I45" s="173" t="n">
        <v>0.0567</v>
      </c>
      <c r="J45" s="182" t="n">
        <f aca="false">IF(I45="NA","NA",IF(I45&lt;$I$103,0,I45-$I$103))</f>
        <v>0.0553</v>
      </c>
    </row>
    <row r="46" customFormat="false" ht="15.75" hidden="false" customHeight="false" outlineLevel="0" collapsed="false">
      <c r="A46" s="64" t="str">
        <f aca="false">'Sovereign Ratings (Moody''s,S&amp;P)'!A46</f>
        <v>Dominican Republic</v>
      </c>
      <c r="B46" s="65" t="str">
        <f aca="false">'Sovereign Ratings (Moody''s,S&amp;P)'!D46</f>
        <v>Ba2</v>
      </c>
      <c r="C46" s="67" t="s">
        <v>136</v>
      </c>
      <c r="D46" s="67" t="str">
        <f aca="false">IF(C46="NA","NA",IF(C46&gt;$C$139,C46-$C$139,0))</f>
        <v>NA</v>
      </c>
      <c r="H46" s="158" t="s">
        <v>192</v>
      </c>
      <c r="I46" s="99" t="n">
        <v>0.0355</v>
      </c>
      <c r="J46" s="182" t="n">
        <f aca="false">IF(I46="NA","NA",IF(I46&lt;$I$103,0,I46-$I$103))</f>
        <v>0.0341</v>
      </c>
    </row>
    <row r="47" customFormat="false" ht="15.75" hidden="false" customHeight="false" outlineLevel="0" collapsed="false">
      <c r="A47" s="64" t="str">
        <f aca="false">'Sovereign Ratings (Moody''s,S&amp;P)'!A47</f>
        <v>Ecuador</v>
      </c>
      <c r="B47" s="65" t="str">
        <f aca="false">'Sovereign Ratings (Moody''s,S&amp;P)'!D47</f>
        <v>Caa3</v>
      </c>
      <c r="C47" s="67" t="n">
        <f aca="false">VLOOKUP(A47,$H$24:$J$113,2,FALSE())</f>
        <v>0.0567</v>
      </c>
      <c r="D47" s="67" t="n">
        <f aca="false">IF(C47="NA","NA",IF(C47&gt;$C$139,C47-$C$139,0))</f>
        <v>0.0553</v>
      </c>
      <c r="H47" s="64" t="s">
        <v>262</v>
      </c>
      <c r="I47" s="99" t="n">
        <v>0.034</v>
      </c>
      <c r="J47" s="182" t="n">
        <f aca="false">IF(I47="NA","NA",IF(I47&lt;$I$103,0,I47-$I$103))</f>
        <v>0.0326</v>
      </c>
    </row>
    <row r="48" customFormat="false" ht="15.75" hidden="false" customHeight="false" outlineLevel="0" collapsed="false">
      <c r="A48" s="64" t="str">
        <f aca="false">'Sovereign Ratings (Moody''s,S&amp;P)'!A48</f>
        <v>Egypt</v>
      </c>
      <c r="B48" s="65" t="str">
        <f aca="false">'Sovereign Ratings (Moody''s,S&amp;P)'!D48</f>
        <v>Caa1</v>
      </c>
      <c r="C48" s="67" t="n">
        <f aca="false">VLOOKUP(A48,$H$24:$J$113,2,FALSE())</f>
        <v>0.0355</v>
      </c>
      <c r="D48" s="67" t="n">
        <f aca="false">IF(C48="NA","NA",IF(C48&gt;$C$139,C48-$C$139,0))</f>
        <v>0.0341</v>
      </c>
      <c r="H48" s="64" t="s">
        <v>281</v>
      </c>
      <c r="I48" s="99" t="n">
        <v>0.01</v>
      </c>
      <c r="J48" s="182" t="n">
        <f aca="false">IF(I48="NA","NA",IF(I48&lt;$I$103,0,I48-$I$103))</f>
        <v>0.0086</v>
      </c>
    </row>
    <row r="49" customFormat="false" ht="15.75" hidden="false" customHeight="false" outlineLevel="0" collapsed="false">
      <c r="A49" s="64" t="str">
        <f aca="false">'Sovereign Ratings (Moody''s,S&amp;P)'!A49</f>
        <v>El Salvador</v>
      </c>
      <c r="B49" s="65" t="str">
        <f aca="false">'Sovereign Ratings (Moody''s,S&amp;P)'!D49</f>
        <v>B3</v>
      </c>
      <c r="C49" s="67" t="n">
        <f aca="false">VLOOKUP(A49,$H$24:$J$113,2,FALSE())</f>
        <v>0.034</v>
      </c>
      <c r="D49" s="67" t="n">
        <f aca="false">IF(C49="NA","NA",IF(C49&gt;$C$139,C49-$C$139,0))</f>
        <v>0.0326</v>
      </c>
      <c r="H49" s="64" t="s">
        <v>193</v>
      </c>
      <c r="I49" s="173" t="s">
        <v>136</v>
      </c>
      <c r="J49" s="182" t="str">
        <f aca="false">IF(I49="NA","NA",IF(I49&lt;$I$103,0,I49-$I$103))</f>
        <v>NA</v>
      </c>
    </row>
    <row r="50" customFormat="false" ht="15.75" hidden="false" customHeight="false" outlineLevel="0" collapsed="false">
      <c r="A50" s="64" t="str">
        <f aca="false">'Sovereign Ratings (Moody''s,S&amp;P)'!A50</f>
        <v>Estonia</v>
      </c>
      <c r="B50" s="65" t="str">
        <f aca="false">'Sovereign Ratings (Moody''s,S&amp;P)'!D50</f>
        <v>A1</v>
      </c>
      <c r="C50" s="67" t="n">
        <f aca="false">VLOOKUP(A50,$H$24:$J$113,2,FALSE())</f>
        <v>0.01</v>
      </c>
      <c r="D50" s="67" t="n">
        <f aca="false">IF(C50="NA","NA",IF(C50&gt;$C$139,C50-$C$139,0))</f>
        <v>0.0086</v>
      </c>
      <c r="H50" s="64" t="s">
        <v>320</v>
      </c>
      <c r="I50" s="99" t="n">
        <v>0.0026</v>
      </c>
      <c r="J50" s="182" t="n">
        <f aca="false">IF(I50="NA","NA",IF(I50&lt;$I$103,0,I50-$I$103))</f>
        <v>0.0012</v>
      </c>
    </row>
    <row r="51" customFormat="false" ht="15.75" hidden="false" customHeight="false" outlineLevel="0" collapsed="false">
      <c r="A51" s="64" t="str">
        <f aca="false">'Sovereign Ratings (Moody''s,S&amp;P)'!A51</f>
        <v>Ethiopia</v>
      </c>
      <c r="B51" s="65" t="str">
        <f aca="false">'Sovereign Ratings (Moody''s,S&amp;P)'!D51</f>
        <v>Caa2</v>
      </c>
      <c r="C51" s="67" t="str">
        <f aca="false">VLOOKUP(A51,$H$24:$J$113,2,FALSE())</f>
        <v>NA</v>
      </c>
      <c r="D51" s="67" t="str">
        <f aca="false">IF(C51="NA","NA",IF(C51&gt;$C$139,C51-$C$139,0))</f>
        <v>NA</v>
      </c>
      <c r="H51" s="64" t="s">
        <v>321</v>
      </c>
      <c r="I51" s="99" t="n">
        <v>0.0064</v>
      </c>
      <c r="J51" s="182" t="n">
        <f aca="false">IF(I51="NA","NA",IF(I51&lt;$I$103,0,I51-$I$103))</f>
        <v>0.005</v>
      </c>
    </row>
    <row r="52" customFormat="false" ht="15.75" hidden="false" customHeight="false" outlineLevel="0" collapsed="false">
      <c r="A52" s="64" t="str">
        <f aca="false">'Sovereign Ratings (Moody''s,S&amp;P)'!A52</f>
        <v>Fiji</v>
      </c>
      <c r="B52" s="65" t="str">
        <f aca="false">'Sovereign Ratings (Moody''s,S&amp;P)'!D52</f>
        <v>B1</v>
      </c>
      <c r="C52" s="67" t="s">
        <v>136</v>
      </c>
      <c r="D52" s="67" t="str">
        <f aca="false">IF(C52="NA","NA",IF(C52&gt;$C$139,C52-$C$139,0))</f>
        <v>NA</v>
      </c>
      <c r="H52" s="64" t="s">
        <v>194</v>
      </c>
      <c r="I52" s="99" t="n">
        <v>0.0854</v>
      </c>
      <c r="J52" s="182" t="n">
        <f aca="false">IF(I52="NA","NA",IF(I52&lt;$I$103,0,I52-$I$103))</f>
        <v>0.084</v>
      </c>
    </row>
    <row r="53" customFormat="false" ht="15.75" hidden="false" customHeight="false" outlineLevel="0" collapsed="false">
      <c r="A53" s="64" t="str">
        <f aca="false">'Sovereign Ratings (Moody''s,S&amp;P)'!A53</f>
        <v>Finland</v>
      </c>
      <c r="B53" s="65" t="str">
        <f aca="false">'Sovereign Ratings (Moody''s,S&amp;P)'!D53</f>
        <v>Aa1</v>
      </c>
      <c r="C53" s="67" t="n">
        <f aca="false">VLOOKUP(A53,$H$24:$J$113,2,FALSE())</f>
        <v>0.0026</v>
      </c>
      <c r="D53" s="67" t="n">
        <f aca="false">IF(C53="NA","NA",IF(C53&gt;$C$139,C53-$C$139,0))</f>
        <v>0.0012</v>
      </c>
      <c r="H53" s="64" t="s">
        <v>322</v>
      </c>
      <c r="I53" s="99" t="n">
        <v>0.0021</v>
      </c>
      <c r="J53" s="182" t="n">
        <f aca="false">IF(I53="NA","NA",IF(I53&lt;$I$103,0,I53-$I$103))</f>
        <v>0.0007</v>
      </c>
    </row>
    <row r="54" customFormat="false" ht="15.75" hidden="false" customHeight="false" outlineLevel="0" collapsed="false">
      <c r="A54" s="64" t="str">
        <f aca="false">'Sovereign Ratings (Moody''s,S&amp;P)'!A54</f>
        <v>France</v>
      </c>
      <c r="B54" s="65" t="str">
        <f aca="false">'Sovereign Ratings (Moody''s,S&amp;P)'!D54</f>
        <v>Aa3</v>
      </c>
      <c r="C54" s="67" t="n">
        <f aca="false">VLOOKUP(A54,$H$24:$J$113,2,FALSE())</f>
        <v>0.0064</v>
      </c>
      <c r="D54" s="67" t="n">
        <f aca="false">IF(C54="NA","NA",IF(C54&gt;$C$139,C54-$C$139,0))</f>
        <v>0.005</v>
      </c>
      <c r="H54" s="64" t="s">
        <v>323</v>
      </c>
      <c r="I54" s="99" t="n">
        <v>0.0075</v>
      </c>
      <c r="J54" s="182" t="n">
        <f aca="false">IF(I54="NA","NA",IF(I54&lt;$I$103,0,I54-$I$103))</f>
        <v>0.0061</v>
      </c>
    </row>
    <row r="55" customFormat="false" ht="15.75" hidden="false" customHeight="false" outlineLevel="0" collapsed="false">
      <c r="A55" s="64" t="str">
        <f aca="false">'Sovereign Ratings (Moody''s,S&amp;P)'!A55</f>
        <v>Gabon</v>
      </c>
      <c r="B55" s="65" t="str">
        <f aca="false">'Sovereign Ratings (Moody''s,S&amp;P)'!D55</f>
        <v>Caa2</v>
      </c>
      <c r="C55" s="67" t="s">
        <v>136</v>
      </c>
      <c r="D55" s="67" t="str">
        <f aca="false">IF(C55="NA","NA",IF(C55&gt;$C$139,C55-$C$139,0))</f>
        <v>NA</v>
      </c>
      <c r="H55" s="64" t="s">
        <v>263</v>
      </c>
      <c r="I55" s="99" t="n">
        <v>0.0171</v>
      </c>
      <c r="J55" s="182" t="n">
        <f aca="false">IF(I55="NA","NA",IF(I55&lt;$I$103,0,I55-$I$103))</f>
        <v>0.0157</v>
      </c>
    </row>
    <row r="56" customFormat="false" ht="15.75" hidden="false" customHeight="false" outlineLevel="0" collapsed="false">
      <c r="A56" s="64" t="str">
        <f aca="false">'Sovereign Ratings (Moody''s,S&amp;P)'!A56</f>
        <v>Georgia</v>
      </c>
      <c r="B56" s="65" t="str">
        <f aca="false">'Sovereign Ratings (Moody''s,S&amp;P)'!D56</f>
        <v>Ba2</v>
      </c>
      <c r="C56" s="67" t="s">
        <v>136</v>
      </c>
      <c r="D56" s="67" t="str">
        <f aca="false">IF(C56="NA","NA",IF(C56&gt;$C$139,C56-$C$139,0))</f>
        <v>NA</v>
      </c>
      <c r="H56" s="64" t="s">
        <v>217</v>
      </c>
      <c r="I56" s="99" t="n">
        <v>0.0044</v>
      </c>
      <c r="J56" s="182" t="n">
        <f aca="false">IF(I56="NA","NA",IF(I56&lt;$I$103,0,I56-$I$103))</f>
        <v>0.003</v>
      </c>
    </row>
    <row r="57" customFormat="false" ht="15.75" hidden="false" customHeight="false" outlineLevel="0" collapsed="false">
      <c r="A57" s="64" t="str">
        <f aca="false">'Sovereign Ratings (Moody''s,S&amp;P)'!A57</f>
        <v>Germany</v>
      </c>
      <c r="B57" s="65" t="str">
        <f aca="false">'Sovereign Ratings (Moody''s,S&amp;P)'!D57</f>
        <v>Aaa</v>
      </c>
      <c r="C57" s="67" t="n">
        <f aca="false">VLOOKUP(A57,$H$24:$J$113,2,FALSE())</f>
        <v>0.0021</v>
      </c>
      <c r="D57" s="67" t="n">
        <f aca="false">IF(C57="NA","NA",IF(C57&gt;$C$139,C57-$C$139,0))</f>
        <v>0.0007</v>
      </c>
      <c r="H57" s="64" t="s">
        <v>283</v>
      </c>
      <c r="I57" s="99" t="n">
        <v>0.016</v>
      </c>
      <c r="J57" s="182" t="n">
        <f aca="false">IF(I57="NA","NA",IF(I57&lt;$I$103,0,I57-$I$103))</f>
        <v>0.0146</v>
      </c>
    </row>
    <row r="58" customFormat="false" ht="15.75" hidden="false" customHeight="false" outlineLevel="0" collapsed="false">
      <c r="A58" s="64" t="str">
        <f aca="false">'Sovereign Ratings (Moody''s,S&amp;P)'!A58</f>
        <v>Ghana</v>
      </c>
      <c r="B58" s="65" t="str">
        <f aca="false">'Sovereign Ratings (Moody''s,S&amp;P)'!D58</f>
        <v>Caa1</v>
      </c>
      <c r="C58" s="67" t="s">
        <v>136</v>
      </c>
      <c r="D58" s="67" t="str">
        <f aca="false">IF(C58="NA","NA",IF(C58&gt;$C$139,C58-$C$139,0))</f>
        <v>NA</v>
      </c>
      <c r="H58" s="64" t="s">
        <v>325</v>
      </c>
      <c r="I58" s="99" t="n">
        <v>0.0045</v>
      </c>
      <c r="J58" s="182" t="n">
        <f aca="false">IF(I58="NA","NA",IF(I58&lt;$I$103,0,I58-$I$103))</f>
        <v>0.0031</v>
      </c>
    </row>
    <row r="59" customFormat="false" ht="15.75" hidden="false" customHeight="false" outlineLevel="0" collapsed="false">
      <c r="A59" s="64" t="str">
        <f aca="false">'Sovereign Ratings (Moody''s,S&amp;P)'!A59</f>
        <v>Greece</v>
      </c>
      <c r="B59" s="65" t="str">
        <f aca="false">'Sovereign Ratings (Moody''s,S&amp;P)'!D59</f>
        <v>Baa3</v>
      </c>
      <c r="C59" s="67" t="n">
        <f aca="false">VLOOKUP(A59,$H$24:$J$113,2,FALSE())</f>
        <v>0.0075</v>
      </c>
      <c r="D59" s="67" t="n">
        <f aca="false">IF(C59="NA","NA",IF(C59&gt;$C$139,C59-$C$139,0))</f>
        <v>0.0061</v>
      </c>
      <c r="H59" s="64" t="s">
        <v>218</v>
      </c>
      <c r="I59" s="99" t="n">
        <v>0.008</v>
      </c>
      <c r="J59" s="182" t="n">
        <f aca="false">IF(I59="NA","NA",IF(I59&lt;$I$103,0,I59-$I$103))</f>
        <v>0.0066</v>
      </c>
    </row>
    <row r="60" customFormat="false" ht="15.75" hidden="false" customHeight="false" outlineLevel="0" collapsed="false">
      <c r="A60" s="64" t="str">
        <f aca="false">'Sovereign Ratings (Moody''s,S&amp;P)'!A60</f>
        <v>Guatemala</v>
      </c>
      <c r="B60" s="65" t="str">
        <f aca="false">'Sovereign Ratings (Moody''s,S&amp;P)'!D60</f>
        <v>Ba1</v>
      </c>
      <c r="C60" s="67" t="s">
        <v>136</v>
      </c>
      <c r="D60" s="67" t="str">
        <f aca="false">IF(C60="NA","NA",IF(C60&gt;$C$139,C60-$C$139,0))</f>
        <v>NA</v>
      </c>
      <c r="H60" s="64" t="s">
        <v>219</v>
      </c>
      <c r="I60" s="99" t="n">
        <v>0.0119</v>
      </c>
      <c r="J60" s="182" t="n">
        <f aca="false">IF(I60="NA","NA",IF(I60&lt;$I$103,0,I60-$I$103))</f>
        <v>0.0105</v>
      </c>
    </row>
    <row r="61" customFormat="false" ht="15.75" hidden="false" customHeight="false" outlineLevel="0" collapsed="false">
      <c r="A61" s="64" t="str">
        <f aca="false">'Sovereign Ratings (Moody''s,S&amp;P)'!A61</f>
        <v>Guernsey (States of)</v>
      </c>
      <c r="B61" s="65" t="str">
        <f aca="false">'Sovereign Ratings (Moody''s,S&amp;P)'!D61</f>
        <v>A1</v>
      </c>
      <c r="C61" s="67" t="s">
        <v>136</v>
      </c>
      <c r="D61" s="67" t="str">
        <f aca="false">IF(C61="NA","NA",IF(C61&gt;$C$139,C61-$C$139,0))</f>
        <v>NA</v>
      </c>
      <c r="H61" s="64" t="s">
        <v>302</v>
      </c>
      <c r="I61" s="99" t="n">
        <v>0.0289</v>
      </c>
      <c r="J61" s="182" t="n">
        <f aca="false">IF(I61="NA","NA",IF(I61&lt;$I$103,0,I61-$I$103))</f>
        <v>0.0275</v>
      </c>
    </row>
    <row r="62" customFormat="false" ht="15.75" hidden="false" customHeight="false" outlineLevel="0" collapsed="false">
      <c r="A62" s="64" t="str">
        <f aca="false">'Sovereign Ratings (Moody''s,S&amp;P)'!A62</f>
        <v>Honduras</v>
      </c>
      <c r="B62" s="65" t="str">
        <f aca="false">'Sovereign Ratings (Moody''s,S&amp;P)'!D62</f>
        <v>B1</v>
      </c>
      <c r="C62" s="67" t="s">
        <v>136</v>
      </c>
      <c r="D62" s="67" t="str">
        <f aca="false">IF(C62="NA","NA",IF(C62&gt;$C$139,C62-$C$139,0))</f>
        <v>NA</v>
      </c>
      <c r="H62" s="64" t="s">
        <v>326</v>
      </c>
      <c r="I62" s="99" t="n">
        <v>0.0034</v>
      </c>
      <c r="J62" s="182" t="n">
        <f aca="false">IF(I62="NA","NA",IF(I62&lt;$I$103,0,I62-$I$103))</f>
        <v>0.002</v>
      </c>
    </row>
    <row r="63" customFormat="false" ht="15.75" hidden="false" customHeight="false" outlineLevel="0" collapsed="false">
      <c r="A63" s="64" t="str">
        <f aca="false">'Sovereign Ratings (Moody''s,S&amp;P)'!A63</f>
        <v>Hong Kong</v>
      </c>
      <c r="B63" s="65" t="str">
        <f aca="false">'Sovereign Ratings (Moody''s,S&amp;P)'!D63</f>
        <v>Aa3</v>
      </c>
      <c r="C63" s="67" t="n">
        <f aca="false">VLOOKUP(A63,$H$24:$J$113,2,FALSE())</f>
        <v>0.0044</v>
      </c>
      <c r="D63" s="67" t="n">
        <f aca="false">IF(C63="NA","NA",IF(C63&gt;$C$139,C63-$C$139,0))</f>
        <v>0.003</v>
      </c>
      <c r="H63" s="64" t="s">
        <v>303</v>
      </c>
      <c r="I63" s="99" t="n">
        <v>0.0113</v>
      </c>
      <c r="J63" s="182" t="n">
        <f aca="false">IF(I63="NA","NA",IF(I63&lt;$I$103,0,I63-$I$103))</f>
        <v>0.0099</v>
      </c>
    </row>
    <row r="64" customFormat="false" ht="15.75" hidden="false" customHeight="false" outlineLevel="0" collapsed="false">
      <c r="A64" s="64" t="str">
        <f aca="false">'Sovereign Ratings (Moody''s,S&amp;P)'!A64</f>
        <v>Hungary</v>
      </c>
      <c r="B64" s="65" t="str">
        <f aca="false">'Sovereign Ratings (Moody''s,S&amp;P)'!D64</f>
        <v>Baa2</v>
      </c>
      <c r="C64" s="67" t="n">
        <f aca="false">VLOOKUP(A64,$H$24:$J$113,2,FALSE())</f>
        <v>0.016</v>
      </c>
      <c r="D64" s="67" t="n">
        <f aca="false">IF(C64="NA","NA",IF(C64&gt;$C$139,C64-$C$139,0))</f>
        <v>0.0146</v>
      </c>
      <c r="H64" s="64" t="s">
        <v>328</v>
      </c>
      <c r="I64" s="99" t="n">
        <v>0.0061</v>
      </c>
      <c r="J64" s="182" t="n">
        <f aca="false">IF(I64="NA","NA",IF(I64&lt;$I$103,0,I64-$I$103))</f>
        <v>0.0047</v>
      </c>
    </row>
    <row r="65" customFormat="false" ht="15.75" hidden="false" customHeight="false" outlineLevel="0" collapsed="false">
      <c r="A65" s="64" t="str">
        <f aca="false">'Sovereign Ratings (Moody''s,S&amp;P)'!A65</f>
        <v>Iceland</v>
      </c>
      <c r="B65" s="65" t="str">
        <f aca="false">'Sovereign Ratings (Moody''s,S&amp;P)'!D65</f>
        <v>A1</v>
      </c>
      <c r="C65" s="67" t="n">
        <f aca="false">VLOOKUP(A65,$H$24:$J$113,2,FALSE())</f>
        <v>0.0045</v>
      </c>
      <c r="D65" s="67" t="n">
        <f aca="false">IF(C65="NA","NA",IF(C65&gt;$C$139,C65-$C$139,0))</f>
        <v>0.0031</v>
      </c>
      <c r="H65" s="64" t="s">
        <v>220</v>
      </c>
      <c r="I65" s="99" t="n">
        <v>0.0044</v>
      </c>
      <c r="J65" s="182" t="n">
        <f aca="false">IF(I65="NA","NA",IF(I65&lt;$I$103,0,I65-$I$103))</f>
        <v>0.003</v>
      </c>
    </row>
    <row r="66" customFormat="false" ht="15.75" hidden="false" customHeight="false" outlineLevel="0" collapsed="false">
      <c r="A66" s="64" t="str">
        <f aca="false">'Sovereign Ratings (Moody''s,S&amp;P)'!A66</f>
        <v>India</v>
      </c>
      <c r="B66" s="65" t="str">
        <f aca="false">'Sovereign Ratings (Moody''s,S&amp;P)'!D66</f>
        <v>Baa3</v>
      </c>
      <c r="C66" s="67" t="n">
        <f aca="false">VLOOKUP(A66,$H$24:$J$113,2,FALSE())</f>
        <v>0.008</v>
      </c>
      <c r="D66" s="67" t="n">
        <f aca="false">IF(C66="NA","NA",IF(C66&gt;$C$139,C66-$C$139,0))</f>
        <v>0.0066</v>
      </c>
      <c r="H66" s="64" t="s">
        <v>284</v>
      </c>
      <c r="I66" s="99" t="n">
        <v>0.0131</v>
      </c>
      <c r="J66" s="182" t="n">
        <f aca="false">IF(I66="NA","NA",IF(I66&lt;$I$103,0,I66-$I$103))</f>
        <v>0.0117</v>
      </c>
    </row>
    <row r="67" customFormat="false" ht="15.75" hidden="false" customHeight="false" outlineLevel="0" collapsed="false">
      <c r="A67" s="64" t="str">
        <f aca="false">'Sovereign Ratings (Moody''s,S&amp;P)'!A67</f>
        <v>Indonesia</v>
      </c>
      <c r="B67" s="65" t="str">
        <f aca="false">'Sovereign Ratings (Moody''s,S&amp;P)'!D67</f>
        <v>Baa2</v>
      </c>
      <c r="C67" s="67" t="n">
        <f aca="false">VLOOKUP(A67,$H$24:$J$113,2,FALSE())</f>
        <v>0.0119</v>
      </c>
      <c r="D67" s="67" t="n">
        <f aca="false">IF(C67="NA","NA",IF(C67&gt;$C$139,C67-$C$139,0))</f>
        <v>0.0105</v>
      </c>
      <c r="H67" s="64" t="s">
        <v>196</v>
      </c>
      <c r="I67" s="99" t="n">
        <v>0.0451</v>
      </c>
      <c r="J67" s="182" t="n">
        <f aca="false">IF(I67="NA","NA",IF(I67&lt;$I$103,0,I67-$I$103))</f>
        <v>0.0437</v>
      </c>
    </row>
    <row r="68" customFormat="false" ht="15.75" hidden="false" customHeight="false" outlineLevel="0" collapsed="false">
      <c r="A68" s="64" t="str">
        <f aca="false">'Sovereign Ratings (Moody''s,S&amp;P)'!A68</f>
        <v>Iraq</v>
      </c>
      <c r="B68" s="65" t="str">
        <f aca="false">'Sovereign Ratings (Moody''s,S&amp;P)'!D68</f>
        <v>Caa1</v>
      </c>
      <c r="C68" s="67" t="n">
        <f aca="false">VLOOKUP(A68,$H$24:$J$113,2,FALSE())</f>
        <v>0.0289</v>
      </c>
      <c r="D68" s="67" t="n">
        <f aca="false">IF(C68="NA","NA",IF(C68&gt;$C$139,C68-$C$139,0))</f>
        <v>0.0275</v>
      </c>
      <c r="H68" s="64" t="s">
        <v>221</v>
      </c>
      <c r="I68" s="99" t="n">
        <v>0.0034</v>
      </c>
      <c r="J68" s="182" t="n">
        <f aca="false">IF(I68="NA","NA",IF(I68&lt;$I$103,0,I68-$I$103))</f>
        <v>0.002</v>
      </c>
    </row>
    <row r="69" customFormat="false" ht="15.75" hidden="false" customHeight="false" outlineLevel="0" collapsed="false">
      <c r="A69" s="64" t="str">
        <f aca="false">'Sovereign Ratings (Moody''s,S&amp;P)'!A69</f>
        <v>Ireland</v>
      </c>
      <c r="B69" s="65" t="str">
        <f aca="false">'Sovereign Ratings (Moody''s,S&amp;P)'!D69</f>
        <v>Aa3</v>
      </c>
      <c r="C69" s="67" t="n">
        <f aca="false">VLOOKUP(A69,$H$24:$J$113,2,FALSE())</f>
        <v>0.0034</v>
      </c>
      <c r="D69" s="67" t="n">
        <f aca="false">IF(C69="NA","NA",IF(C69&gt;$C$139,C69-$C$139,0))</f>
        <v>0.002</v>
      </c>
      <c r="H69" s="64" t="s">
        <v>305</v>
      </c>
      <c r="I69" s="99" t="n">
        <v>0.0087</v>
      </c>
      <c r="J69" s="182" t="n">
        <f aca="false">IF(I69="NA","NA",IF(I69&lt;$I$103,0,I69-$I$103))</f>
        <v>0.0073</v>
      </c>
    </row>
    <row r="70" customFormat="false" ht="15.75" hidden="false" customHeight="false" outlineLevel="0" collapsed="false">
      <c r="A70" s="64" t="str">
        <f aca="false">'Sovereign Ratings (Moody''s,S&amp;P)'!A70</f>
        <v>Isle of Man</v>
      </c>
      <c r="B70" s="65" t="str">
        <f aca="false">'Sovereign Ratings (Moody''s,S&amp;P)'!D70</f>
        <v>Aa3</v>
      </c>
      <c r="C70" s="67" t="s">
        <v>136</v>
      </c>
      <c r="D70" s="67" t="str">
        <f aca="false">IF(C70="NA","NA",IF(C70&gt;$C$139,C70-$C$139,0))</f>
        <v>NA</v>
      </c>
      <c r="H70" s="64" t="s">
        <v>286</v>
      </c>
      <c r="I70" s="99" t="n">
        <v>0.0082</v>
      </c>
      <c r="J70" s="182" t="n">
        <f aca="false">IF(I70="NA","NA",IF(I70&lt;$I$103,0,I70-$I$103))</f>
        <v>0.0068</v>
      </c>
    </row>
    <row r="71" customFormat="false" ht="15.75" hidden="false" customHeight="false" outlineLevel="0" collapsed="false">
      <c r="A71" s="64" t="str">
        <f aca="false">'Sovereign Ratings (Moody''s,S&amp;P)'!A71</f>
        <v>Israel</v>
      </c>
      <c r="B71" s="65" t="str">
        <f aca="false">'Sovereign Ratings (Moody''s,S&amp;P)'!D71</f>
        <v>Baa1</v>
      </c>
      <c r="C71" s="67" t="n">
        <f aca="false">VLOOKUP(A71,$H$24:$J$113,2,FALSE())</f>
        <v>0.0113</v>
      </c>
      <c r="D71" s="67" t="n">
        <f aca="false">IF(C71="NA","NA",IF(C71&gt;$C$139,C71-$C$139,0))</f>
        <v>0.0099</v>
      </c>
      <c r="H71" s="64" t="s">
        <v>306</v>
      </c>
      <c r="I71" s="99" t="s">
        <v>136</v>
      </c>
      <c r="J71" s="182" t="str">
        <f aca="false">IF(I71="NA","NA",IF(I71&lt;$I$103,0,I71-$I$103))</f>
        <v>NA</v>
      </c>
    </row>
    <row r="72" customFormat="false" ht="15.75" hidden="false" customHeight="false" outlineLevel="0" collapsed="false">
      <c r="A72" s="64" t="str">
        <f aca="false">'Sovereign Ratings (Moody''s,S&amp;P)'!A72</f>
        <v>Italy</v>
      </c>
      <c r="B72" s="65" t="str">
        <f aca="false">'Sovereign Ratings (Moody''s,S&amp;P)'!D72</f>
        <v>Baa2</v>
      </c>
      <c r="C72" s="67" t="n">
        <f aca="false">VLOOKUP(A72,$H$24:$J$113,2,FALSE())</f>
        <v>0.0061</v>
      </c>
      <c r="D72" s="67" t="n">
        <f aca="false">IF(C72="NA","NA",IF(C72&gt;$C$139,C72-$C$139,0))</f>
        <v>0.0047</v>
      </c>
      <c r="H72" s="64" t="s">
        <v>287</v>
      </c>
      <c r="I72" s="99" t="n">
        <v>0.0082</v>
      </c>
      <c r="J72" s="182" t="n">
        <f aca="false">IF(I72="NA","NA",IF(I72&lt;$I$103,0,I72-$I$103))</f>
        <v>0.0068</v>
      </c>
    </row>
    <row r="73" customFormat="false" ht="15.75" hidden="false" customHeight="false" outlineLevel="0" collapsed="false">
      <c r="A73" s="64" t="str">
        <f aca="false">'Sovereign Ratings (Moody''s,S&amp;P)'!A73</f>
        <v>Jamaica</v>
      </c>
      <c r="B73" s="65" t="str">
        <f aca="false">'Sovereign Ratings (Moody''s,S&amp;P)'!D73</f>
        <v>Ba3</v>
      </c>
      <c r="C73" s="67" t="s">
        <v>136</v>
      </c>
      <c r="D73" s="67" t="str">
        <f aca="false">IF(C73="NA","NA",IF(C73&gt;$C$139,C73-$C$139,0))</f>
        <v>NA</v>
      </c>
      <c r="H73" s="64" t="s">
        <v>224</v>
      </c>
      <c r="I73" s="99" t="n">
        <v>0.0067</v>
      </c>
      <c r="J73" s="182" t="n">
        <f aca="false">IF(I73="NA","NA",IF(I73&lt;$I$103,0,I73-$I$103))</f>
        <v>0.0053</v>
      </c>
    </row>
    <row r="74" customFormat="false" ht="15.75" hidden="false" customHeight="false" outlineLevel="0" collapsed="false">
      <c r="A74" s="64" t="str">
        <f aca="false">'Sovereign Ratings (Moody''s,S&amp;P)'!A74</f>
        <v>Japan</v>
      </c>
      <c r="B74" s="65" t="str">
        <f aca="false">'Sovereign Ratings (Moody''s,S&amp;P)'!D74</f>
        <v>A1</v>
      </c>
      <c r="C74" s="67" t="n">
        <f aca="false">VLOOKUP(A74,$H$24:$J$113,2,FALSE())</f>
        <v>0.0044</v>
      </c>
      <c r="D74" s="67" t="n">
        <f aca="false">IF(C74="NA","NA",IF(C74&gt;$C$139,C74-$C$139,0))</f>
        <v>0.003</v>
      </c>
      <c r="H74" s="64" t="s">
        <v>265</v>
      </c>
      <c r="I74" s="99" t="n">
        <v>0.0166</v>
      </c>
      <c r="J74" s="182" t="n">
        <f aca="false">IF(I74="NA","NA",IF(I74&lt;$I$103,0,I74-$I$103))</f>
        <v>0.0152</v>
      </c>
    </row>
    <row r="75" customFormat="false" ht="15.75" hidden="false" customHeight="false" outlineLevel="0" collapsed="false">
      <c r="A75" s="64" t="str">
        <f aca="false">'Sovereign Ratings (Moody''s,S&amp;P)'!A75</f>
        <v>Jersey (States of)</v>
      </c>
      <c r="B75" s="65" t="str">
        <f aca="false">'Sovereign Ratings (Moody''s,S&amp;P)'!D75</f>
        <v>Aa3</v>
      </c>
      <c r="C75" s="67" t="s">
        <v>136</v>
      </c>
      <c r="D75" s="67" t="str">
        <f aca="false">IF(C75="NA","NA",IF(C75&gt;$C$139,C75-$C$139,0))</f>
        <v>NA</v>
      </c>
      <c r="H75" s="64" t="s">
        <v>226</v>
      </c>
      <c r="I75" s="99" t="n">
        <v>0.0326</v>
      </c>
      <c r="J75" s="182" t="n">
        <f aca="false">IF(I75="NA","NA",IF(I75&lt;$I$103,0,I75-$I$103))</f>
        <v>0.0312</v>
      </c>
    </row>
    <row r="76" customFormat="false" ht="15.75" hidden="false" customHeight="false" outlineLevel="0" collapsed="false">
      <c r="A76" s="64" t="str">
        <f aca="false">'Sovereign Ratings (Moody''s,S&amp;P)'!A76</f>
        <v>Jordan</v>
      </c>
      <c r="B76" s="65" t="str">
        <f aca="false">'Sovereign Ratings (Moody''s,S&amp;P)'!D76</f>
        <v>Ba3</v>
      </c>
      <c r="C76" s="67" t="s">
        <v>136</v>
      </c>
      <c r="D76" s="67" t="str">
        <f aca="false">IF(C76="NA","NA",IF(C76&gt;$C$139,C76-$C$139,0))</f>
        <v>NA</v>
      </c>
      <c r="H76" s="64" t="s">
        <v>199</v>
      </c>
      <c r="I76" s="99" t="n">
        <v>0.013</v>
      </c>
      <c r="J76" s="182" t="n">
        <f aca="false">IF(I76="NA","NA",IF(I76&lt;$I$103,0,I76-$I$103))</f>
        <v>0.0116</v>
      </c>
    </row>
    <row r="77" customFormat="false" ht="15.75" hidden="false" customHeight="false" outlineLevel="0" collapsed="false">
      <c r="A77" s="64" t="str">
        <f aca="false">'Sovereign Ratings (Moody''s,S&amp;P)'!A77</f>
        <v>Kazakhstan</v>
      </c>
      <c r="B77" s="65" t="str">
        <f aca="false">'Sovereign Ratings (Moody''s,S&amp;P)'!D77</f>
        <v>Baa1</v>
      </c>
      <c r="C77" s="67" t="n">
        <f aca="false">VLOOKUP(A77,$H$24:$J$113,2,FALSE())</f>
        <v>0.0131</v>
      </c>
      <c r="D77" s="67" t="n">
        <f aca="false">IF(C77="NA","NA",IF(C77&gt;$C$139,C77-$C$139,0))</f>
        <v>0.0117</v>
      </c>
      <c r="H77" s="64" t="s">
        <v>201</v>
      </c>
      <c r="I77" s="99" t="n">
        <v>0.0341</v>
      </c>
      <c r="J77" s="182" t="n">
        <f aca="false">IF(I77="NA","NA",IF(I77&lt;$I$103,0,I77-$I$103))</f>
        <v>0.0327</v>
      </c>
    </row>
    <row r="78" customFormat="false" ht="15.75" hidden="false" customHeight="false" outlineLevel="0" collapsed="false">
      <c r="A78" s="64" t="str">
        <f aca="false">'Sovereign Ratings (Moody''s,S&amp;P)'!A78</f>
        <v>Kenya</v>
      </c>
      <c r="B78" s="65" t="str">
        <f aca="false">'Sovereign Ratings (Moody''s,S&amp;P)'!D78</f>
        <v>B3</v>
      </c>
      <c r="C78" s="67" t="n">
        <f aca="false">VLOOKUP(A78,$H$24:$J$113,2,FALSE())</f>
        <v>0.0451</v>
      </c>
      <c r="D78" s="67" t="n">
        <f aca="false">IF(C78="NA","NA",IF(C78&gt;$C$139,C78-$C$139,0))</f>
        <v>0.0437</v>
      </c>
      <c r="H78" s="158" t="s">
        <v>333</v>
      </c>
      <c r="I78" s="173" t="n">
        <v>0.002</v>
      </c>
      <c r="J78" s="182" t="n">
        <f aca="false">IF(I78="NA","NA",IF(I78&lt;$I$103,0,I78-$I$103))</f>
        <v>0.0006</v>
      </c>
    </row>
    <row r="79" customFormat="false" ht="15.75" hidden="false" customHeight="false" outlineLevel="0" collapsed="false">
      <c r="A79" s="64" t="str">
        <f aca="false">'Sovereign Ratings (Moody''s,S&amp;P)'!A79</f>
        <v>Korea</v>
      </c>
      <c r="B79" s="65" t="str">
        <f aca="false">'Sovereign Ratings (Moody''s,S&amp;P)'!D79</f>
        <v>Aa2</v>
      </c>
      <c r="C79" s="67" t="n">
        <f aca="false">VLOOKUP(A79,$H$24:$J$113,2,FALSE())</f>
        <v>0.0034</v>
      </c>
      <c r="D79" s="67" t="n">
        <f aca="false">IF(C79="NA","NA",IF(C79&gt;$C$139,C79-$C$139,0))</f>
        <v>0.002</v>
      </c>
      <c r="H79" s="64" t="s">
        <v>239</v>
      </c>
      <c r="I79" s="99" t="n">
        <v>0.0023</v>
      </c>
      <c r="J79" s="182" t="n">
        <f aca="false">IF(I79="NA","NA",IF(I79&lt;$I$103,0,I79-$I$103))</f>
        <v>0.0009</v>
      </c>
    </row>
    <row r="80" customFormat="false" ht="15.75" hidden="false" customHeight="false" outlineLevel="0" collapsed="false">
      <c r="A80" s="64" t="str">
        <f aca="false">'Sovereign Ratings (Moody''s,S&amp;P)'!A80</f>
        <v>Kuwait</v>
      </c>
      <c r="B80" s="65" t="str">
        <f aca="false">'Sovereign Ratings (Moody''s,S&amp;P)'!D80</f>
        <v>A1</v>
      </c>
      <c r="C80" s="67" t="n">
        <f aca="false">VLOOKUP(A80,$H$24:$J$113,2,FALSE())</f>
        <v>0.0087</v>
      </c>
      <c r="D80" s="67" t="n">
        <f aca="false">IF(C80="NA","NA",IF(C80&gt;$C$139,C80-$C$139,0))</f>
        <v>0.0073</v>
      </c>
      <c r="H80" s="64" t="s">
        <v>266</v>
      </c>
      <c r="I80" s="99" t="n">
        <v>0.0529</v>
      </c>
      <c r="J80" s="182" t="n">
        <f aca="false">IF(I80="NA","NA",IF(I80&lt;$I$103,0,I80-$I$103))</f>
        <v>0.0515</v>
      </c>
    </row>
    <row r="81" customFormat="false" ht="15.75" hidden="false" customHeight="false" outlineLevel="0" collapsed="false">
      <c r="A81" s="64" t="str">
        <f aca="false">'Sovereign Ratings (Moody''s,S&amp;P)'!A81</f>
        <v>Kyrgyzstan</v>
      </c>
      <c r="B81" s="65" t="str">
        <f aca="false">'Sovereign Ratings (Moody''s,S&amp;P)'!D81</f>
        <v>B3</v>
      </c>
      <c r="C81" s="67" t="s">
        <v>136</v>
      </c>
      <c r="D81" s="67" t="str">
        <f aca="false">IF(C81="NA","NA",IF(C81&gt;$C$139,C81-$C$139,0))</f>
        <v>NA</v>
      </c>
      <c r="H81" s="64" t="s">
        <v>203</v>
      </c>
      <c r="I81" s="99" t="n">
        <v>0.0391</v>
      </c>
      <c r="J81" s="182" t="n">
        <f aca="false">IF(I81="NA","NA",IF(I81&lt;$I$103,0,I81-$I$103))</f>
        <v>0.0377</v>
      </c>
    </row>
    <row r="82" customFormat="false" ht="15.75" hidden="false" customHeight="false" outlineLevel="0" collapsed="false">
      <c r="A82" s="64" t="str">
        <f aca="false">'Sovereign Ratings (Moody''s,S&amp;P)'!A82</f>
        <v>Laos</v>
      </c>
      <c r="B82" s="65" t="str">
        <f aca="false">'Sovereign Ratings (Moody''s,S&amp;P)'!D82</f>
        <v>Caa2</v>
      </c>
      <c r="C82" s="67" t="s">
        <v>136</v>
      </c>
      <c r="D82" s="67" t="str">
        <f aca="false">IF(C82="NA","NA",IF(C82&gt;$C$139,C82-$C$139,0))</f>
        <v>NA</v>
      </c>
      <c r="H82" s="64" t="s">
        <v>334</v>
      </c>
      <c r="I82" s="99" t="n">
        <v>0.0018</v>
      </c>
      <c r="J82" s="182" t="n">
        <f aca="false">IF(I82="NA","NA",IF(I82&lt;$I$103,0,I82-$I$103))</f>
        <v>0.0004</v>
      </c>
    </row>
    <row r="83" customFormat="false" ht="15.75" hidden="false" customHeight="false" outlineLevel="0" collapsed="false">
      <c r="A83" s="64" t="str">
        <f aca="false">'Sovereign Ratings (Moody''s,S&amp;P)'!A83</f>
        <v>Latvia</v>
      </c>
      <c r="B83" s="65" t="str">
        <f aca="false">'Sovereign Ratings (Moody''s,S&amp;P)'!D83</f>
        <v>A3</v>
      </c>
      <c r="C83" s="67" t="n">
        <f aca="false">VLOOKUP(A83,$H$24:$J$113,2,FALSE())</f>
        <v>0.0082</v>
      </c>
      <c r="D83" s="67" t="n">
        <f aca="false">IF(C83="NA","NA",IF(C83&gt;$C$139,C83-$C$139,0))</f>
        <v>0.0068</v>
      </c>
      <c r="H83" s="64" t="s">
        <v>307</v>
      </c>
      <c r="I83" s="99" t="n">
        <v>0.013</v>
      </c>
      <c r="J83" s="182" t="n">
        <f aca="false">IF(I83="NA","NA",IF(I83&lt;$I$103,0,I83-$I$103))</f>
        <v>0.0116</v>
      </c>
    </row>
    <row r="84" customFormat="false" ht="15.75" hidden="false" customHeight="false" outlineLevel="0" collapsed="false">
      <c r="A84" s="64" t="str">
        <f aca="false">'Sovereign Ratings (Moody''s,S&amp;P)'!A84</f>
        <v>Lebanon</v>
      </c>
      <c r="B84" s="65" t="str">
        <f aca="false">'Sovereign Ratings (Moody''s,S&amp;P)'!D84</f>
        <v>C</v>
      </c>
      <c r="C84" s="67" t="str">
        <f aca="false">VLOOKUP(A84,$H$24:$J$113,2,FALSE())</f>
        <v>NA</v>
      </c>
      <c r="D84" s="67" t="str">
        <f aca="false">IF(C84="NA","NA",IF(C84&gt;$C$139,C84-$C$139,0))</f>
        <v>NA</v>
      </c>
      <c r="H84" s="64" t="s">
        <v>228</v>
      </c>
      <c r="I84" s="176" t="n">
        <v>0.0523</v>
      </c>
      <c r="J84" s="182" t="n">
        <f aca="false">IF(I84="NA","NA",IF(I84&lt;$I$103,0,I84-$I$103))</f>
        <v>0.0509</v>
      </c>
    </row>
    <row r="85" customFormat="false" ht="15.75" hidden="false" customHeight="false" outlineLevel="0" collapsed="false">
      <c r="A85" s="64" t="str">
        <f aca="false">'Sovereign Ratings (Moody''s,S&amp;P)'!A85</f>
        <v>Liechtenstein</v>
      </c>
      <c r="B85" s="65" t="str">
        <f aca="false">'Sovereign Ratings (Moody''s,S&amp;P)'!D85</f>
        <v>Aaa</v>
      </c>
      <c r="C85" s="67" t="s">
        <v>136</v>
      </c>
      <c r="D85" s="67" t="str">
        <f aca="false">IF(C85="NA","NA",IF(C85&gt;$C$139,C85-$C$139,0))</f>
        <v>NA</v>
      </c>
      <c r="H85" s="64" t="s">
        <v>267</v>
      </c>
      <c r="I85" s="99" t="n">
        <v>0.0222</v>
      </c>
      <c r="J85" s="182" t="n">
        <f aca="false">IF(I85="NA","NA",IF(I85&lt;$I$103,0,I85-$I$103))</f>
        <v>0.0208</v>
      </c>
    </row>
    <row r="86" customFormat="false" ht="15.75" hidden="false" customHeight="false" outlineLevel="0" collapsed="false">
      <c r="A86" s="64" t="str">
        <f aca="false">'Sovereign Ratings (Moody''s,S&amp;P)'!A86</f>
        <v>Lithuania</v>
      </c>
      <c r="B86" s="65" t="str">
        <f aca="false">'Sovereign Ratings (Moody''s,S&amp;P)'!D86</f>
        <v>A2</v>
      </c>
      <c r="C86" s="67" t="n">
        <f aca="false">VLOOKUP(A86,$H$24:$J$113,2,FALSE())</f>
        <v>0.0082</v>
      </c>
      <c r="D86" s="67" t="n">
        <f aca="false">IF(C86="NA","NA",IF(C86&gt;$C$139,C86-$C$139,0))</f>
        <v>0.0068</v>
      </c>
      <c r="H86" s="64" t="s">
        <v>269</v>
      </c>
      <c r="I86" s="99" t="n">
        <v>0.0126</v>
      </c>
      <c r="J86" s="182" t="n">
        <f aca="false">IF(I86="NA","NA",IF(I86&lt;$I$103,0,I86-$I$103))</f>
        <v>0.0112</v>
      </c>
    </row>
    <row r="87" customFormat="false" ht="15.75" hidden="false" customHeight="false" outlineLevel="0" collapsed="false">
      <c r="A87" s="64" t="str">
        <f aca="false">'Sovereign Ratings (Moody''s,S&amp;P)'!A87</f>
        <v>Luxembourg</v>
      </c>
      <c r="B87" s="65" t="str">
        <f aca="false">'Sovereign Ratings (Moody''s,S&amp;P)'!D87</f>
        <v>Aaa</v>
      </c>
      <c r="C87" s="67" t="s">
        <v>136</v>
      </c>
      <c r="D87" s="67" t="str">
        <f aca="false">IF(C87="NA","NA",IF(C87&gt;$C$139,C87-$C$139,0))</f>
        <v>NA</v>
      </c>
      <c r="H87" s="64" t="s">
        <v>230</v>
      </c>
      <c r="I87" s="99" t="n">
        <v>0.0102</v>
      </c>
      <c r="J87" s="182" t="n">
        <f aca="false">IF(I87="NA","NA",IF(I87&lt;$I$103,0,I87-$I$103))</f>
        <v>0.0088</v>
      </c>
    </row>
    <row r="88" customFormat="false" ht="15.75" hidden="false" customHeight="false" outlineLevel="0" collapsed="false">
      <c r="A88" s="64" t="str">
        <f aca="false">'Sovereign Ratings (Moody''s,S&amp;P)'!A88</f>
        <v>Macao</v>
      </c>
      <c r="B88" s="65" t="str">
        <f aca="false">'Sovereign Ratings (Moody''s,S&amp;P)'!D88</f>
        <v>Aa3</v>
      </c>
      <c r="C88" s="67" t="s">
        <v>136</v>
      </c>
      <c r="D88" s="67" t="str">
        <f aca="false">IF(C88="NA","NA",IF(C88&gt;$C$139,C88-$C$139,0))</f>
        <v>NA</v>
      </c>
      <c r="H88" s="64" t="s">
        <v>291</v>
      </c>
      <c r="I88" s="99" t="n">
        <v>0.01</v>
      </c>
      <c r="J88" s="182" t="n">
        <f aca="false">IF(I88="NA","NA",IF(I88&lt;$I$103,0,I88-$I$103))</f>
        <v>0.0086</v>
      </c>
    </row>
    <row r="89" customFormat="false" ht="15.75" hidden="false" customHeight="false" outlineLevel="0" collapsed="false">
      <c r="A89" s="64" t="str">
        <f aca="false">'Sovereign Ratings (Moody''s,S&amp;P)'!A89</f>
        <v>Macedonia</v>
      </c>
      <c r="B89" s="65" t="str">
        <f aca="false">'Sovereign Ratings (Moody''s,S&amp;P)'!D89</f>
        <v>Ba3</v>
      </c>
      <c r="C89" s="67" t="s">
        <v>136</v>
      </c>
      <c r="D89" s="67" t="str">
        <f aca="false">IF(C89="NA","NA",IF(C89&gt;$C$139,C89-$C$139,0))</f>
        <v>NA</v>
      </c>
      <c r="H89" s="64" t="s">
        <v>335</v>
      </c>
      <c r="I89" s="99" t="n">
        <v>0.0045</v>
      </c>
      <c r="J89" s="182" t="n">
        <f aca="false">IF(I89="NA","NA",IF(I89&lt;$I$103,0,I89-$I$103))</f>
        <v>0.0031</v>
      </c>
    </row>
    <row r="90" customFormat="false" ht="15.75" hidden="false" customHeight="false" outlineLevel="0" collapsed="false">
      <c r="A90" s="64" t="str">
        <f aca="false">'Sovereign Ratings (Moody''s,S&amp;P)'!A90</f>
        <v>Malaysia</v>
      </c>
      <c r="B90" s="65" t="str">
        <f aca="false">'Sovereign Ratings (Moody''s,S&amp;P)'!D90</f>
        <v>A3</v>
      </c>
      <c r="C90" s="67" t="n">
        <f aca="false">VLOOKUP(A90,$H$24:$J$113,2,FALSE())</f>
        <v>0.0067</v>
      </c>
      <c r="D90" s="67" t="n">
        <f aca="false">IF(C90="NA","NA",IF(C90&gt;$C$139,C90-$C$139,0))</f>
        <v>0.0053</v>
      </c>
      <c r="H90" s="64" t="s">
        <v>308</v>
      </c>
      <c r="I90" s="99" t="n">
        <v>0.0061</v>
      </c>
      <c r="J90" s="182" t="n">
        <f aca="false">IF(I90="NA","NA",IF(I90&lt;$I$103,0,I90-$I$103))</f>
        <v>0.0047</v>
      </c>
    </row>
    <row r="91" customFormat="false" ht="15.75" hidden="false" customHeight="false" outlineLevel="0" collapsed="false">
      <c r="A91" s="64" t="str">
        <f aca="false">'Sovereign Ratings (Moody''s,S&amp;P)'!A91</f>
        <v>Maldives</v>
      </c>
      <c r="B91" s="65" t="str">
        <f aca="false">'Sovereign Ratings (Moody''s,S&amp;P)'!D91</f>
        <v>Caa2</v>
      </c>
      <c r="C91" s="67" t="s">
        <v>136</v>
      </c>
      <c r="D91" s="67" t="str">
        <f aca="false">IF(C91="NA","NA",IF(C91&gt;$C$139,C91-$C$139,0))</f>
        <v>NA</v>
      </c>
      <c r="H91" s="64" t="s">
        <v>292</v>
      </c>
      <c r="I91" s="99" t="n">
        <v>0.0211</v>
      </c>
      <c r="J91" s="182" t="e">
        <f aca="false">IF(#REF!="NA","NA",IF(#REF!&lt;$I$103,0,#REF!-$I$103))</f>
        <v>#REF!</v>
      </c>
    </row>
    <row r="92" customFormat="false" ht="15.75" hidden="false" customHeight="false" outlineLevel="0" collapsed="false">
      <c r="A92" s="64" t="str">
        <f aca="false">'Sovereign Ratings (Moody''s,S&amp;P)'!A92</f>
        <v>Mali</v>
      </c>
      <c r="B92" s="65" t="str">
        <f aca="false">'Sovereign Ratings (Moody''s,S&amp;P)'!D92</f>
        <v>Caa2</v>
      </c>
      <c r="C92" s="67" t="s">
        <v>136</v>
      </c>
      <c r="D92" s="67" t="str">
        <f aca="false">IF(C92="NA","NA",IF(C92&gt;$C$139,C92-$C$139,0))</f>
        <v>NA</v>
      </c>
      <c r="H92" s="64" t="s">
        <v>404</v>
      </c>
      <c r="I92" s="91" t="s">
        <v>136</v>
      </c>
      <c r="J92" s="182" t="n">
        <f aca="false">IF(I91="NA","NA",IF(I91&lt;$I$103,0,I91-$I$103))</f>
        <v>0.0197</v>
      </c>
    </row>
    <row r="93" customFormat="false" ht="15.75" hidden="false" customHeight="false" outlineLevel="0" collapsed="false">
      <c r="A93" s="64" t="str">
        <f aca="false">'Sovereign Ratings (Moody''s,S&amp;P)'!A93</f>
        <v>Malta</v>
      </c>
      <c r="B93" s="65" t="str">
        <f aca="false">'Sovereign Ratings (Moody''s,S&amp;P)'!D93</f>
        <v>A2</v>
      </c>
      <c r="C93" s="67" t="s">
        <v>136</v>
      </c>
      <c r="D93" s="67" t="str">
        <f aca="false">IF(C93="NA","NA",IF(C93&gt;$C$139,C93-$C$139,0))</f>
        <v>NA</v>
      </c>
      <c r="H93" s="64" t="s">
        <v>204</v>
      </c>
      <c r="I93" s="99" t="n">
        <v>0.0403</v>
      </c>
      <c r="J93" s="182" t="n">
        <f aca="false">IF(I93="NA","NA",IF(I93&lt;$I$103,0,I93-$I$103))</f>
        <v>0.0389</v>
      </c>
    </row>
    <row r="94" customFormat="false" ht="15.75" hidden="false" customHeight="false" outlineLevel="0" collapsed="false">
      <c r="A94" s="64" t="str">
        <f aca="false">'Sovereign Ratings (Moody''s,S&amp;P)'!A94</f>
        <v>Mauritius</v>
      </c>
      <c r="B94" s="65" t="str">
        <f aca="false">'Sovereign Ratings (Moody''s,S&amp;P)'!D94</f>
        <v>Baa3</v>
      </c>
      <c r="C94" s="67" t="s">
        <v>136</v>
      </c>
      <c r="D94" s="67" t="str">
        <f aca="false">IF(C94="NA","NA",IF(C94&gt;$C$139,C94-$C$139,0))</f>
        <v>NA</v>
      </c>
      <c r="H94" s="64" t="s">
        <v>310</v>
      </c>
      <c r="I94" s="99" t="n">
        <v>0.0112</v>
      </c>
      <c r="J94" s="182" t="n">
        <f aca="false">IF(I94="NA","NA",IF(I94&lt;$I$103,0,I94-$I$103))</f>
        <v>0.0098</v>
      </c>
    </row>
    <row r="95" customFormat="false" ht="15.75" hidden="false" customHeight="false" outlineLevel="0" collapsed="false">
      <c r="A95" s="64" t="str">
        <f aca="false">'Sovereign Ratings (Moody''s,S&amp;P)'!A95</f>
        <v>Mexico</v>
      </c>
      <c r="B95" s="65" t="str">
        <f aca="false">'Sovereign Ratings (Moody''s,S&amp;P)'!D95</f>
        <v>Baa2</v>
      </c>
      <c r="C95" s="67" t="n">
        <f aca="false">VLOOKUP(A95,$H$24:$J$113,2,FALSE())</f>
        <v>0.0166</v>
      </c>
      <c r="D95" s="67" t="n">
        <f aca="false">IF(C95="NA","NA",IF(C95&gt;$C$139,C95-$C$139,0))</f>
        <v>0.0152</v>
      </c>
      <c r="H95" s="64" t="s">
        <v>205</v>
      </c>
      <c r="I95" s="99" t="n">
        <v>0.0993</v>
      </c>
      <c r="J95" s="182" t="n">
        <f aca="false">IF(I95="NA","NA",IF(I95&lt;$I$103,0,I95-$I$103))</f>
        <v>0.0979</v>
      </c>
    </row>
    <row r="96" customFormat="false" ht="15.75" hidden="false" customHeight="false" outlineLevel="0" collapsed="false">
      <c r="A96" s="64" t="str">
        <f aca="false">'Sovereign Ratings (Moody''s,S&amp;P)'!A96</f>
        <v>Moldova</v>
      </c>
      <c r="B96" s="65" t="str">
        <f aca="false">'Sovereign Ratings (Moody''s,S&amp;P)'!D96</f>
        <v>B3</v>
      </c>
      <c r="C96" s="67" t="s">
        <v>136</v>
      </c>
      <c r="D96" s="67" t="str">
        <f aca="false">IF(C96="NA","NA",IF(C96&gt;$C$139,C96-$C$139,0))</f>
        <v>NA</v>
      </c>
      <c r="H96" s="64" t="s">
        <v>293</v>
      </c>
      <c r="I96" s="99" t="n">
        <v>0.0196</v>
      </c>
      <c r="J96" s="182" t="n">
        <f aca="false">IF(I96="NA","NA",IF(I96&lt;$I$103,0,I96-$I$103))</f>
        <v>0.0182</v>
      </c>
    </row>
    <row r="97" customFormat="false" ht="15.75" hidden="false" customHeight="false" outlineLevel="0" collapsed="false">
      <c r="A97" s="64" t="str">
        <f aca="false">'Sovereign Ratings (Moody''s,S&amp;P)'!A97</f>
        <v>Mongolia</v>
      </c>
      <c r="B97" s="65" t="str">
        <f aca="false">'Sovereign Ratings (Moody''s,S&amp;P)'!D97</f>
        <v>B1</v>
      </c>
      <c r="C97" s="67" t="s">
        <v>136</v>
      </c>
      <c r="D97" s="67" t="str">
        <f aca="false">IF(C97="NA","NA",IF(C97&gt;$C$139,C97-$C$139,0))</f>
        <v>NA</v>
      </c>
      <c r="H97" s="64" t="s">
        <v>294</v>
      </c>
      <c r="I97" s="99" t="n">
        <v>0.0057</v>
      </c>
      <c r="J97" s="182" t="n">
        <f aca="false">IF(I97="NA","NA",IF(I97&lt;$I$103,0,I97-$I$103))</f>
        <v>0.0043</v>
      </c>
    </row>
    <row r="98" customFormat="false" ht="15.75" hidden="false" customHeight="false" outlineLevel="0" collapsed="false">
      <c r="A98" s="64" t="str">
        <f aca="false">'Sovereign Ratings (Moody''s,S&amp;P)'!A98</f>
        <v>Montenegro</v>
      </c>
      <c r="B98" s="65" t="str">
        <f aca="false">'Sovereign Ratings (Moody''s,S&amp;P)'!D98</f>
        <v>B1</v>
      </c>
      <c r="C98" s="67" t="s">
        <v>136</v>
      </c>
      <c r="D98" s="67" t="str">
        <f aca="false">IF(C98="NA","NA",IF(C98&gt;$C$139,C98-$C$139,0))</f>
        <v>NA</v>
      </c>
      <c r="H98" s="64" t="s">
        <v>295</v>
      </c>
      <c r="I98" s="99" t="n">
        <v>0.0067</v>
      </c>
      <c r="J98" s="182" t="n">
        <f aca="false">IF(I98="NA","NA",IF(I98&lt;$I$103,0,I98-$I$103))</f>
        <v>0.0053</v>
      </c>
    </row>
    <row r="99" customFormat="false" ht="15.75" hidden="false" customHeight="false" outlineLevel="0" collapsed="false">
      <c r="A99" s="64" t="str">
        <f aca="false">'Sovereign Ratings (Moody''s,S&amp;P)'!A99</f>
        <v>Montserrat</v>
      </c>
      <c r="B99" s="65" t="str">
        <f aca="false">'Sovereign Ratings (Moody''s,S&amp;P)'!D99</f>
        <v>Baa3</v>
      </c>
      <c r="C99" s="67" t="s">
        <v>136</v>
      </c>
      <c r="D99" s="67" t="str">
        <f aca="false">IF(C99="NA","NA",IF(C99&gt;$C$139,C99-$C$139,0))</f>
        <v>NA</v>
      </c>
      <c r="H99" s="64" t="s">
        <v>206</v>
      </c>
      <c r="I99" s="99" t="n">
        <v>0.024</v>
      </c>
      <c r="J99" s="182" t="n">
        <f aca="false">IF(I99="NA","NA",IF(I99&lt;$I$103,0,I99-$I$103))</f>
        <v>0.0226</v>
      </c>
    </row>
    <row r="100" customFormat="false" ht="15.75" hidden="false" customHeight="false" outlineLevel="0" collapsed="false">
      <c r="A100" s="64" t="str">
        <f aca="false">'Sovereign Ratings (Moody''s,S&amp;P)'!A100</f>
        <v>Morocco</v>
      </c>
      <c r="B100" s="65" t="str">
        <f aca="false">'Sovereign Ratings (Moody''s,S&amp;P)'!D100</f>
        <v>Ba1</v>
      </c>
      <c r="C100" s="67" t="n">
        <f aca="false">VLOOKUP(A100,$H$24:$J$113,2,FALSE())</f>
        <v>0.013</v>
      </c>
      <c r="D100" s="67" t="n">
        <f aca="false">IF(C100="NA","NA",IF(C100&gt;$C$139,C100-$C$139,0))</f>
        <v>0.0116</v>
      </c>
      <c r="H100" s="64" t="s">
        <v>336</v>
      </c>
      <c r="I100" s="99" t="n">
        <v>0.0045</v>
      </c>
      <c r="J100" s="182" t="n">
        <f aca="false">IF(I100="NA","NA",IF(I100&lt;$I$103,0,I100-$I$103))</f>
        <v>0.0031</v>
      </c>
    </row>
    <row r="101" customFormat="false" ht="15.75" hidden="false" customHeight="false" outlineLevel="0" collapsed="false">
      <c r="A101" s="64" t="str">
        <f aca="false">'Sovereign Ratings (Moody''s,S&amp;P)'!A101</f>
        <v>Mozambique</v>
      </c>
      <c r="B101" s="65" t="str">
        <f aca="false">'Sovereign Ratings (Moody''s,S&amp;P)'!D101</f>
        <v>Caa3</v>
      </c>
      <c r="C101" s="67" t="s">
        <v>136</v>
      </c>
      <c r="D101" s="67" t="str">
        <f aca="false">IF(C101="NA","NA",IF(C101&gt;$C$139,C101-$C$139,0))</f>
        <v>NA</v>
      </c>
      <c r="H101" s="64" t="s">
        <v>233</v>
      </c>
      <c r="I101" s="99" t="s">
        <v>136</v>
      </c>
      <c r="J101" s="182" t="str">
        <f aca="false">IF(I101="NA","NA",IF(I101&lt;$I$103,0,I101-$I$103))</f>
        <v>NA</v>
      </c>
    </row>
    <row r="102" customFormat="false" ht="15.75" hidden="false" customHeight="false" outlineLevel="0" collapsed="false">
      <c r="A102" s="64" t="str">
        <f aca="false">'Sovereign Ratings (Moody''s,S&amp;P)'!A102</f>
        <v>Namibia</v>
      </c>
      <c r="B102" s="65" t="str">
        <f aca="false">'Sovereign Ratings (Moody''s,S&amp;P)'!D102</f>
        <v>B1</v>
      </c>
      <c r="C102" s="67" t="s">
        <v>136</v>
      </c>
      <c r="D102" s="67" t="str">
        <f aca="false">IF(C102="NA","NA",IF(C102&gt;$C$139,C102-$C$139,0))</f>
        <v>NA</v>
      </c>
      <c r="H102" s="64" t="s">
        <v>337</v>
      </c>
      <c r="I102" s="99" t="n">
        <v>0.002</v>
      </c>
      <c r="J102" s="182" t="n">
        <f aca="false">IF(I102="NA","NA",IF(I102&lt;$I$103,0,I102-$I$103))</f>
        <v>0.0006</v>
      </c>
    </row>
    <row r="103" customFormat="false" ht="15.75" hidden="false" customHeight="false" outlineLevel="0" collapsed="false">
      <c r="A103" s="64" t="s">
        <v>227</v>
      </c>
      <c r="B103" s="65" t="str">
        <f aca="false">'Sovereign Ratings (Moody''s,S&amp;P)'!D103</f>
        <v>Ba3</v>
      </c>
      <c r="C103" s="67" t="s">
        <v>136</v>
      </c>
      <c r="D103" s="67" t="str">
        <f aca="false">IF(C103="NA","NA",IF(C103&gt;$C$139,C103-$C$139,0))</f>
        <v>NA</v>
      </c>
      <c r="H103" s="64" t="s">
        <v>338</v>
      </c>
      <c r="I103" s="99" t="n">
        <v>0.0014</v>
      </c>
      <c r="J103" s="182" t="n">
        <f aca="false">IF(I103="NA","NA",IF(I103&lt;$I$103,0,I103-$I$103))</f>
        <v>0</v>
      </c>
    </row>
    <row r="104" customFormat="false" ht="15.75" hidden="false" customHeight="false" outlineLevel="0" collapsed="false">
      <c r="A104" s="64" t="str">
        <f aca="false">'Sovereign Ratings (Moody''s,S&amp;P)'!A104</f>
        <v>Netherlands</v>
      </c>
      <c r="B104" s="65" t="str">
        <f aca="false">'Sovereign Ratings (Moody''s,S&amp;P)'!D104</f>
        <v>Aaa</v>
      </c>
      <c r="C104" s="67" t="n">
        <f aca="false">VLOOKUP(A104,$H$24:$J$113,2,FALSE())</f>
        <v>0.002</v>
      </c>
      <c r="D104" s="67" t="n">
        <f aca="false">IF(C104="NA","NA",IF(C104&gt;$C$139,C104-$C$139,0))</f>
        <v>0.0006</v>
      </c>
      <c r="H104" s="64" t="s">
        <v>235</v>
      </c>
      <c r="I104" s="99" t="n">
        <v>0.0066</v>
      </c>
      <c r="J104" s="182" t="n">
        <f aca="false">IF(I104="NA","NA",IF(I104&lt;$I$103,0,I104-$I$103))</f>
        <v>0.0052</v>
      </c>
    </row>
    <row r="105" customFormat="false" ht="15.75" hidden="false" customHeight="false" outlineLevel="0" collapsed="false">
      <c r="A105" s="64" t="str">
        <f aca="false">'Sovereign Ratings (Moody''s,S&amp;P)'!A105</f>
        <v>New Zealand</v>
      </c>
      <c r="B105" s="65" t="str">
        <f aca="false">'Sovereign Ratings (Moody''s,S&amp;P)'!D105</f>
        <v>Aaa</v>
      </c>
      <c r="C105" s="67" t="n">
        <f aca="false">VLOOKUP(A105,$H$24:$J$113,2,FALSE())</f>
        <v>0.0023</v>
      </c>
      <c r="D105" s="67" t="n">
        <f aca="false">IF(C105="NA","NA",IF(C105&gt;$C$139,C105-$C$139,0))</f>
        <v>0.0009</v>
      </c>
      <c r="H105" s="64" t="s">
        <v>210</v>
      </c>
      <c r="I105" s="99" t="n">
        <v>0.0701</v>
      </c>
      <c r="J105" s="182" t="n">
        <f aca="false">IF(I105="NA","NA",IF(I105&lt;$I$103,0,I105-$I$103))</f>
        <v>0.0687</v>
      </c>
    </row>
    <row r="106" customFormat="false" ht="15.75" hidden="false" customHeight="false" outlineLevel="0" collapsed="false">
      <c r="A106" s="64" t="str">
        <f aca="false">'Sovereign Ratings (Moody''s,S&amp;P)'!A106</f>
        <v>Nicaragua</v>
      </c>
      <c r="B106" s="65" t="str">
        <f aca="false">'Sovereign Ratings (Moody''s,S&amp;P)'!D106</f>
        <v>B2</v>
      </c>
      <c r="C106" s="67" t="n">
        <f aca="false">VLOOKUP(A106,$H$24:$J$113,2,FALSE())</f>
        <v>0.0529</v>
      </c>
      <c r="D106" s="67" t="n">
        <f aca="false">IF(C106="NA","NA",IF(C106&gt;$C$139,C106-$C$139,0))</f>
        <v>0.0515</v>
      </c>
      <c r="H106" s="64" t="s">
        <v>62</v>
      </c>
      <c r="I106" s="99" t="n">
        <v>0.0299</v>
      </c>
      <c r="J106" s="182" t="n">
        <f aca="false">IF(I106="NA","NA",IF(I106&lt;$I$103,0,I106-$I$103))</f>
        <v>0.0285</v>
      </c>
    </row>
    <row r="107" customFormat="false" ht="15.75" hidden="false" customHeight="false" outlineLevel="0" collapsed="false">
      <c r="A107" s="64" t="s">
        <v>202</v>
      </c>
      <c r="B107" s="65" t="str">
        <f aca="false">'Sovereign Ratings (Moody''s,S&amp;P)'!D107</f>
        <v>Caa3</v>
      </c>
      <c r="C107" s="67" t="s">
        <v>136</v>
      </c>
      <c r="D107" s="67" t="str">
        <f aca="false">IF(C107="NA","NA",IF(C107&gt;$C$139,C107-$C$139,0))</f>
        <v>NA</v>
      </c>
      <c r="H107" s="64" t="s">
        <v>297</v>
      </c>
      <c r="I107" s="99" t="s">
        <v>136</v>
      </c>
      <c r="J107" s="182" t="str">
        <f aca="false">IF(I107="NA","NA",IF(I107&lt;$I$103,0,I107-$I$103))</f>
        <v>NA</v>
      </c>
    </row>
    <row r="108" customFormat="false" ht="15.75" hidden="false" customHeight="false" outlineLevel="0" collapsed="false">
      <c r="A108" s="64" t="str">
        <f aca="false">'Sovereign Ratings (Moody''s,S&amp;P)'!A108</f>
        <v>Nigeria</v>
      </c>
      <c r="B108" s="65" t="str">
        <f aca="false">'Sovereign Ratings (Moody''s,S&amp;P)'!D108</f>
        <v>B3</v>
      </c>
      <c r="C108" s="67" t="n">
        <f aca="false">VLOOKUP(A108,$H$24:$J$113,2,FALSE())</f>
        <v>0.0391</v>
      </c>
      <c r="D108" s="67" t="n">
        <f aca="false">IF(C108="NA","NA",IF(C108&gt;$C$139,C108-$C$139,0))</f>
        <v>0.0377</v>
      </c>
      <c r="H108" s="64" t="s">
        <v>339</v>
      </c>
      <c r="I108" s="99" t="n">
        <v>0.0037</v>
      </c>
      <c r="J108" s="182" t="n">
        <f aca="false">IF(I108="NA","NA",IF(I108&lt;$I$103,0,I108-$I$103))</f>
        <v>0.0023</v>
      </c>
    </row>
    <row r="109" customFormat="false" ht="15.75" hidden="false" customHeight="false" outlineLevel="0" collapsed="false">
      <c r="A109" s="64" t="str">
        <f aca="false">'Sovereign Ratings (Moody''s,S&amp;P)'!A109</f>
        <v>Norway</v>
      </c>
      <c r="B109" s="65" t="str">
        <f aca="false">'Sovereign Ratings (Moody''s,S&amp;P)'!D109</f>
        <v>Aaa</v>
      </c>
      <c r="C109" s="67" t="n">
        <f aca="false">VLOOKUP(A109,$H$24:$J$113,2,FALSE())</f>
        <v>0.0018</v>
      </c>
      <c r="D109" s="67" t="n">
        <f aca="false">IF(C109="NA","NA",IF(C109&gt;$C$139,C109-$C$139,0))</f>
        <v>0.0004</v>
      </c>
      <c r="H109" s="64" t="s">
        <v>314</v>
      </c>
      <c r="I109" s="99" t="n">
        <v>0.0044</v>
      </c>
      <c r="J109" s="182" t="n">
        <f aca="false">IF(I109="NA","NA",IF(I109&lt;$I$103,0,I109-$I$103))</f>
        <v>0.003</v>
      </c>
    </row>
    <row r="110" customFormat="false" ht="15.75" hidden="false" customHeight="false" outlineLevel="0" collapsed="false">
      <c r="A110" s="64" t="str">
        <f aca="false">'Sovereign Ratings (Moody''s,S&amp;P)'!A110</f>
        <v>Oman</v>
      </c>
      <c r="B110" s="65" t="str">
        <f aca="false">'Sovereign Ratings (Moody''s,S&amp;P)'!D110</f>
        <v>Baa3</v>
      </c>
      <c r="C110" s="67" t="n">
        <f aca="false">VLOOKUP(A110,$H$24:$J$113,2,FALSE())</f>
        <v>0.013</v>
      </c>
      <c r="D110" s="67" t="n">
        <f aca="false">IF(C110="NA","NA",IF(C110&gt;$C$139,C110-$C$139,0))</f>
        <v>0.0116</v>
      </c>
      <c r="H110" s="64" t="s">
        <v>271</v>
      </c>
      <c r="I110" s="99" t="n">
        <v>0.0077</v>
      </c>
      <c r="J110" s="182" t="n">
        <f aca="false">IF(I110="NA","NA",IF(I110&lt;$I$103,0,I110-$I$103))</f>
        <v>0.0063</v>
      </c>
    </row>
    <row r="111" customFormat="false" ht="15.75" hidden="false" customHeight="false" outlineLevel="0" collapsed="false">
      <c r="A111" s="64" t="str">
        <f aca="false">'Sovereign Ratings (Moody''s,S&amp;P)'!A111</f>
        <v>Pakistan</v>
      </c>
      <c r="B111" s="65" t="str">
        <f aca="false">'Sovereign Ratings (Moody''s,S&amp;P)'!D111</f>
        <v>Caa1</v>
      </c>
      <c r="C111" s="67" t="n">
        <f aca="false">VLOOKUP(A111,$H$24:$J$113,2,FALSE())</f>
        <v>0.0523</v>
      </c>
      <c r="D111" s="67" t="n">
        <f aca="false">IF(C111="NA","NA",IF(C111&gt;$C$139,C111-$C$139,0))</f>
        <v>0.0509</v>
      </c>
      <c r="H111" s="64" t="s">
        <v>272</v>
      </c>
      <c r="I111" s="99" t="n">
        <v>0.0929</v>
      </c>
      <c r="J111" s="182" t="n">
        <f aca="false">IF(I111="NA","NA",IF(I111&lt;$I$103,0,I111-$I$103))</f>
        <v>0.0915</v>
      </c>
    </row>
    <row r="112" customFormat="false" ht="15.75" hidden="false" customHeight="false" outlineLevel="0" collapsed="false">
      <c r="A112" s="64" t="str">
        <f aca="false">'Sovereign Ratings (Moody''s,S&amp;P)'!A112</f>
        <v>Panama</v>
      </c>
      <c r="B112" s="65" t="str">
        <f aca="false">'Sovereign Ratings (Moody''s,S&amp;P)'!D112</f>
        <v>Baa3</v>
      </c>
      <c r="C112" s="67" t="n">
        <f aca="false">VLOOKUP(A112,$H$24:$J$113,2,FALSE())</f>
        <v>0.0222</v>
      </c>
      <c r="D112" s="67" t="n">
        <f aca="false">IF(C112="NA","NA",IF(C112&gt;$C$139,C112-$C$139,0))</f>
        <v>0.0208</v>
      </c>
      <c r="H112" s="0" t="s">
        <v>236</v>
      </c>
      <c r="I112" s="143" t="n">
        <v>0.0151</v>
      </c>
      <c r="J112" s="182" t="n">
        <f aca="false">IF(I112="NA","NA",IF(I112&lt;$I$103,0,I112-$I$103))</f>
        <v>0.0137</v>
      </c>
    </row>
    <row r="113" customFormat="false" ht="15.75" hidden="false" customHeight="false" outlineLevel="0" collapsed="false">
      <c r="A113" s="64" t="str">
        <f aca="false">'Sovereign Ratings (Moody''s,S&amp;P)'!A113</f>
        <v>Papua New Guinea</v>
      </c>
      <c r="B113" s="65" t="str">
        <f aca="false">'Sovereign Ratings (Moody''s,S&amp;P)'!D113</f>
        <v>B2</v>
      </c>
      <c r="C113" s="67" t="s">
        <v>136</v>
      </c>
      <c r="D113" s="67" t="str">
        <f aca="false">IF(C113="NA","NA",IF(C113&gt;$C$139,C113-$C$139,0))</f>
        <v>NA</v>
      </c>
      <c r="H113" s="0" t="s">
        <v>212</v>
      </c>
      <c r="I113" s="143" t="n">
        <v>0.0408</v>
      </c>
      <c r="J113" s="182" t="n">
        <f aca="false">IF(I113="NA","NA",IF(I113&lt;$I$103,0,I113-$I$103))</f>
        <v>0.0394</v>
      </c>
    </row>
    <row r="114" customFormat="false" ht="15.75" hidden="false" customHeight="false" outlineLevel="0" collapsed="false">
      <c r="A114" s="64" t="str">
        <f aca="false">'Sovereign Ratings (Moody''s,S&amp;P)'!A114</f>
        <v>Paraguay</v>
      </c>
      <c r="B114" s="65" t="str">
        <f aca="false">'Sovereign Ratings (Moody''s,S&amp;P)'!D114</f>
        <v>Baa3</v>
      </c>
      <c r="C114" s="67" t="s">
        <v>136</v>
      </c>
      <c r="D114" s="67" t="str">
        <f aca="false">IF(C114="NA","NA",IF(C114&gt;$C$139,C114-$C$139,0))</f>
        <v>NA</v>
      </c>
    </row>
    <row r="115" customFormat="false" ht="15.75" hidden="false" customHeight="false" outlineLevel="0" collapsed="false">
      <c r="A115" s="64" t="str">
        <f aca="false">'Sovereign Ratings (Moody''s,S&amp;P)'!A115</f>
        <v>Peru</v>
      </c>
      <c r="B115" s="65" t="str">
        <f aca="false">'Sovereign Ratings (Moody''s,S&amp;P)'!D115</f>
        <v>Baa1</v>
      </c>
      <c r="C115" s="67" t="n">
        <f aca="false">VLOOKUP(A115,$H$24:$J$113,2,FALSE())</f>
        <v>0.0126</v>
      </c>
      <c r="D115" s="67" t="n">
        <f aca="false">IF(C115="NA","NA",IF(C115&gt;$C$139,C115-$C$139,0))</f>
        <v>0.0112</v>
      </c>
    </row>
    <row r="116" customFormat="false" ht="15.75" hidden="false" customHeight="false" outlineLevel="0" collapsed="false">
      <c r="A116" s="64" t="str">
        <f aca="false">'Sovereign Ratings (Moody''s,S&amp;P)'!A116</f>
        <v>Philippines</v>
      </c>
      <c r="B116" s="65" t="str">
        <f aca="false">'Sovereign Ratings (Moody''s,S&amp;P)'!D116</f>
        <v>Baa2</v>
      </c>
      <c r="C116" s="67" t="n">
        <f aca="false">VLOOKUP(A116,$H$24:$J$113,2,FALSE())</f>
        <v>0.0102</v>
      </c>
      <c r="D116" s="67" t="n">
        <f aca="false">IF(C116="NA","NA",IF(C116&gt;$C$139,C116-$C$139,0))</f>
        <v>0.0088</v>
      </c>
    </row>
    <row r="117" customFormat="false" ht="15.75" hidden="false" customHeight="false" outlineLevel="0" collapsed="false">
      <c r="A117" s="64" t="str">
        <f aca="false">'Sovereign Ratings (Moody''s,S&amp;P)'!A117</f>
        <v>Poland</v>
      </c>
      <c r="B117" s="65" t="str">
        <f aca="false">'Sovereign Ratings (Moody''s,S&amp;P)'!D117</f>
        <v>A2</v>
      </c>
      <c r="C117" s="67" t="n">
        <f aca="false">VLOOKUP(A117,$H$24:$J$113,2,FALSE())</f>
        <v>0.01</v>
      </c>
      <c r="D117" s="67" t="n">
        <f aca="false">IF(C117="NA","NA",IF(C117&gt;$C$139,C117-$C$139,0))</f>
        <v>0.0086</v>
      </c>
    </row>
    <row r="118" customFormat="false" ht="15.75" hidden="false" customHeight="false" outlineLevel="0" collapsed="false">
      <c r="A118" s="64" t="str">
        <f aca="false">'Sovereign Ratings (Moody''s,S&amp;P)'!A118</f>
        <v>Portugal</v>
      </c>
      <c r="B118" s="65" t="str">
        <f aca="false">'Sovereign Ratings (Moody''s,S&amp;P)'!D118</f>
        <v>A3</v>
      </c>
      <c r="C118" s="67" t="n">
        <f aca="false">VLOOKUP(A118,$H$24:$J$113,2,FALSE())</f>
        <v>0.0045</v>
      </c>
      <c r="D118" s="67" t="n">
        <f aca="false">IF(C118="NA","NA",IF(C118&gt;$C$139,C118-$C$139,0))</f>
        <v>0.0031</v>
      </c>
    </row>
    <row r="119" customFormat="false" ht="15.75" hidden="false" customHeight="false" outlineLevel="0" collapsed="false">
      <c r="A119" s="64" t="str">
        <f aca="false">'Sovereign Ratings (Moody''s,S&amp;P)'!A119</f>
        <v>Qatar</v>
      </c>
      <c r="B119" s="65" t="str">
        <f aca="false">'Sovereign Ratings (Moody''s,S&amp;P)'!D119</f>
        <v>Aa2</v>
      </c>
      <c r="C119" s="67" t="n">
        <f aca="false">VLOOKUP(A119,$H$24:$J$113,2,FALSE())</f>
        <v>0.0061</v>
      </c>
      <c r="D119" s="67" t="n">
        <f aca="false">IF(C119="NA","NA",IF(C119&gt;$C$139,C119-$C$139,0))</f>
        <v>0.0047</v>
      </c>
    </row>
    <row r="120" customFormat="false" ht="15.75" hidden="false" customHeight="false" outlineLevel="0" collapsed="false">
      <c r="A120" s="64" t="str">
        <f aca="false">'Sovereign Ratings (Moody''s,S&amp;P)'!A120</f>
        <v>Ras Al Khaimah (Emirate of)</v>
      </c>
      <c r="B120" s="65" t="str">
        <f aca="false">'Sovereign Ratings (Moody''s,S&amp;P)'!D120</f>
        <v>A3</v>
      </c>
      <c r="C120" s="67" t="s">
        <v>136</v>
      </c>
      <c r="D120" s="67" t="str">
        <f aca="false">IF(C120="NA","NA",IF(C120&gt;$C$139,C120-$C$139,0))</f>
        <v>NA</v>
      </c>
    </row>
    <row r="121" customFormat="false" ht="15.75" hidden="false" customHeight="false" outlineLevel="0" collapsed="false">
      <c r="A121" s="64" t="str">
        <f aca="false">'Sovereign Ratings (Moody''s,S&amp;P)'!A121</f>
        <v>Romania</v>
      </c>
      <c r="B121" s="65" t="str">
        <f aca="false">'Sovereign Ratings (Moody''s,S&amp;P)'!D121</f>
        <v>Baa3</v>
      </c>
      <c r="C121" s="67" t="n">
        <f aca="false">VLOOKUP(A121,$H$24:$J$113,2,FALSE())</f>
        <v>0.0211</v>
      </c>
      <c r="D121" s="67" t="n">
        <f aca="false">IF(C121="NA","NA",IF(C121&gt;$C$139,C121-$C$139,0))</f>
        <v>0.0197</v>
      </c>
    </row>
    <row r="122" customFormat="false" ht="15.75" hidden="false" customHeight="false" outlineLevel="0" collapsed="false">
      <c r="A122" s="64" t="str">
        <f aca="false">'Sovereign Ratings (Moody''s,S&amp;P)'!A122</f>
        <v>Rwanda</v>
      </c>
      <c r="B122" s="65" t="str">
        <f aca="false">'Sovereign Ratings (Moody''s,S&amp;P)'!D122</f>
        <v>B2</v>
      </c>
      <c r="C122" s="67" t="n">
        <f aca="false">VLOOKUP(A122,$H$24:$J$113,2,FALSE())</f>
        <v>0.0403</v>
      </c>
      <c r="D122" s="67" t="n">
        <f aca="false">IF(C122="NA","NA",IF(C122&gt;$C$139,C122-$C$139,0))</f>
        <v>0.0389</v>
      </c>
    </row>
    <row r="123" customFormat="false" ht="15.75" hidden="false" customHeight="false" outlineLevel="0" collapsed="false">
      <c r="A123" s="64" t="str">
        <f aca="false">'Sovereign Ratings (Moody''s,S&amp;P)'!A123</f>
        <v>Saudi Arabia</v>
      </c>
      <c r="B123" s="65" t="str">
        <f aca="false">'Sovereign Ratings (Moody''s,S&amp;P)'!D123</f>
        <v>Aa3</v>
      </c>
      <c r="C123" s="67" t="n">
        <f aca="false">VLOOKUP(A123,$H$24:$J$113,2,FALSE())</f>
        <v>0.0112</v>
      </c>
      <c r="D123" s="67" t="n">
        <f aca="false">IF(C123="NA","NA",IF(C123&gt;$C$139,C123-$C$139,0))</f>
        <v>0.0098</v>
      </c>
    </row>
    <row r="124" customFormat="false" ht="15.75" hidden="false" customHeight="false" outlineLevel="0" collapsed="false">
      <c r="A124" s="64" t="str">
        <f aca="false">'Sovereign Ratings (Moody''s,S&amp;P)'!A124</f>
        <v>Senegal</v>
      </c>
      <c r="B124" s="65" t="str">
        <f aca="false">'Sovereign Ratings (Moody''s,S&amp;P)'!D124</f>
        <v>Caa1</v>
      </c>
      <c r="C124" s="67" t="n">
        <f aca="false">VLOOKUP(A124,$H$24:$J$113,2,FALSE())</f>
        <v>0.0993</v>
      </c>
      <c r="D124" s="67" t="n">
        <f aca="false">IF(C124="NA","NA",IF(C124&gt;$C$139,C124-$C$139,0))</f>
        <v>0.0979</v>
      </c>
    </row>
    <row r="125" customFormat="false" ht="15.75" hidden="false" customHeight="false" outlineLevel="0" collapsed="false">
      <c r="A125" s="64" t="str">
        <f aca="false">'Sovereign Ratings (Moody''s,S&amp;P)'!A125</f>
        <v>Serbia</v>
      </c>
      <c r="B125" s="65" t="str">
        <f aca="false">'Sovereign Ratings (Moody''s,S&amp;P)'!D125</f>
        <v>Ba2</v>
      </c>
      <c r="C125" s="67" t="n">
        <f aca="false">VLOOKUP(A125,$H$24:$J$113,2,FALSE())</f>
        <v>0.0196</v>
      </c>
      <c r="D125" s="67" t="n">
        <f aca="false">IF(C125="NA","NA",IF(C125&gt;$C$139,C125-$C$139,0))</f>
        <v>0.0182</v>
      </c>
    </row>
    <row r="126" customFormat="false" ht="15.75" hidden="false" customHeight="false" outlineLevel="0" collapsed="false">
      <c r="A126" s="64" t="str">
        <f aca="false">'Sovereign Ratings (Moody''s,S&amp;P)'!A126</f>
        <v>Sharjah</v>
      </c>
      <c r="B126" s="65" t="str">
        <f aca="false">'Sovereign Ratings (Moody''s,S&amp;P)'!D126</f>
        <v>Ba1</v>
      </c>
      <c r="C126" s="67" t="e">
        <f aca="false">VLOOKUP(A126,$H$24:$J$113,2,FALSE())</f>
        <v>#N/A</v>
      </c>
      <c r="D126" s="67" t="e">
        <f aca="false">IF(C126="NA","NA",IF(C126&gt;$C$139,C126-$C$139,0))</f>
        <v>#N/A</v>
      </c>
    </row>
    <row r="127" customFormat="false" ht="15.75" hidden="false" customHeight="false" outlineLevel="0" collapsed="false">
      <c r="A127" s="64" t="str">
        <f aca="false">'Sovereign Ratings (Moody''s,S&amp;P)'!A127</f>
        <v>Singapore</v>
      </c>
      <c r="B127" s="65" t="str">
        <f aca="false">'Sovereign Ratings (Moody''s,S&amp;P)'!D127</f>
        <v>Aaa</v>
      </c>
      <c r="C127" s="67" t="e">
        <f aca="false">VLOOKUP(A127,$H$24:$J$113,2,FALSE())</f>
        <v>#N/A</v>
      </c>
      <c r="D127" s="67" t="e">
        <f aca="false">IF(C127="NA","NA",IF(C127&gt;$C$139,C127-$C$139,0))</f>
        <v>#N/A</v>
      </c>
    </row>
    <row r="128" customFormat="false" ht="15.75" hidden="false" customHeight="false" outlineLevel="0" collapsed="false">
      <c r="A128" s="64" t="str">
        <f aca="false">'Sovereign Ratings (Moody''s,S&amp;P)'!A128</f>
        <v>Slovakia</v>
      </c>
      <c r="B128" s="65" t="str">
        <f aca="false">'Sovereign Ratings (Moody''s,S&amp;P)'!D128</f>
        <v>A3</v>
      </c>
      <c r="C128" s="67" t="n">
        <f aca="false">VLOOKUP(A128,$H$24:$J$113,2,FALSE())</f>
        <v>0.0057</v>
      </c>
      <c r="D128" s="67" t="n">
        <f aca="false">IF(C128="NA","NA",IF(C128&gt;$C$139,C128-$C$139,0))</f>
        <v>0.0043</v>
      </c>
    </row>
    <row r="129" customFormat="false" ht="15.75" hidden="false" customHeight="false" outlineLevel="0" collapsed="false">
      <c r="A129" s="64" t="str">
        <f aca="false">'Sovereign Ratings (Moody''s,S&amp;P)'!A129</f>
        <v>Slovenia</v>
      </c>
      <c r="B129" s="65" t="str">
        <f aca="false">'Sovereign Ratings (Moody''s,S&amp;P)'!D129</f>
        <v>A3</v>
      </c>
      <c r="C129" s="67" t="n">
        <f aca="false">VLOOKUP(A129,$H$24:$J$113,2,FALSE())</f>
        <v>0.0067</v>
      </c>
      <c r="D129" s="67" t="n">
        <f aca="false">IF(C129="NA","NA",IF(C129&gt;$C$139,C129-$C$139,0))</f>
        <v>0.0053</v>
      </c>
    </row>
    <row r="130" customFormat="false" ht="15.75" hidden="false" customHeight="false" outlineLevel="0" collapsed="false">
      <c r="A130" s="64" t="str">
        <f aca="false">'Sovereign Ratings (Moody''s,S&amp;P)'!A130</f>
        <v>Solomon Islands</v>
      </c>
      <c r="B130" s="65" t="str">
        <f aca="false">'Sovereign Ratings (Moody''s,S&amp;P)'!D130</f>
        <v>Caa1</v>
      </c>
      <c r="C130" s="67" t="e">
        <f aca="false">VLOOKUP(A130,$H$24:$J$113,2,FALSE())</f>
        <v>#N/A</v>
      </c>
      <c r="D130" s="67" t="e">
        <f aca="false">IF(C130="NA","NA",IF(C130&gt;$C$139,C130-$C$139,0))</f>
        <v>#N/A</v>
      </c>
    </row>
    <row r="131" customFormat="false" ht="15.75" hidden="false" customHeight="false" outlineLevel="0" collapsed="false">
      <c r="A131" s="64" t="str">
        <f aca="false">'Sovereign Ratings (Moody''s,S&amp;P)'!A131</f>
        <v>South Africa</v>
      </c>
      <c r="B131" s="65" t="str">
        <f aca="false">'Sovereign Ratings (Moody''s,S&amp;P)'!D131</f>
        <v>Ba2</v>
      </c>
      <c r="C131" s="67" t="n">
        <f aca="false">VLOOKUP(A131,$H$24:$J$113,2,FALSE())</f>
        <v>0.024</v>
      </c>
      <c r="D131" s="67" t="n">
        <f aca="false">IF(C131="NA","NA",IF(C131&gt;$C$139,C131-$C$139,0))</f>
        <v>0.0226</v>
      </c>
    </row>
    <row r="132" customFormat="false" ht="15.75" hidden="false" customHeight="false" outlineLevel="0" collapsed="false">
      <c r="A132" s="64" t="str">
        <f aca="false">'Sovereign Ratings (Moody''s,S&amp;P)'!A132</f>
        <v>Spain</v>
      </c>
      <c r="B132" s="65" t="str">
        <f aca="false">'Sovereign Ratings (Moody''s,S&amp;P)'!D132</f>
        <v>A3</v>
      </c>
      <c r="C132" s="67" t="n">
        <f aca="false">VLOOKUP(A132,$H$24:$J$113,2,FALSE())</f>
        <v>0.0045</v>
      </c>
      <c r="D132" s="67" t="n">
        <f aca="false">IF(C132="NA","NA",IF(C132&gt;$C$139,C132-$C$139,0))</f>
        <v>0.0031</v>
      </c>
    </row>
    <row r="133" customFormat="false" ht="15.75" hidden="false" customHeight="false" outlineLevel="0" collapsed="false">
      <c r="A133" s="64" t="str">
        <f aca="false">'Sovereign Ratings (Moody''s,S&amp;P)'!A133</f>
        <v>Sri Lanka</v>
      </c>
      <c r="B133" s="65" t="str">
        <f aca="false">'Sovereign Ratings (Moody''s,S&amp;P)'!D133</f>
        <v>Ca</v>
      </c>
      <c r="C133" s="67" t="str">
        <f aca="false">VLOOKUP(A133,$H$24:$J$113,2,FALSE())</f>
        <v>NA</v>
      </c>
      <c r="D133" s="67" t="str">
        <f aca="false">IF(C133="NA","NA",IF(C133&gt;$C$139,C133-$C$139,0))</f>
        <v>NA</v>
      </c>
    </row>
    <row r="134" customFormat="false" ht="15.75" hidden="false" customHeight="false" outlineLevel="0" collapsed="false">
      <c r="A134" s="64" t="str">
        <f aca="false">'Sovereign Ratings (Moody''s,S&amp;P)'!A134</f>
        <v>St. Maarten</v>
      </c>
      <c r="B134" s="65" t="str">
        <f aca="false">'Sovereign Ratings (Moody''s,S&amp;P)'!D134</f>
        <v>Ba2</v>
      </c>
      <c r="C134" s="67" t="e">
        <f aca="false">VLOOKUP(A134,$H$24:$J$113,2,FALSE())</f>
        <v>#N/A</v>
      </c>
      <c r="D134" s="67" t="e">
        <f aca="false">IF(C134="NA","NA",IF(C134&gt;$C$139,C134-$C$139,0))</f>
        <v>#N/A</v>
      </c>
    </row>
    <row r="135" customFormat="false" ht="15.75" hidden="false" customHeight="false" outlineLevel="0" collapsed="false">
      <c r="A135" s="64" t="str">
        <f aca="false">'Sovereign Ratings (Moody''s,S&amp;P)'!A135</f>
        <v>St. Vincent &amp; the Grenadines</v>
      </c>
      <c r="B135" s="65" t="str">
        <f aca="false">'Sovereign Ratings (Moody''s,S&amp;P)'!D135</f>
        <v>B3</v>
      </c>
      <c r="C135" s="67" t="e">
        <f aca="false">VLOOKUP(A135,$H$24:$J$113,2,FALSE())</f>
        <v>#N/A</v>
      </c>
      <c r="D135" s="67" t="e">
        <f aca="false">IF(C135="NA","NA",IF(C135&gt;$C$139,C135-$C$139,0))</f>
        <v>#N/A</v>
      </c>
    </row>
    <row r="136" customFormat="false" ht="15.75" hidden="false" customHeight="false" outlineLevel="0" collapsed="false">
      <c r="A136" s="64" t="str">
        <f aca="false">'Sovereign Ratings (Moody''s,S&amp;P)'!A136</f>
        <v>Suriname</v>
      </c>
      <c r="B136" s="65" t="str">
        <f aca="false">'Sovereign Ratings (Moody''s,S&amp;P)'!D136</f>
        <v>Caa1</v>
      </c>
      <c r="C136" s="67" t="e">
        <f aca="false">VLOOKUP(A136,$H$24:$J$113,2,FALSE())</f>
        <v>#N/A</v>
      </c>
      <c r="D136" s="67" t="e">
        <f aca="false">IF(C136="NA","NA",IF(C136&gt;$C$139,C136-$C$139,0))</f>
        <v>#N/A</v>
      </c>
    </row>
    <row r="137" customFormat="false" ht="15.75" hidden="false" customHeight="false" outlineLevel="0" collapsed="false">
      <c r="A137" s="64" t="str">
        <f aca="false">'Sovereign Ratings (Moody''s,S&amp;P)'!A137</f>
        <v>Swaziland</v>
      </c>
      <c r="B137" s="65" t="str">
        <f aca="false">'Sovereign Ratings (Moody''s,S&amp;P)'!D137</f>
        <v>B2</v>
      </c>
      <c r="C137" s="67" t="e">
        <f aca="false">VLOOKUP(A137,$H$24:$J$113,2,FALSE())</f>
        <v>#N/A</v>
      </c>
      <c r="D137" s="67" t="e">
        <f aca="false">IF(C137="NA","NA",IF(C137&gt;$C$139,C137-$C$139,0))</f>
        <v>#N/A</v>
      </c>
    </row>
    <row r="138" customFormat="false" ht="15.75" hidden="false" customHeight="false" outlineLevel="0" collapsed="false">
      <c r="A138" s="64" t="str">
        <f aca="false">'Sovereign Ratings (Moody''s,S&amp;P)'!A138</f>
        <v>Sweden</v>
      </c>
      <c r="B138" s="65" t="str">
        <f aca="false">'Sovereign Ratings (Moody''s,S&amp;P)'!D138</f>
        <v>Aaa</v>
      </c>
      <c r="C138" s="67" t="n">
        <f aca="false">VLOOKUP(A138,$H$24:$J$113,2,FALSE())</f>
        <v>0.002</v>
      </c>
      <c r="D138" s="67" t="n">
        <f aca="false">IF(C138="NA","NA",IF(C138&gt;$C$139,C138-$C$139,0))</f>
        <v>0.0006</v>
      </c>
    </row>
    <row r="139" customFormat="false" ht="15.75" hidden="false" customHeight="false" outlineLevel="0" collapsed="false">
      <c r="A139" s="64" t="str">
        <f aca="false">'Sovereign Ratings (Moody''s,S&amp;P)'!A139</f>
        <v>Switzerland</v>
      </c>
      <c r="B139" s="65" t="str">
        <f aca="false">'Sovereign Ratings (Moody''s,S&amp;P)'!D139</f>
        <v>Aaa</v>
      </c>
      <c r="C139" s="67" t="n">
        <f aca="false">VLOOKUP(A139,$H$24:$J$113,2,FALSE())</f>
        <v>0.0014</v>
      </c>
      <c r="D139" s="67" t="n">
        <f aca="false">IF(C139="NA","NA",IF(C139&gt;$C$139,C139-$C$139,0))</f>
        <v>0</v>
      </c>
    </row>
    <row r="140" customFormat="false" ht="15.75" hidden="false" customHeight="false" outlineLevel="0" collapsed="false">
      <c r="A140" s="64" t="str">
        <f aca="false">'Sovereign Ratings (Moody''s,S&amp;P)'!A140</f>
        <v>Taiwan</v>
      </c>
      <c r="B140" s="65" t="str">
        <f aca="false">'Sovereign Ratings (Moody''s,S&amp;P)'!D140</f>
        <v>Aa3</v>
      </c>
      <c r="C140" s="67" t="e">
        <f aca="false">VLOOKUP(A140,$H$24:$J$113,2,FALSE())</f>
        <v>#N/A</v>
      </c>
      <c r="D140" s="67" t="e">
        <f aca="false">IF(C140="NA","NA",IF(C140&gt;$C$139,C140-$C$139,0))</f>
        <v>#N/A</v>
      </c>
    </row>
    <row r="141" customFormat="false" ht="15.75" hidden="false" customHeight="false" outlineLevel="0" collapsed="false">
      <c r="A141" s="64" t="str">
        <f aca="false">'Sovereign Ratings (Moody''s,S&amp;P)'!A141</f>
        <v>Tajikistan</v>
      </c>
      <c r="B141" s="65" t="str">
        <f aca="false">'Sovereign Ratings (Moody''s,S&amp;P)'!D141</f>
        <v>B3</v>
      </c>
      <c r="C141" s="67" t="e">
        <f aca="false">VLOOKUP(A141,$H$24:$J$113,2,FALSE())</f>
        <v>#N/A</v>
      </c>
      <c r="D141" s="67" t="e">
        <f aca="false">IF(C141="NA","NA",IF(C141&gt;$C$139,C141-$C$139,0))</f>
        <v>#N/A</v>
      </c>
    </row>
    <row r="142" customFormat="false" ht="15.75" hidden="false" customHeight="false" outlineLevel="0" collapsed="false">
      <c r="A142" s="64" t="str">
        <f aca="false">'Sovereign Ratings (Moody''s,S&amp;P)'!A142</f>
        <v>Tanzania</v>
      </c>
      <c r="B142" s="65" t="str">
        <f aca="false">'Sovereign Ratings (Moody''s,S&amp;P)'!D142</f>
        <v>B1</v>
      </c>
      <c r="C142" s="67" t="e">
        <f aca="false">VLOOKUP(A142,$H$24:$J$113,2,FALSE())</f>
        <v>#N/A</v>
      </c>
      <c r="D142" s="67" t="e">
        <f aca="false">IF(C142="NA","NA",IF(C142&gt;$C$139,C142-$C$139,0))</f>
        <v>#N/A</v>
      </c>
    </row>
    <row r="143" customFormat="false" ht="15.75" hidden="false" customHeight="false" outlineLevel="0" collapsed="false">
      <c r="A143" s="64" t="str">
        <f aca="false">'Sovereign Ratings (Moody''s,S&amp;P)'!A143</f>
        <v>Thailand</v>
      </c>
      <c r="B143" s="65" t="str">
        <f aca="false">'Sovereign Ratings (Moody''s,S&amp;P)'!D143</f>
        <v>Baa1</v>
      </c>
      <c r="C143" s="67" t="n">
        <f aca="false">VLOOKUP(A143,$H$24:$J$113,2,FALSE())</f>
        <v>0.0066</v>
      </c>
      <c r="D143" s="67" t="n">
        <f aca="false">IF(C143="NA","NA",IF(C143&gt;$C$139,C143-$C$139,0))</f>
        <v>0.0052</v>
      </c>
    </row>
    <row r="144" customFormat="false" ht="15.75" hidden="false" customHeight="false" outlineLevel="0" collapsed="false">
      <c r="A144" s="64" t="str">
        <f aca="false">'Sovereign Ratings (Moody''s,S&amp;P)'!A144</f>
        <v>Togo</v>
      </c>
      <c r="B144" s="65" t="str">
        <f aca="false">'Sovereign Ratings (Moody''s,S&amp;P)'!D144</f>
        <v>B3</v>
      </c>
      <c r="C144" s="67" t="e">
        <f aca="false">VLOOKUP(A144,$H$24:$J$113,2,FALSE())</f>
        <v>#N/A</v>
      </c>
      <c r="D144" s="67" t="e">
        <f aca="false">IF(C144="NA","NA",IF(C144&gt;$C$139,C144-$C$139,0))</f>
        <v>#N/A</v>
      </c>
    </row>
    <row r="145" customFormat="false" ht="15.75" hidden="false" customHeight="false" outlineLevel="0" collapsed="false">
      <c r="A145" s="64" t="str">
        <f aca="false">'Sovereign Ratings (Moody''s,S&amp;P)'!A145</f>
        <v>Trinidad and Tobago</v>
      </c>
      <c r="B145" s="65" t="str">
        <f aca="false">'Sovereign Ratings (Moody''s,S&amp;P)'!D145</f>
        <v>Ba2</v>
      </c>
      <c r="C145" s="67" t="e">
        <f aca="false">VLOOKUP(A145,$H$24:$J$113,2,FALSE())</f>
        <v>#N/A</v>
      </c>
      <c r="D145" s="67" t="e">
        <f aca="false">IF(C145="NA","NA",IF(C145&gt;$C$139,C145-$C$139,0))</f>
        <v>#N/A</v>
      </c>
    </row>
    <row r="146" customFormat="false" ht="15.75" hidden="false" customHeight="false" outlineLevel="0" collapsed="false">
      <c r="A146" s="64" t="str">
        <f aca="false">'Sovereign Ratings (Moody''s,S&amp;P)'!A146</f>
        <v>Tunisia</v>
      </c>
      <c r="B146" s="65" t="str">
        <f aca="false">'Sovereign Ratings (Moody''s,S&amp;P)'!D146</f>
        <v>Caa1</v>
      </c>
      <c r="C146" s="67" t="n">
        <f aca="false">VLOOKUP(A146,$H$24:$J$113,2,FALSE())</f>
        <v>0.0701</v>
      </c>
      <c r="D146" s="67" t="n">
        <f aca="false">IF(C146="NA","NA",IF(C146&gt;$C$139,C146-$C$139,0))</f>
        <v>0.0687</v>
      </c>
    </row>
    <row r="147" customFormat="false" ht="15.75" hidden="false" customHeight="false" outlineLevel="0" collapsed="false">
      <c r="A147" s="64" t="str">
        <f aca="false">'Sovereign Ratings (Moody''s,S&amp;P)'!A147</f>
        <v>Turkey</v>
      </c>
      <c r="B147" s="65" t="str">
        <f aca="false">'Sovereign Ratings (Moody''s,S&amp;P)'!D147</f>
        <v>Ba3</v>
      </c>
      <c r="C147" s="67" t="n">
        <f aca="false">VLOOKUP(A147,$H$24:$J$113,2,FALSE())</f>
        <v>0.0299</v>
      </c>
      <c r="D147" s="67" t="n">
        <f aca="false">IF(C147="NA","NA",IF(C147&gt;$C$139,C147-$C$139,0))</f>
        <v>0.0285</v>
      </c>
    </row>
    <row r="148" customFormat="false" ht="15.75" hidden="false" customHeight="false" outlineLevel="0" collapsed="false">
      <c r="A148" s="64" t="str">
        <f aca="false">'Sovereign Ratings (Moody''s,S&amp;P)'!A148</f>
        <v>Turks and Caicos Islands</v>
      </c>
      <c r="B148" s="65" t="str">
        <f aca="false">'Sovereign Ratings (Moody''s,S&amp;P)'!D148</f>
        <v>Baa1</v>
      </c>
      <c r="C148" s="67" t="e">
        <f aca="false">VLOOKUP(A148,$H$24:$J$113,2,FALSE())</f>
        <v>#N/A</v>
      </c>
      <c r="D148" s="67" t="e">
        <f aca="false">IF(C148="NA","NA",IF(C148&gt;$C$139,C148-$C$139,0))</f>
        <v>#N/A</v>
      </c>
    </row>
    <row r="149" customFormat="false" ht="15.75" hidden="false" customHeight="false" outlineLevel="0" collapsed="false">
      <c r="A149" s="64" t="str">
        <f aca="false">'Sovereign Ratings (Moody''s,S&amp;P)'!A149</f>
        <v>Uganda</v>
      </c>
      <c r="B149" s="65" t="str">
        <f aca="false">'Sovereign Ratings (Moody''s,S&amp;P)'!D149</f>
        <v>B3</v>
      </c>
      <c r="C149" s="67" t="e">
        <f aca="false">VLOOKUP(A149,$H$24:$J$113,2,FALSE())</f>
        <v>#N/A</v>
      </c>
      <c r="D149" s="67" t="e">
        <f aca="false">IF(C149="NA","NA",IF(C149&gt;$C$139,C149-$C$139,0))</f>
        <v>#N/A</v>
      </c>
    </row>
    <row r="150" customFormat="false" ht="15.75" hidden="false" customHeight="false" outlineLevel="0" collapsed="false">
      <c r="A150" s="64" t="str">
        <f aca="false">'Sovereign Ratings (Moody''s,S&amp;P)'!A150</f>
        <v>Ukraine</v>
      </c>
      <c r="B150" s="65" t="str">
        <f aca="false">'Sovereign Ratings (Moody''s,S&amp;P)'!D150</f>
        <v>Ca</v>
      </c>
      <c r="C150" s="67" t="str">
        <f aca="false">VLOOKUP(A150,$H$24:$J$113,2,FALSE())</f>
        <v>NA</v>
      </c>
      <c r="D150" s="67" t="str">
        <f aca="false">IF(C150="NA","NA",IF(C150&gt;$C$139,C150-$C$139,0))</f>
        <v>NA</v>
      </c>
    </row>
    <row r="151" customFormat="false" ht="15.75" hidden="false" customHeight="false" outlineLevel="0" collapsed="false">
      <c r="A151" s="64" t="str">
        <f aca="false">'Sovereign Ratings (Moody''s,S&amp;P)'!A151</f>
        <v>United Arab Emirates</v>
      </c>
      <c r="B151" s="65" t="str">
        <f aca="false">'Sovereign Ratings (Moody''s,S&amp;P)'!D151</f>
        <v>Aa2</v>
      </c>
      <c r="C151" s="67" t="e">
        <f aca="false">VLOOKUP(A151,$H$24:$J$113,2,FALSE())</f>
        <v>#N/A</v>
      </c>
      <c r="D151" s="67" t="e">
        <f aca="false">IF(C151="NA","NA",IF(C151&gt;$C$139,C151-$C$139,0))</f>
        <v>#N/A</v>
      </c>
    </row>
    <row r="152" customFormat="false" ht="15.75" hidden="false" customHeight="false" outlineLevel="0" collapsed="false">
      <c r="A152" s="64" t="str">
        <f aca="false">'Sovereign Ratings (Moody''s,S&amp;P)'!A152</f>
        <v>United Kingdom</v>
      </c>
      <c r="B152" s="65" t="str">
        <f aca="false">'Sovereign Ratings (Moody''s,S&amp;P)'!D152</f>
        <v>Aa3</v>
      </c>
      <c r="C152" s="67" t="n">
        <f aca="false">VLOOKUP(A152,$H$24:$J$113,2,FALSE())</f>
        <v>0.0037</v>
      </c>
      <c r="D152" s="67" t="n">
        <f aca="false">IF(C152="NA","NA",IF(C152&gt;$C$139,C152-$C$139,0))</f>
        <v>0.0023</v>
      </c>
    </row>
    <row r="153" customFormat="false" ht="15.75" hidden="false" customHeight="false" outlineLevel="0" collapsed="false">
      <c r="A153" s="64" t="str">
        <f aca="false">'Sovereign Ratings (Moody''s,S&amp;P)'!A153</f>
        <v>United States</v>
      </c>
      <c r="B153" s="65" t="str">
        <f aca="false">'Sovereign Ratings (Moody''s,S&amp;P)'!D153</f>
        <v>Aa1</v>
      </c>
      <c r="C153" s="67" t="n">
        <f aca="false">VLOOKUP(A153,$H$24:$J$113,2,FALSE())</f>
        <v>0.0044</v>
      </c>
      <c r="D153" s="67" t="n">
        <f aca="false">IF(C153="NA","NA",IF(C153&gt;$C$139,C153-$C$139,0))</f>
        <v>0.003</v>
      </c>
    </row>
    <row r="154" customFormat="false" ht="15.75" hidden="false" customHeight="false" outlineLevel="0" collapsed="false">
      <c r="A154" s="64" t="str">
        <f aca="false">'Sovereign Ratings (Moody''s,S&amp;P)'!A154</f>
        <v>Uruguay</v>
      </c>
      <c r="B154" s="65" t="str">
        <f aca="false">'Sovereign Ratings (Moody''s,S&amp;P)'!D154</f>
        <v>Baa1</v>
      </c>
      <c r="C154" s="67" t="n">
        <f aca="false">VLOOKUP(A154,$H$24:$J$113,2,FALSE())</f>
        <v>0.0077</v>
      </c>
      <c r="D154" s="67" t="n">
        <f aca="false">IF(C154="NA","NA",IF(C154&gt;$C$139,C154-$C$139,0))</f>
        <v>0.0063</v>
      </c>
    </row>
    <row r="155" customFormat="false" ht="15.75" hidden="false" customHeight="false" outlineLevel="0" collapsed="false">
      <c r="A155" s="64" t="str">
        <f aca="false">'Sovereign Ratings (Moody''s,S&amp;P)'!A155</f>
        <v>Uzbekistan</v>
      </c>
      <c r="B155" s="65" t="str">
        <f aca="false">'Sovereign Ratings (Moody''s,S&amp;P)'!D155</f>
        <v>Ba3</v>
      </c>
      <c r="C155" s="67" t="e">
        <f aca="false">VLOOKUP(A155,$H$24:$J$113,2,FALSE())</f>
        <v>#N/A</v>
      </c>
      <c r="D155" s="67" t="e">
        <f aca="false">IF(C155="NA","NA",IF(C155&gt;$C$139,C155-$C$139,0))</f>
        <v>#N/A</v>
      </c>
    </row>
    <row r="156" customFormat="false" ht="15.75" hidden="false" customHeight="false" outlineLevel="0" collapsed="false">
      <c r="A156" s="64" t="str">
        <f aca="false">'Sovereign Ratings (Moody''s,S&amp;P)'!A156</f>
        <v>Venezuela</v>
      </c>
      <c r="B156" s="65" t="str">
        <f aca="false">'Sovereign Ratings (Moody''s,S&amp;P)'!D156</f>
        <v>C</v>
      </c>
      <c r="C156" s="67" t="n">
        <f aca="false">VLOOKUP(A156,$H$24:$J$113,2,FALSE())</f>
        <v>0.0929</v>
      </c>
      <c r="D156" s="67" t="n">
        <f aca="false">IF(C156="NA","NA",IF(C156&gt;$C$139,C156-$C$139,0))</f>
        <v>0.0915</v>
      </c>
    </row>
    <row r="157" customFormat="false" ht="15.75" hidden="false" customHeight="false" outlineLevel="0" collapsed="false">
      <c r="A157" s="64" t="str">
        <f aca="false">'Sovereign Ratings (Moody''s,S&amp;P)'!A157</f>
        <v>Vietnam</v>
      </c>
      <c r="B157" s="65" t="str">
        <f aca="false">'Sovereign Ratings (Moody''s,S&amp;P)'!D157</f>
        <v>Ba2</v>
      </c>
      <c r="C157" s="67" t="n">
        <f aca="false">VLOOKUP(A157,$H$24:$J$113,2,FALSE())</f>
        <v>0.0151</v>
      </c>
      <c r="D157" s="67" t="n">
        <f aca="false">IF(C157="NA","NA",IF(C157&gt;$C$139,C157-$C$139,0))</f>
        <v>0.0137</v>
      </c>
    </row>
    <row r="158" customFormat="false" ht="15.75" hidden="false" customHeight="false" outlineLevel="0" collapsed="false">
      <c r="A158" s="64" t="str">
        <f aca="false">'Sovereign Ratings (Moody''s,S&amp;P)'!A158</f>
        <v>Zambia</v>
      </c>
      <c r="B158" s="65" t="str">
        <f aca="false">'Sovereign Ratings (Moody''s,S&amp;P)'!D158</f>
        <v>Caa2</v>
      </c>
      <c r="C158" s="67" t="n">
        <f aca="false">VLOOKUP(A158,$H$24:$J$113,2,FALSE())</f>
        <v>0.0408</v>
      </c>
      <c r="D158" s="67" t="n">
        <f aca="false">IF(C158="NA","NA",IF(C158&gt;$C$139,C158-$C$139,0))</f>
        <v>0.0394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0.65234375" defaultRowHeight="12.75" zeroHeight="false" outlineLevelRow="0" outlineLevelCol="0"/>
  <cols>
    <col collapsed="false" customWidth="true" hidden="false" outlineLevel="0" max="1" min="1" style="29" width="12.16"/>
    <col collapsed="false" customWidth="true" hidden="false" outlineLevel="0" max="2" min="2" style="0" width="35.51"/>
    <col collapsed="false" customWidth="true" hidden="false" outlineLevel="0" max="3" min="3" style="0" width="21"/>
    <col collapsed="false" customWidth="true" hidden="false" outlineLevel="0" max="4" min="4" style="0" width="21.33"/>
  </cols>
  <sheetData>
    <row r="1" s="185" customFormat="true" ht="18.75" hidden="false" customHeight="false" outlineLevel="0" collapsed="false">
      <c r="A1" s="183" t="s">
        <v>418</v>
      </c>
      <c r="B1" s="184" t="n">
        <v>43861</v>
      </c>
      <c r="D1" s="185" t="s">
        <v>419</v>
      </c>
    </row>
    <row r="2" customFormat="false" ht="12.75" hidden="false" customHeight="false" outlineLevel="0" collapsed="false">
      <c r="A2" s="186"/>
      <c r="B2" s="187"/>
    </row>
    <row r="3" customFormat="false" ht="18.75" hidden="false" customHeight="false" outlineLevel="0" collapsed="false">
      <c r="A3" s="188" t="s">
        <v>61</v>
      </c>
      <c r="B3" s="189" t="s">
        <v>420</v>
      </c>
      <c r="C3" s="190" t="s">
        <v>421</v>
      </c>
      <c r="D3" s="191" t="s">
        <v>422</v>
      </c>
      <c r="E3" s="190" t="s">
        <v>423</v>
      </c>
      <c r="F3" s="188" t="s">
        <v>424</v>
      </c>
      <c r="G3" s="192" t="s">
        <v>425</v>
      </c>
      <c r="H3" s="193" t="s">
        <v>426</v>
      </c>
    </row>
    <row r="4" customFormat="false" ht="16.5" hidden="false" customHeight="false" outlineLevel="0" collapsed="false">
      <c r="A4" s="194" t="s">
        <v>254</v>
      </c>
      <c r="B4" s="195" t="n">
        <v>0.5652</v>
      </c>
      <c r="C4" s="196" t="n">
        <v>0.48055</v>
      </c>
      <c r="D4" s="197" t="n">
        <f aca="false">IF(C4="NA","NA",IF(B4="NA","NA",B4/C4))</f>
        <v>1.17615232546041</v>
      </c>
      <c r="E4" s="195" t="s">
        <v>136</v>
      </c>
      <c r="F4" s="195" t="s">
        <v>136</v>
      </c>
      <c r="G4" s="198" t="str">
        <f aca="false">IF(F4="NA","NA",E4/F4)</f>
        <v>NA</v>
      </c>
      <c r="H4" s="197" t="str">
        <f aca="false">IF(G4="NA","NA",IF(B4="NA","NA",B4/G4))</f>
        <v>NA</v>
      </c>
    </row>
    <row r="5" customFormat="false" ht="16.5" hidden="false" customHeight="false" outlineLevel="0" collapsed="false">
      <c r="A5" s="194" t="s">
        <v>301</v>
      </c>
      <c r="B5" s="195" t="n">
        <v>0.0511</v>
      </c>
      <c r="C5" s="199" t="s">
        <v>136</v>
      </c>
      <c r="D5" s="197" t="str">
        <f aca="false">IF(C5="NA","NA",IF(B5="NA","NA",B5/C5))</f>
        <v>NA</v>
      </c>
      <c r="E5" s="195" t="n">
        <v>0.0029</v>
      </c>
      <c r="F5" s="195" t="n">
        <v>0.0269</v>
      </c>
      <c r="G5" s="198" t="n">
        <f aca="false">IF(F5="NA","NA",E5/F5)</f>
        <v>0.107806691449814</v>
      </c>
      <c r="H5" s="197" t="n">
        <f aca="false">IF(G5="NA","NA",IF(B5="NA","NA",B5/G5))</f>
        <v>0.473996551724138</v>
      </c>
    </row>
    <row r="6" customFormat="false" ht="16.5" hidden="false" customHeight="false" outlineLevel="0" collapsed="false">
      <c r="A6" s="194" t="s">
        <v>257</v>
      </c>
      <c r="B6" s="195" t="n">
        <v>0.1621</v>
      </c>
      <c r="C6" s="196" t="n">
        <v>0.1332</v>
      </c>
      <c r="D6" s="197" t="n">
        <f aca="false">IF(C6="NA","NA",IF(B6="NA","NA",B6/C6))</f>
        <v>1.21696696696697</v>
      </c>
      <c r="E6" s="195" t="n">
        <v>0.0021</v>
      </c>
      <c r="F6" s="195" t="n">
        <v>0.0231</v>
      </c>
      <c r="G6" s="198" t="n">
        <f aca="false">IF(F6="NA","NA",E6/F6)</f>
        <v>0.0909090909090909</v>
      </c>
      <c r="H6" s="197" t="n">
        <f aca="false">IF(G6="NA","NA",IF(B6="NA","NA",B6/G6))</f>
        <v>1.7831</v>
      </c>
    </row>
    <row r="7" customFormat="false" ht="16.5" hidden="false" customHeight="false" outlineLevel="0" collapsed="false">
      <c r="A7" s="194" t="s">
        <v>259</v>
      </c>
      <c r="B7" s="195" t="n">
        <v>0.1744</v>
      </c>
      <c r="C7" s="199" t="s">
        <v>136</v>
      </c>
      <c r="D7" s="197" t="str">
        <f aca="false">IF(C7="NA","NA",IF(B7="NA","NA",B7/C7))</f>
        <v>NA</v>
      </c>
      <c r="E7" s="195" t="n">
        <v>0.0023</v>
      </c>
      <c r="F7" s="195" t="n">
        <v>0.0275</v>
      </c>
      <c r="G7" s="198" t="n">
        <f aca="false">IF(F7="NA","NA",E7/F7)</f>
        <v>0.0836363636363636</v>
      </c>
      <c r="H7" s="197" t="n">
        <f aca="false">IF(G7="NA","NA",IF(B7="NA","NA",B7/G7))</f>
        <v>2.08521739130435</v>
      </c>
    </row>
    <row r="8" customFormat="false" ht="16.5" hidden="false" customHeight="false" outlineLevel="0" collapsed="false">
      <c r="A8" s="194" t="s">
        <v>260</v>
      </c>
      <c r="B8" s="195" t="n">
        <v>0.0714</v>
      </c>
      <c r="C8" s="196" t="n">
        <v>0.0492</v>
      </c>
      <c r="D8" s="197" t="n">
        <f aca="false">IF(C8="NA","NA",IF(B8="NA","NA",B8/C8))</f>
        <v>1.45121951219512</v>
      </c>
      <c r="E8" s="195" t="n">
        <v>0.0045</v>
      </c>
      <c r="F8" s="195" t="n">
        <v>0.0242</v>
      </c>
      <c r="G8" s="198" t="n">
        <f aca="false">IF(F8="NA","NA",E8/F8)</f>
        <v>0.18595041322314</v>
      </c>
      <c r="H8" s="197" t="n">
        <f aca="false">IF(G8="NA","NA",IF(B8="NA","NA",B8/G8))</f>
        <v>0.383973333333333</v>
      </c>
    </row>
    <row r="9" customFormat="false" ht="16.5" hidden="false" customHeight="false" outlineLevel="0" collapsed="false">
      <c r="A9" s="194" t="s">
        <v>192</v>
      </c>
      <c r="B9" s="195" t="n">
        <v>0.2733</v>
      </c>
      <c r="C9" s="199" t="s">
        <v>136</v>
      </c>
      <c r="D9" s="197" t="str">
        <f aca="false">IF(C9="NA","NA",IF(B9="NA","NA",B9/C9))</f>
        <v>NA</v>
      </c>
      <c r="E9" s="195" t="n">
        <v>0.0065</v>
      </c>
      <c r="F9" s="195" t="n">
        <v>0.0633</v>
      </c>
      <c r="G9" s="198" t="n">
        <f aca="false">IF(F9="NA","NA",E9/F9)</f>
        <v>0.102685624012638</v>
      </c>
      <c r="H9" s="197" t="n">
        <f aca="false">IF(G9="NA","NA",IF(B9="NA","NA",B9/G9))</f>
        <v>2.66152153846154</v>
      </c>
    </row>
    <row r="10" customFormat="false" ht="16.5" hidden="false" customHeight="false" outlineLevel="0" collapsed="false">
      <c r="A10" s="194" t="s">
        <v>283</v>
      </c>
      <c r="B10" s="195" t="n">
        <v>0.1441</v>
      </c>
      <c r="C10" s="196" t="n">
        <v>0.1226</v>
      </c>
      <c r="D10" s="197" t="n">
        <f aca="false">IF(C10="NA","NA",IF(B10="NA","NA",B10/C10))</f>
        <v>1.17536704730832</v>
      </c>
      <c r="E10" s="195" t="n">
        <v>0.0027</v>
      </c>
      <c r="F10" s="195" t="n">
        <v>0.0175</v>
      </c>
      <c r="G10" s="198" t="n">
        <f aca="false">IF(F10="NA","NA",E10/F10)</f>
        <v>0.154285714285714</v>
      </c>
      <c r="H10" s="197" t="n">
        <f aca="false">IF(G10="NA","NA",IF(B10="NA","NA",B10/G10))</f>
        <v>0.933981481481482</v>
      </c>
    </row>
    <row r="11" customFormat="false" ht="16.5" hidden="false" customHeight="false" outlineLevel="0" collapsed="false">
      <c r="A11" s="194" t="s">
        <v>248</v>
      </c>
      <c r="B11" s="195" t="n">
        <v>0.1124</v>
      </c>
      <c r="C11" s="196" t="n">
        <v>0.0908</v>
      </c>
      <c r="D11" s="197" t="n">
        <f aca="false">IF(C11="NA","NA",IF(B11="NA","NA",B11/C11))</f>
        <v>1.23788546255507</v>
      </c>
      <c r="E11" s="195" t="n">
        <v>0.0038</v>
      </c>
      <c r="F11" s="195" t="n">
        <v>0.0156</v>
      </c>
      <c r="G11" s="198" t="n">
        <f aca="false">IF(F11="NA","NA",E11/F11)</f>
        <v>0.243589743589744</v>
      </c>
      <c r="H11" s="197" t="n">
        <f aca="false">IF(G11="NA","NA",IF(B11="NA","NA",B11/G11))</f>
        <v>0.461431578947368</v>
      </c>
    </row>
    <row r="12" customFormat="false" ht="16.5" hidden="false" customHeight="false" outlineLevel="0" collapsed="false">
      <c r="A12" s="194" t="s">
        <v>196</v>
      </c>
      <c r="B12" s="195" t="n">
        <v>0.1767</v>
      </c>
      <c r="C12" s="199" t="s">
        <v>136</v>
      </c>
      <c r="D12" s="197" t="str">
        <f aca="false">IF(C12="NA","NA",IF(B12="NA","NA",B12/C12))</f>
        <v>NA</v>
      </c>
      <c r="E12" s="195" t="n">
        <v>0.0072</v>
      </c>
      <c r="F12" s="195" t="n">
        <v>0.0457</v>
      </c>
      <c r="G12" s="198" t="n">
        <f aca="false">IF(F12="NA","NA",E12/F12)</f>
        <v>0.157549234135667</v>
      </c>
      <c r="H12" s="197" t="n">
        <f aca="false">IF(G12="NA","NA",IF(B12="NA","NA",B12/G12))</f>
        <v>1.12155416666667</v>
      </c>
    </row>
    <row r="13" customFormat="false" ht="16.5" hidden="false" customHeight="false" outlineLevel="0" collapsed="false">
      <c r="A13" s="194" t="s">
        <v>306</v>
      </c>
      <c r="B13" s="195" t="n">
        <v>0.31</v>
      </c>
      <c r="C13" s="196" t="n">
        <v>0.1646</v>
      </c>
      <c r="D13" s="197" t="n">
        <f aca="false">IF(C13="NA","NA",IF(B13="NA","NA",B13/C13))</f>
        <v>1.88335358444714</v>
      </c>
      <c r="E13" s="195" t="s">
        <v>136</v>
      </c>
      <c r="F13" s="195" t="s">
        <v>136</v>
      </c>
      <c r="G13" s="198" t="str">
        <f aca="false">IF(F13="NA","NA",E13/F13)</f>
        <v>NA</v>
      </c>
      <c r="H13" s="197" t="str">
        <f aca="false">IF(G13="NA","NA",IF(B13="NA","NA",B13/G13))</f>
        <v>NA</v>
      </c>
    </row>
    <row r="14" customFormat="false" ht="16.5" hidden="false" customHeight="false" outlineLevel="0" collapsed="false">
      <c r="A14" s="194" t="s">
        <v>265</v>
      </c>
      <c r="B14" s="195" t="n">
        <v>0.1414</v>
      </c>
      <c r="C14" s="196" t="n">
        <v>0.0801</v>
      </c>
      <c r="D14" s="197" t="n">
        <f aca="false">IF(C14="NA","NA",IF(B14="NA","NA",B14/C14))</f>
        <v>1.76529338327091</v>
      </c>
      <c r="E14" s="195" t="n">
        <v>0.0025</v>
      </c>
      <c r="F14" s="195" t="n">
        <v>0.0158</v>
      </c>
      <c r="G14" s="198" t="n">
        <f aca="false">IF(F14="NA","NA",E14/F14)</f>
        <v>0.158227848101266</v>
      </c>
      <c r="H14" s="197" t="n">
        <f aca="false">IF(G14="NA","NA",IF(B14="NA","NA",B14/G14))</f>
        <v>0.893648</v>
      </c>
    </row>
    <row r="15" customFormat="false" ht="16.5" hidden="false" customHeight="false" outlineLevel="0" collapsed="false">
      <c r="A15" s="194" t="s">
        <v>226</v>
      </c>
      <c r="B15" s="195" t="n">
        <v>0.1545</v>
      </c>
      <c r="C15" s="199" t="s">
        <v>136</v>
      </c>
      <c r="D15" s="197" t="str">
        <f aca="false">IF(C15="NA","NA",IF(B15="NA","NA",B15/C15))</f>
        <v>NA</v>
      </c>
      <c r="E15" s="195" t="n">
        <v>0.005</v>
      </c>
      <c r="F15" s="195" t="n">
        <v>0.0365</v>
      </c>
      <c r="G15" s="198" t="n">
        <f aca="false">IF(F15="NA","NA",E15/F15)</f>
        <v>0.136986301369863</v>
      </c>
      <c r="H15" s="197" t="n">
        <f aca="false">IF(G15="NA","NA",IF(B15="NA","NA",B15/G15))</f>
        <v>1.12785</v>
      </c>
    </row>
    <row r="16" customFormat="false" ht="16.5" hidden="false" customHeight="false" outlineLevel="0" collapsed="false">
      <c r="A16" s="194" t="s">
        <v>199</v>
      </c>
      <c r="B16" s="195" t="n">
        <v>0.099</v>
      </c>
      <c r="C16" s="199" t="s">
        <v>136</v>
      </c>
      <c r="D16" s="197" t="str">
        <f aca="false">IF(C16="NA","NA",IF(B16="NA","NA",B16/C16))</f>
        <v>NA</v>
      </c>
      <c r="E16" s="195" t="n">
        <v>0.0045</v>
      </c>
      <c r="F16" s="195" t="n">
        <v>0.0153</v>
      </c>
      <c r="G16" s="198" t="n">
        <f aca="false">IF(F16="NA","NA",E16/F16)</f>
        <v>0.294117647058823</v>
      </c>
      <c r="H16" s="197" t="n">
        <f aca="false">IF(G16="NA","NA",IF(B16="NA","NA",B16/G16))</f>
        <v>0.3366</v>
      </c>
    </row>
    <row r="17" customFormat="false" ht="16.5" hidden="false" customHeight="false" outlineLevel="0" collapsed="false">
      <c r="A17" s="194" t="s">
        <v>203</v>
      </c>
      <c r="B17" s="195" t="n">
        <v>0.1674</v>
      </c>
      <c r="C17" s="199" t="s">
        <v>136</v>
      </c>
      <c r="D17" s="197" t="str">
        <f aca="false">IF(C17="NA","NA",IF(B17="NA","NA",B17/C17))</f>
        <v>NA</v>
      </c>
      <c r="E17" s="195" t="n">
        <v>0.0049</v>
      </c>
      <c r="F17" s="195" t="n">
        <v>0.0694</v>
      </c>
      <c r="G17" s="198" t="n">
        <f aca="false">IF(F17="NA","NA",E17/F17)</f>
        <v>0.0706051873198847</v>
      </c>
      <c r="H17" s="197" t="n">
        <f aca="false">IF(G17="NA","NA",IF(B17="NA","NA",B17/G17))</f>
        <v>2.3709306122449</v>
      </c>
    </row>
    <row r="18" customFormat="false" ht="16.5" hidden="false" customHeight="false" outlineLevel="0" collapsed="false">
      <c r="A18" s="194" t="s">
        <v>307</v>
      </c>
      <c r="B18" s="195" t="n">
        <v>0.0733</v>
      </c>
      <c r="C18" s="199" t="s">
        <v>136</v>
      </c>
      <c r="D18" s="197" t="str">
        <f aca="false">IF(C18="NA","NA",IF(B18="NA","NA",B18/C18))</f>
        <v>NA</v>
      </c>
      <c r="E18" s="195" t="n">
        <v>0.0041</v>
      </c>
      <c r="F18" s="195" t="n">
        <v>0.0168</v>
      </c>
      <c r="G18" s="198" t="n">
        <f aca="false">IF(F18="NA","NA",E18/F18)</f>
        <v>0.244047619047619</v>
      </c>
      <c r="H18" s="197" t="n">
        <f aca="false">IF(G18="NA","NA",IF(B18="NA","NA",B18/G18))</f>
        <v>0.300351219512195</v>
      </c>
    </row>
    <row r="19" customFormat="false" ht="16.5" hidden="false" customHeight="false" outlineLevel="0" collapsed="false">
      <c r="A19" s="194" t="s">
        <v>267</v>
      </c>
      <c r="B19" s="195" t="n">
        <v>0.0794</v>
      </c>
      <c r="C19" s="196" t="n">
        <v>0.089</v>
      </c>
      <c r="D19" s="197" t="n">
        <f aca="false">IF(C19="NA","NA",IF(B19="NA","NA",B19/C19))</f>
        <v>0.892134831460674</v>
      </c>
      <c r="E19" s="195" t="n">
        <v>0.0026</v>
      </c>
      <c r="F19" s="195" t="n">
        <v>0.0268</v>
      </c>
      <c r="G19" s="198" t="n">
        <f aca="false">IF(F19="NA","NA",E19/F19)</f>
        <v>0.0970149253731343</v>
      </c>
      <c r="H19" s="197" t="n">
        <f aca="false">IF(G19="NA","NA",IF(B19="NA","NA",B19/G19))</f>
        <v>0.818430769230769</v>
      </c>
    </row>
    <row r="20" customFormat="false" ht="16.5" hidden="false" customHeight="false" outlineLevel="0" collapsed="false">
      <c r="A20" s="194" t="s">
        <v>292</v>
      </c>
      <c r="B20" s="195" t="n">
        <v>0.1109</v>
      </c>
      <c r="C20" s="196" t="n">
        <v>0.0803</v>
      </c>
      <c r="D20" s="197" t="n">
        <f aca="false">IF(C20="NA","NA",IF(B20="NA","NA",B20/C20))</f>
        <v>1.38107098381071</v>
      </c>
      <c r="E20" s="195" t="s">
        <v>136</v>
      </c>
      <c r="F20" s="195" t="s">
        <v>136</v>
      </c>
      <c r="G20" s="198" t="str">
        <f aca="false">IF(F20="NA","NA",E20/F20)</f>
        <v>NA</v>
      </c>
      <c r="H20" s="197" t="str">
        <f aca="false">IF(G20="NA","NA",IF(B20="NA","NA",B20/G20))</f>
        <v>NA</v>
      </c>
    </row>
    <row r="21" customFormat="false" ht="16.5" hidden="false" customHeight="false" outlineLevel="0" collapsed="false">
      <c r="A21" s="194" t="s">
        <v>293</v>
      </c>
      <c r="B21" s="195" t="n">
        <v>0.0712</v>
      </c>
      <c r="C21" s="199" t="s">
        <v>136</v>
      </c>
      <c r="D21" s="197" t="str">
        <f aca="false">IF(C21="NA","NA",IF(B21="NA","NA",B21/C21))</f>
        <v>NA</v>
      </c>
      <c r="E21" s="195" t="n">
        <v>0.0032</v>
      </c>
      <c r="F21" s="195" t="n">
        <v>0.0263</v>
      </c>
      <c r="G21" s="198" t="n">
        <f aca="false">IF(F21="NA","NA",E21/F21)</f>
        <v>0.121673003802281</v>
      </c>
      <c r="H21" s="197" t="n">
        <f aca="false">IF(G21="NA","NA",IF(B21="NA","NA",B21/G21))</f>
        <v>0.585175</v>
      </c>
    </row>
    <row r="22" customFormat="false" ht="16.5" hidden="false" customHeight="false" outlineLevel="0" collapsed="false">
      <c r="A22" s="194" t="s">
        <v>231</v>
      </c>
      <c r="B22" s="195" t="n">
        <v>0.1162</v>
      </c>
      <c r="C22" s="196" t="n">
        <v>0.0599</v>
      </c>
      <c r="D22" s="197" t="n">
        <f aca="false">IF(C22="NA","NA",IF(B22="NA","NA",B22/C22))</f>
        <v>1.93989983305509</v>
      </c>
      <c r="E22" s="195" t="s">
        <v>136</v>
      </c>
      <c r="F22" s="195" t="s">
        <v>136</v>
      </c>
      <c r="G22" s="198" t="str">
        <f aca="false">IF(F22="NA","NA",E22/F22)</f>
        <v>NA</v>
      </c>
      <c r="H22" s="197" t="str">
        <f aca="false">IF(G22="NA","NA",IF(B22="NA","NA",B22/G22))</f>
        <v>NA</v>
      </c>
    </row>
    <row r="23" customFormat="false" ht="16.5" hidden="false" customHeight="false" outlineLevel="0" collapsed="false">
      <c r="A23" s="194" t="s">
        <v>206</v>
      </c>
      <c r="B23" s="195" t="n">
        <v>0.1729</v>
      </c>
      <c r="C23" s="199" t="s">
        <v>136</v>
      </c>
      <c r="D23" s="197" t="str">
        <f aca="false">IF(C23="NA","NA",IF(B23="NA","NA",B23/C23))</f>
        <v>NA</v>
      </c>
      <c r="E23" s="195" t="n">
        <v>0.0027</v>
      </c>
      <c r="F23" s="195" t="n">
        <v>0.0347</v>
      </c>
      <c r="G23" s="198" t="n">
        <f aca="false">IF(F23="NA","NA",E23/F23)</f>
        <v>0.0778097982708934</v>
      </c>
      <c r="H23" s="197" t="n">
        <f aca="false">IF(G23="NA","NA",IF(B23="NA","NA",B23/G23))</f>
        <v>2.22208518518518</v>
      </c>
    </row>
    <row r="24" customFormat="false" ht="16.5" hidden="false" customHeight="false" outlineLevel="0" collapsed="false">
      <c r="A24" s="194" t="s">
        <v>234</v>
      </c>
      <c r="B24" s="195" t="n">
        <v>0.1398</v>
      </c>
      <c r="C24" s="196" t="n">
        <v>0.1373</v>
      </c>
      <c r="D24" s="197" t="n">
        <f aca="false">IF(C24="NA","NA",IF(B24="NA","NA",B24/C24))</f>
        <v>1.01820830298616</v>
      </c>
      <c r="E24" s="195" t="s">
        <v>136</v>
      </c>
      <c r="F24" s="195" t="s">
        <v>136</v>
      </c>
      <c r="G24" s="198" t="str">
        <f aca="false">IF(F24="NA","NA",E24/F24)</f>
        <v>NA</v>
      </c>
      <c r="H24" s="197" t="str">
        <f aca="false">IF(G24="NA","NA",IF(B24="NA","NA",B24/G24))</f>
        <v>NA</v>
      </c>
    </row>
    <row r="25" customFormat="false" ht="16.5" hidden="false" customHeight="false" outlineLevel="0" collapsed="false">
      <c r="A25" s="194" t="s">
        <v>210</v>
      </c>
      <c r="B25" s="195" t="n">
        <v>0.0539</v>
      </c>
      <c r="C25" s="199" t="s">
        <v>136</v>
      </c>
      <c r="D25" s="197" t="str">
        <f aca="false">IF(C25="NA","NA",IF(B25="NA","NA",B25/C25))</f>
        <v>NA</v>
      </c>
      <c r="E25" s="195" t="n">
        <v>0.004</v>
      </c>
      <c r="F25" s="195" t="n">
        <v>0.0816</v>
      </c>
      <c r="G25" s="198" t="n">
        <f aca="false">IF(F25="NA","NA",E25/F25)</f>
        <v>0.0490196078431373</v>
      </c>
      <c r="H25" s="197" t="n">
        <f aca="false">IF(G25="NA","NA",IF(B25="NA","NA",B25/G25))</f>
        <v>1.09956</v>
      </c>
    </row>
    <row r="26" customFormat="false" ht="16.5" hidden="false" customHeight="false" outlineLevel="0" collapsed="false">
      <c r="A26" s="194" t="s">
        <v>62</v>
      </c>
      <c r="B26" s="195" t="n">
        <v>0.3189</v>
      </c>
      <c r="C26" s="196" t="n">
        <v>0.148</v>
      </c>
      <c r="D26" s="197" t="n">
        <f aca="false">IF(C26="NA","NA",IF(B26="NA","NA",B26/C26))</f>
        <v>2.15472972972973</v>
      </c>
      <c r="E26" s="195" t="n">
        <v>0.0036</v>
      </c>
      <c r="F26" s="195" t="n">
        <v>0.0414</v>
      </c>
      <c r="G26" s="198" t="n">
        <f aca="false">IF(F26="NA","NA",E26/F26)</f>
        <v>0.0869565217391304</v>
      </c>
      <c r="H26" s="197" t="n">
        <f aca="false">IF(G26="NA","NA",IF(B26="NA","NA",B26/G26))</f>
        <v>3.66735</v>
      </c>
    </row>
    <row r="27" customFormat="false" ht="16.5" hidden="false" customHeight="false" outlineLevel="0" collapsed="false">
      <c r="A27" s="194" t="s">
        <v>272</v>
      </c>
      <c r="B27" s="195" t="n">
        <v>0.3081</v>
      </c>
      <c r="C27" s="196" t="n">
        <v>0.6973</v>
      </c>
      <c r="D27" s="197" t="n">
        <f aca="false">IF(C27="NA","NA",IF(B27="NA","NA",B27/C27))</f>
        <v>0.441847124623548</v>
      </c>
      <c r="E27" s="195" t="n">
        <v>0.0123</v>
      </c>
      <c r="F27" s="195" t="n">
        <v>0.1065</v>
      </c>
      <c r="G27" s="198" t="n">
        <f aca="false">IF(F27="NA","NA",E27/F27)</f>
        <v>0.115492957746479</v>
      </c>
      <c r="H27" s="197" t="n">
        <f aca="false">IF(G27="NA","NA",IF(B27="NA","NA",B27/G27))</f>
        <v>2.66769512195122</v>
      </c>
    </row>
    <row r="28" customFormat="false" ht="16.5" hidden="false" customHeight="false" outlineLevel="0" collapsed="false">
      <c r="A28" s="194" t="s">
        <v>236</v>
      </c>
      <c r="B28" s="195" t="n">
        <v>0.1596</v>
      </c>
      <c r="C28" s="199" t="s">
        <v>136</v>
      </c>
      <c r="D28" s="197" t="str">
        <f aca="false">IF(C28="NA","NA",IF(B28="NA","NA",B28/C28))</f>
        <v>NA</v>
      </c>
      <c r="E28" s="195" t="n">
        <v>0.0024</v>
      </c>
      <c r="F28" s="195" t="n">
        <v>0.018</v>
      </c>
      <c r="G28" s="198" t="n">
        <f aca="false">IF(F28="NA","NA",E28/F28)</f>
        <v>0.133333333333333</v>
      </c>
      <c r="H28" s="197" t="n">
        <f aca="false">IF(G28="NA","NA",IF(B28="NA","NA",B28/G28))</f>
        <v>1.197</v>
      </c>
    </row>
    <row r="29" customFormat="false" ht="16.5" hidden="false" customHeight="false" outlineLevel="0" collapsed="false">
      <c r="A29" s="200" t="s">
        <v>413</v>
      </c>
      <c r="B29" s="201"/>
      <c r="C29" s="202"/>
      <c r="D29" s="203" t="n">
        <f aca="false">AVERAGE(D4:D28)</f>
        <v>1.36416377598999</v>
      </c>
      <c r="E29" s="204"/>
      <c r="F29" s="204"/>
      <c r="G29" s="202"/>
      <c r="H29" s="203" t="n">
        <f aca="false">AVERAGE(H4:H28)</f>
        <v>1.35957259750216</v>
      </c>
    </row>
    <row r="30" customFormat="false" ht="16.5" hidden="false" customHeight="false" outlineLevel="0" collapsed="false">
      <c r="A30" s="200" t="s">
        <v>414</v>
      </c>
      <c r="B30" s="201"/>
      <c r="C30" s="202"/>
      <c r="D30" s="203" t="n">
        <f aca="false">MEDIAN(D4:D28)</f>
        <v>1.23788546255507</v>
      </c>
      <c r="E30" s="204"/>
      <c r="F30" s="204"/>
      <c r="G30" s="202"/>
      <c r="H30" s="203" t="n">
        <f aca="false">MEDIAN(H4:H28)</f>
        <v>1.11055708333333</v>
      </c>
    </row>
    <row r="31" customFormat="false" ht="16.5" hidden="false" customHeight="false" outlineLevel="0" collapsed="false">
      <c r="A31" s="200" t="s">
        <v>427</v>
      </c>
      <c r="B31" s="205"/>
      <c r="C31" s="206"/>
      <c r="D31" s="207" t="n">
        <f aca="false">MAX(D4:D28)</f>
        <v>2.15472972972973</v>
      </c>
      <c r="E31" s="206"/>
      <c r="F31" s="206"/>
      <c r="G31" s="206"/>
      <c r="H31" s="207" t="n">
        <f aca="false">MAX(H4:H28)</f>
        <v>3.66735</v>
      </c>
    </row>
    <row r="32" customFormat="false" ht="16.5" hidden="false" customHeight="false" outlineLevel="0" collapsed="false">
      <c r="A32" s="200" t="s">
        <v>428</v>
      </c>
      <c r="B32" s="205"/>
      <c r="C32" s="206"/>
      <c r="D32" s="207" t="n">
        <f aca="false">MIN(D4:D28)</f>
        <v>0.441847124623548</v>
      </c>
      <c r="E32" s="206"/>
      <c r="F32" s="206"/>
      <c r="G32" s="206"/>
      <c r="H32" s="207" t="n">
        <f aca="false">MIN(H4:H28)</f>
        <v>0.300351219512195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266"/>
  <sheetViews>
    <sheetView showFormulas="false" showGridLines="true" showRowColHeaders="true" showZeros="true" rightToLeft="false" tabSelected="false" showOutlineSymbols="true" defaultGridColor="true" view="normal" topLeftCell="A152" colorId="64" zoomScale="100" zoomScaleNormal="100" zoomScalePageLayoutView="100" workbookViewId="0">
      <selection pane="topLeft" activeCell="F177" activeCellId="0" sqref="F177"/>
    </sheetView>
  </sheetViews>
  <sheetFormatPr defaultColWidth="10.65234375" defaultRowHeight="15.75" zeroHeight="false" outlineLevelRow="0" outlineLevelCol="0"/>
  <cols>
    <col collapsed="false" customWidth="true" hidden="false" outlineLevel="0" max="1" min="1" style="208" width="26.5"/>
    <col collapsed="false" customWidth="true" hidden="false" outlineLevel="0" max="2" min="2" style="209" width="26.5"/>
    <col collapsed="false" customWidth="true" hidden="false" outlineLevel="0" max="3" min="3" style="0" width="7.5"/>
    <col collapsed="false" customWidth="true" hidden="false" outlineLevel="0" max="4" min="4" style="0" width="11"/>
    <col collapsed="false" customWidth="true" hidden="false" outlineLevel="0" max="5" min="5" style="0" width="23.33"/>
    <col collapsed="false" customWidth="true" hidden="false" outlineLevel="0" max="6" min="6" style="0" width="28"/>
    <col collapsed="false" customWidth="true" hidden="false" outlineLevel="0" max="10" min="10" style="208" width="26.5"/>
    <col collapsed="false" customWidth="true" hidden="false" outlineLevel="0" max="11" min="11" style="210" width="26.5"/>
    <col collapsed="false" customWidth="true" hidden="false" outlineLevel="0" max="14" min="14" style="210" width="26.5"/>
  </cols>
  <sheetData>
    <row r="1" s="7" customFormat="true" ht="16.5" hidden="false" customHeight="false" outlineLevel="0" collapsed="false">
      <c r="A1" s="211" t="s">
        <v>61</v>
      </c>
      <c r="B1" s="212" t="s">
        <v>174</v>
      </c>
      <c r="E1" s="98" t="s">
        <v>429</v>
      </c>
      <c r="F1" s="98" t="s">
        <v>430</v>
      </c>
      <c r="J1" s="211" t="s">
        <v>61</v>
      </c>
      <c r="K1" s="213" t="s">
        <v>431</v>
      </c>
      <c r="N1" s="213" t="s">
        <v>432</v>
      </c>
    </row>
    <row r="2" customFormat="false" ht="15.75" hidden="false" customHeight="false" outlineLevel="0" collapsed="false">
      <c r="A2" s="163" t="s">
        <v>300</v>
      </c>
      <c r="B2" s="214" t="n">
        <f aca="false">N2</f>
        <v>310000</v>
      </c>
      <c r="E2" s="0" t="s">
        <v>433</v>
      </c>
      <c r="F2" s="215" t="n">
        <v>17152.2346368715</v>
      </c>
      <c r="J2" s="163" t="s">
        <v>300</v>
      </c>
      <c r="K2" s="216" t="n">
        <v>299500</v>
      </c>
      <c r="N2" s="216" t="n">
        <v>310000</v>
      </c>
    </row>
    <row r="3" customFormat="false" ht="15.75" hidden="false" customHeight="false" outlineLevel="0" collapsed="false">
      <c r="A3" s="163" t="s">
        <v>273</v>
      </c>
      <c r="B3" s="214" t="n">
        <f aca="false">VLOOKUP(A3,$E$2:$F$266,2,FALSE())</f>
        <v>27046.4292966673</v>
      </c>
      <c r="C3" s="1" t="s">
        <v>146</v>
      </c>
      <c r="D3" s="9" t="s">
        <v>434</v>
      </c>
      <c r="E3" s="0" t="s">
        <v>435</v>
      </c>
      <c r="F3" s="215" t="n">
        <v>1242693.54292985</v>
      </c>
      <c r="J3" s="163" t="s">
        <v>273</v>
      </c>
      <c r="K3" s="216" t="n">
        <f aca="false">VLOOKUP(J3,$E$2:$F$214,2,FALSE())</f>
        <v>27046.4292966673</v>
      </c>
      <c r="N3" s="216" t="n">
        <v>27046.4292966673</v>
      </c>
    </row>
    <row r="4" customFormat="false" ht="15.75" hidden="false" customHeight="false" outlineLevel="0" collapsed="false">
      <c r="A4" s="163" t="s">
        <v>315</v>
      </c>
      <c r="B4" s="214" t="n">
        <f aca="false">F8</f>
        <v>4039.84240548117</v>
      </c>
      <c r="C4" s="1" t="s">
        <v>137</v>
      </c>
      <c r="D4" s="1" t="n">
        <v>2024</v>
      </c>
      <c r="E4" s="0" t="s">
        <v>436</v>
      </c>
      <c r="F4" s="215" t="n">
        <v>736384.961061523</v>
      </c>
      <c r="J4" s="163" t="s">
        <v>315</v>
      </c>
      <c r="K4" s="216" t="n">
        <v>3330</v>
      </c>
      <c r="N4" s="216" t="n">
        <v>3352</v>
      </c>
    </row>
    <row r="5" customFormat="false" ht="15.75" hidden="false" customHeight="false" outlineLevel="0" collapsed="false">
      <c r="A5" s="163" t="s">
        <v>183</v>
      </c>
      <c r="B5" s="214" t="n">
        <f aca="false">VLOOKUP(A5,$E$2:$F$266,2,FALSE())</f>
        <v>100998.916781079</v>
      </c>
      <c r="E5" s="0" t="s">
        <v>273</v>
      </c>
      <c r="F5" s="215" t="n">
        <v>27046.4292966673</v>
      </c>
      <c r="J5" s="163" t="s">
        <v>183</v>
      </c>
      <c r="K5" s="216" t="n">
        <f aca="false">VLOOKUP(J5,$E$2:$F$214,2,FALSE())</f>
        <v>100998.916781079</v>
      </c>
      <c r="N5" s="216" t="n">
        <v>100998.916781079</v>
      </c>
    </row>
    <row r="6" customFormat="false" ht="15.75" hidden="false" customHeight="false" outlineLevel="0" collapsed="false">
      <c r="A6" s="163" t="s">
        <v>254</v>
      </c>
      <c r="B6" s="214" t="n">
        <f aca="false">VLOOKUP(A6,$E$2:$F$266,2,FALSE())</f>
        <v>638365.45534004</v>
      </c>
      <c r="E6" s="0" t="s">
        <v>409</v>
      </c>
      <c r="F6" s="215" t="n">
        <v>269322.281664773</v>
      </c>
      <c r="J6" s="163" t="s">
        <v>254</v>
      </c>
      <c r="K6" s="216" t="n">
        <f aca="false">VLOOKUP(J6,$E$2:$F$214,2,FALSE())</f>
        <v>638365.45534004</v>
      </c>
      <c r="N6" s="216" t="n">
        <v>638365.45534004</v>
      </c>
    </row>
    <row r="7" customFormat="false" ht="15.75" hidden="false" customHeight="false" outlineLevel="0" collapsed="false">
      <c r="A7" s="163" t="s">
        <v>274</v>
      </c>
      <c r="B7" s="214" t="n">
        <f aca="false">VLOOKUP(A7,$E$2:$F$266,2,FALSE())</f>
        <v>25955.2753800321</v>
      </c>
      <c r="E7" s="0" t="s">
        <v>437</v>
      </c>
      <c r="F7" s="215" t="n">
        <v>871</v>
      </c>
      <c r="J7" s="163" t="s">
        <v>274</v>
      </c>
      <c r="K7" s="216" t="n">
        <f aca="false">VLOOKUP(J7,$E$2:$F$214,2,FALSE())</f>
        <v>25955.2753800321</v>
      </c>
      <c r="N7" s="216" t="n">
        <v>25955.2753800321</v>
      </c>
    </row>
    <row r="8" customFormat="false" ht="15.75" hidden="false" customHeight="false" outlineLevel="0" collapsed="false">
      <c r="A8" s="163" t="s">
        <v>240</v>
      </c>
      <c r="B8" s="214" t="n">
        <f aca="false">VLOOKUP(A8,$E$2:$F$266,2,FALSE())</f>
        <v>4265.65067300236</v>
      </c>
      <c r="E8" s="0" t="s">
        <v>438</v>
      </c>
      <c r="F8" s="215" t="n">
        <v>4039.84240548117</v>
      </c>
      <c r="J8" s="163" t="s">
        <v>240</v>
      </c>
      <c r="K8" s="216" t="n">
        <f aca="false">VLOOKUP(J8,$E$2:$F$214,2,FALSE())</f>
        <v>4265.65067300236</v>
      </c>
      <c r="N8" s="216" t="n">
        <v>4265.65067300236</v>
      </c>
    </row>
    <row r="9" customFormat="false" ht="15.75" hidden="false" customHeight="false" outlineLevel="0" collapsed="false">
      <c r="A9" s="163" t="s">
        <v>237</v>
      </c>
      <c r="B9" s="214" t="n">
        <f aca="false">VLOOKUP(A9,$E$2:$F$266,2,FALSE())</f>
        <v>1757022.45165283</v>
      </c>
      <c r="E9" s="0" t="s">
        <v>183</v>
      </c>
      <c r="F9" s="215" t="n">
        <v>100998.916781079</v>
      </c>
      <c r="J9" s="163" t="s">
        <v>237</v>
      </c>
      <c r="K9" s="216" t="n">
        <f aca="false">VLOOKUP(J9,$E$2:$F$214,2,FALSE())</f>
        <v>1757022.45165283</v>
      </c>
      <c r="N9" s="216" t="n">
        <v>1757022.45165283</v>
      </c>
    </row>
    <row r="10" customFormat="false" ht="15.75" hidden="false" customHeight="false" outlineLevel="0" collapsed="false">
      <c r="A10" s="163" t="s">
        <v>316</v>
      </c>
      <c r="B10" s="214" t="n">
        <f aca="false">VLOOKUP(A10,$E$2:$F$266,2,FALSE())</f>
        <v>534790.720466822</v>
      </c>
      <c r="E10" s="0" t="s">
        <v>439</v>
      </c>
      <c r="F10" s="215" t="n">
        <v>2207.62287407407</v>
      </c>
      <c r="J10" s="163" t="s">
        <v>316</v>
      </c>
      <c r="K10" s="216" t="n">
        <f aca="false">VLOOKUP(J10,$E$2:$F$214,2,FALSE())</f>
        <v>534790.720466822</v>
      </c>
      <c r="N10" s="216" t="n">
        <v>534790.720466822</v>
      </c>
    </row>
    <row r="11" customFormat="false" ht="15.75" hidden="false" customHeight="false" outlineLevel="0" collapsed="false">
      <c r="A11" s="163" t="s">
        <v>275</v>
      </c>
      <c r="B11" s="214" t="n">
        <f aca="false">VLOOKUP(A11,$E$2:$F$266,2,FALSE())</f>
        <v>74315.8823529412</v>
      </c>
      <c r="E11" s="0" t="s">
        <v>440</v>
      </c>
      <c r="F11" s="215" t="n">
        <v>3735881.44251435</v>
      </c>
      <c r="J11" s="163" t="s">
        <v>275</v>
      </c>
      <c r="K11" s="216" t="n">
        <f aca="false">VLOOKUP(J11,$E$2:$F$214,2,FALSE())</f>
        <v>74315.8823529412</v>
      </c>
      <c r="N11" s="216" t="n">
        <v>74315.8823529412</v>
      </c>
    </row>
    <row r="12" customFormat="false" ht="15.75" hidden="false" customHeight="false" outlineLevel="0" collapsed="false">
      <c r="A12" s="163" t="s">
        <v>241</v>
      </c>
      <c r="B12" s="214" t="n">
        <f aca="false">F18</f>
        <v>15832.8</v>
      </c>
      <c r="E12" s="0" t="s">
        <v>254</v>
      </c>
      <c r="F12" s="215" t="n">
        <v>638365.45534004</v>
      </c>
      <c r="J12" s="163" t="s">
        <v>241</v>
      </c>
      <c r="K12" s="216" t="n">
        <v>11210</v>
      </c>
      <c r="N12" s="216" t="n">
        <v>11210</v>
      </c>
    </row>
    <row r="13" customFormat="false" ht="15.75" hidden="false" customHeight="false" outlineLevel="0" collapsed="false">
      <c r="A13" s="163" t="s">
        <v>301</v>
      </c>
      <c r="B13" s="214" t="n">
        <f aca="false">VLOOKUP(A13,$E$2:$F$266,2,FALSE())</f>
        <v>47109.7343085106</v>
      </c>
      <c r="E13" s="0" t="s">
        <v>274</v>
      </c>
      <c r="F13" s="215" t="n">
        <v>25955.2753800321</v>
      </c>
      <c r="J13" s="163" t="s">
        <v>301</v>
      </c>
      <c r="K13" s="216" t="n">
        <f aca="false">VLOOKUP(J13,$E$2:$F$214,2,FALSE())</f>
        <v>47109.7343085106</v>
      </c>
      <c r="N13" s="216" t="n">
        <v>47109.7343085106</v>
      </c>
    </row>
    <row r="14" customFormat="false" ht="15.75" hidden="false" customHeight="false" outlineLevel="0" collapsed="false">
      <c r="A14" s="163" t="s">
        <v>213</v>
      </c>
      <c r="B14" s="214" t="n">
        <f aca="false">VLOOKUP(A14,$E$2:$F$266,2,FALSE())</f>
        <v>450119.432068852</v>
      </c>
      <c r="E14" s="0" t="s">
        <v>240</v>
      </c>
      <c r="F14" s="215" t="n">
        <v>4265.65067300236</v>
      </c>
      <c r="J14" s="163" t="s">
        <v>213</v>
      </c>
      <c r="K14" s="216" t="n">
        <f aca="false">VLOOKUP(J14,$E$2:$F$214,2,FALSE())</f>
        <v>450119.432068852</v>
      </c>
      <c r="N14" s="216" t="n">
        <v>450119.432068852</v>
      </c>
    </row>
    <row r="15" customFormat="false" ht="15.75" hidden="false" customHeight="false" outlineLevel="0" collapsed="false">
      <c r="A15" s="163" t="s">
        <v>242</v>
      </c>
      <c r="B15" s="214" t="n">
        <f aca="false">VLOOKUP(A15,$E$2:$F$266,2,FALSE())</f>
        <v>7498.05</v>
      </c>
      <c r="E15" s="0" t="s">
        <v>237</v>
      </c>
      <c r="F15" s="215" t="n">
        <v>1757022.45165283</v>
      </c>
      <c r="J15" s="163" t="s">
        <v>242</v>
      </c>
      <c r="K15" s="216" t="n">
        <f aca="false">VLOOKUP(J15,$E$2:$F$214,2,FALSE())</f>
        <v>7498.05</v>
      </c>
      <c r="N15" s="216" t="n">
        <v>7498.05</v>
      </c>
    </row>
    <row r="16" customFormat="false" ht="15.75" hidden="false" customHeight="false" outlineLevel="0" collapsed="false">
      <c r="A16" s="163" t="s">
        <v>276</v>
      </c>
      <c r="B16" s="214" t="n">
        <f aca="false">VLOOKUP(A16,$E$2:$F$266,2,FALSE())</f>
        <v>75961.8654719129</v>
      </c>
      <c r="E16" s="0" t="s">
        <v>316</v>
      </c>
      <c r="F16" s="215" t="n">
        <v>534790.720466822</v>
      </c>
      <c r="J16" s="163" t="s">
        <v>276</v>
      </c>
      <c r="K16" s="216" t="n">
        <f aca="false">VLOOKUP(J16,$E$2:$F$214,2,FALSE())</f>
        <v>75961.8654719129</v>
      </c>
      <c r="N16" s="216" t="n">
        <v>75961.8654719129</v>
      </c>
    </row>
    <row r="17" customFormat="false" ht="15.75" hidden="false" customHeight="false" outlineLevel="0" collapsed="false">
      <c r="A17" s="163" t="s">
        <v>317</v>
      </c>
      <c r="B17" s="214" t="n">
        <f aca="false">VLOOKUP(A17,$E$2:$F$266,2,FALSE())</f>
        <v>671370.081636406</v>
      </c>
      <c r="E17" s="0" t="s">
        <v>275</v>
      </c>
      <c r="F17" s="215" t="n">
        <v>74315.8823529412</v>
      </c>
      <c r="J17" s="163" t="s">
        <v>317</v>
      </c>
      <c r="K17" s="216" t="n">
        <f aca="false">VLOOKUP(J17,$E$2:$F$214,2,FALSE())</f>
        <v>671370.081636406</v>
      </c>
      <c r="N17" s="216" t="n">
        <v>671370.081636406</v>
      </c>
    </row>
    <row r="18" customFormat="false" ht="15.75" hidden="false" customHeight="false" outlineLevel="0" collapsed="false">
      <c r="A18" s="163" t="s">
        <v>255</v>
      </c>
      <c r="B18" s="214" t="n">
        <f aca="false">VLOOKUP(A18,$E$2:$F$266,2,FALSE())</f>
        <v>3203.6318</v>
      </c>
      <c r="E18" s="0" t="s">
        <v>441</v>
      </c>
      <c r="F18" s="215" t="n">
        <v>15832.8</v>
      </c>
      <c r="J18" s="163" t="s">
        <v>255</v>
      </c>
      <c r="K18" s="216" t="n">
        <f aca="false">VLOOKUP(J18,$E$2:$F$214,2,FALSE())</f>
        <v>3203.6318</v>
      </c>
      <c r="N18" s="216" t="n">
        <v>3203.6318</v>
      </c>
    </row>
    <row r="19" customFormat="false" ht="15.75" hidden="false" customHeight="false" outlineLevel="0" collapsed="false">
      <c r="A19" s="163" t="s">
        <v>184</v>
      </c>
      <c r="B19" s="214" t="n">
        <f aca="false">VLOOKUP(A19,$E$2:$F$266,2,FALSE())</f>
        <v>21482.6437064248</v>
      </c>
      <c r="E19" s="0" t="s">
        <v>301</v>
      </c>
      <c r="F19" s="215" t="n">
        <v>47109.7343085106</v>
      </c>
      <c r="J19" s="163" t="s">
        <v>184</v>
      </c>
      <c r="K19" s="216" t="n">
        <f aca="false">VLOOKUP(J19,$E$2:$F$214,2,FALSE())</f>
        <v>21482.6437064248</v>
      </c>
      <c r="N19" s="216" t="n">
        <v>21482.6437064248</v>
      </c>
    </row>
    <row r="20" customFormat="false" ht="15.75" hidden="false" customHeight="false" outlineLevel="0" collapsed="false">
      <c r="A20" s="163" t="s">
        <v>243</v>
      </c>
      <c r="B20" s="214" t="n">
        <f aca="false">VLOOKUP(A20,$E$2:$F$266,2,FALSE())</f>
        <v>9233.6</v>
      </c>
      <c r="E20" s="0" t="s">
        <v>213</v>
      </c>
      <c r="F20" s="215" t="n">
        <v>450119.432068852</v>
      </c>
      <c r="J20" s="163" t="s">
        <v>243</v>
      </c>
      <c r="K20" s="216" t="n">
        <f aca="false">VLOOKUP(J20,$E$2:$F$214,2,FALSE())</f>
        <v>9233.6</v>
      </c>
      <c r="N20" s="216" t="n">
        <v>9233.6</v>
      </c>
    </row>
    <row r="21" customFormat="false" ht="15.75" hidden="false" customHeight="false" outlineLevel="0" collapsed="false">
      <c r="A21" s="163" t="s">
        <v>256</v>
      </c>
      <c r="B21" s="214" t="n">
        <f aca="false">VLOOKUP(A21,$E$2:$F$266,2,FALSE())</f>
        <v>54881.3274529667</v>
      </c>
      <c r="E21" s="0" t="s">
        <v>242</v>
      </c>
      <c r="F21" s="215" t="n">
        <v>7498.05</v>
      </c>
      <c r="J21" s="163" t="s">
        <v>256</v>
      </c>
      <c r="K21" s="216" t="n">
        <f aca="false">VLOOKUP(J21,$E$2:$F$214,2,FALSE())</f>
        <v>54881.3274529667</v>
      </c>
      <c r="N21" s="216" t="n">
        <v>54881.3274529667</v>
      </c>
    </row>
    <row r="22" customFormat="false" ht="15.75" hidden="false" customHeight="false" outlineLevel="0" collapsed="false">
      <c r="A22" s="163" t="s">
        <v>277</v>
      </c>
      <c r="B22" s="214" t="n">
        <f aca="false">VLOOKUP(A22,$E$2:$F$266,2,FALSE())</f>
        <v>29613.5720228993</v>
      </c>
      <c r="E22" s="0" t="s">
        <v>276</v>
      </c>
      <c r="F22" s="215" t="n">
        <v>75961.8654719129</v>
      </c>
      <c r="J22" s="163" t="s">
        <v>277</v>
      </c>
      <c r="K22" s="216" t="n">
        <f aca="false">VLOOKUP(J22,$E$2:$F$214,2,FALSE())</f>
        <v>29613.5720228993</v>
      </c>
      <c r="N22" s="216" t="n">
        <v>29613.5720228993</v>
      </c>
    </row>
    <row r="23" customFormat="false" ht="15.75" hidden="false" customHeight="false" outlineLevel="0" collapsed="false">
      <c r="A23" s="163" t="s">
        <v>185</v>
      </c>
      <c r="B23" s="214" t="n">
        <f aca="false">VLOOKUP(A23,$E$2:$F$266,2,FALSE())</f>
        <v>19402.0635129066</v>
      </c>
      <c r="E23" s="0" t="s">
        <v>317</v>
      </c>
      <c r="F23" s="215" t="n">
        <v>671370.081636406</v>
      </c>
      <c r="J23" s="163" t="s">
        <v>185</v>
      </c>
      <c r="K23" s="216" t="n">
        <f aca="false">VLOOKUP(J23,$E$2:$F$214,2,FALSE())</f>
        <v>19402.0635129066</v>
      </c>
      <c r="N23" s="216" t="n">
        <v>19402.0635129066</v>
      </c>
    </row>
    <row r="24" customFormat="false" ht="15.75" hidden="false" customHeight="false" outlineLevel="0" collapsed="false">
      <c r="A24" s="163" t="s">
        <v>257</v>
      </c>
      <c r="B24" s="214" t="n">
        <f aca="false">VLOOKUP(A24,$E$2:$F$266,2,FALSE())</f>
        <v>2185821.64894386</v>
      </c>
      <c r="E24" s="0" t="s">
        <v>255</v>
      </c>
      <c r="F24" s="215" t="n">
        <v>3203.6318</v>
      </c>
      <c r="J24" s="163" t="s">
        <v>257</v>
      </c>
      <c r="K24" s="216" t="n">
        <f aca="false">VLOOKUP(J24,$E$2:$F$214,2,FALSE())</f>
        <v>2185821.64894386</v>
      </c>
      <c r="N24" s="216" t="n">
        <v>2185821.64894386</v>
      </c>
    </row>
    <row r="25" customFormat="false" ht="15.75" hidden="false" customHeight="false" outlineLevel="0" collapsed="false">
      <c r="A25" s="163" t="s">
        <v>278</v>
      </c>
      <c r="B25" s="214" t="n">
        <f aca="false">VLOOKUP(A25,$E$2:$F$266,2,FALSE())</f>
        <v>113343.355779985</v>
      </c>
      <c r="E25" s="0" t="s">
        <v>184</v>
      </c>
      <c r="F25" s="215" t="n">
        <v>21482.6437064248</v>
      </c>
      <c r="J25" s="163" t="s">
        <v>278</v>
      </c>
      <c r="K25" s="216" t="n">
        <f aca="false">VLOOKUP(J25,$E$2:$F$214,2,FALSE())</f>
        <v>113343.355779985</v>
      </c>
      <c r="N25" s="216" t="n">
        <v>113343.355779985</v>
      </c>
    </row>
    <row r="26" customFormat="false" ht="15.75" hidden="false" customHeight="false" outlineLevel="0" collapsed="false">
      <c r="A26" s="163" t="s">
        <v>186</v>
      </c>
      <c r="B26" s="214" t="n">
        <f aca="false">VLOOKUP(A26,$E$2:$F$266,2,FALSE())</f>
        <v>23124.7298530218</v>
      </c>
      <c r="E26" s="0" t="s">
        <v>243</v>
      </c>
      <c r="F26" s="215" t="n">
        <v>9233.6</v>
      </c>
      <c r="J26" s="163" t="s">
        <v>186</v>
      </c>
      <c r="K26" s="216" t="n">
        <f aca="false">VLOOKUP(J26,$E$2:$F$214,2,FALSE())</f>
        <v>23124.7298530218</v>
      </c>
      <c r="N26" s="216" t="n">
        <v>23124.7298530218</v>
      </c>
    </row>
    <row r="27" customFormat="false" ht="15.75" hidden="false" customHeight="false" outlineLevel="0" collapsed="false">
      <c r="A27" s="163" t="s">
        <v>214</v>
      </c>
      <c r="B27" s="214" t="n">
        <f aca="false">VLOOKUP(A27,$E$2:$F$266,2,FALSE())</f>
        <v>46352.6470372406</v>
      </c>
      <c r="E27" s="0" t="s">
        <v>442</v>
      </c>
      <c r="F27" s="215" t="n">
        <v>3012.89678924928</v>
      </c>
      <c r="J27" s="163" t="s">
        <v>214</v>
      </c>
      <c r="K27" s="216" t="n">
        <f aca="false">VLOOKUP(J27,$E$2:$F$214,2,FALSE())</f>
        <v>46352.6470372406</v>
      </c>
      <c r="N27" s="216" t="n">
        <v>46352.6470372406</v>
      </c>
    </row>
    <row r="28" customFormat="false" ht="15.75" hidden="false" customHeight="false" outlineLevel="0" collapsed="false">
      <c r="A28" s="163" t="s">
        <v>187</v>
      </c>
      <c r="B28" s="214" t="n">
        <f aca="false">VLOOKUP(A28,$E$2:$F$266,2,FALSE())</f>
        <v>53296.6943202057</v>
      </c>
      <c r="E28" s="0" t="s">
        <v>256</v>
      </c>
      <c r="F28" s="215" t="n">
        <v>54881.3274529667</v>
      </c>
      <c r="J28" s="163" t="s">
        <v>187</v>
      </c>
      <c r="K28" s="216" t="n">
        <f aca="false">VLOOKUP(J28,$E$2:$F$214,2,FALSE())</f>
        <v>53296.6943202057</v>
      </c>
      <c r="N28" s="216" t="n">
        <v>53296.6943202057</v>
      </c>
    </row>
    <row r="29" customFormat="false" ht="15.75" hidden="false" customHeight="false" outlineLevel="0" collapsed="false">
      <c r="A29" s="163" t="s">
        <v>313</v>
      </c>
      <c r="B29" s="214" t="n">
        <f aca="false">VLOOKUP(A29,$E$2:$F$266,2,FALSE())</f>
        <v>2243636.82663376</v>
      </c>
      <c r="E29" s="0" t="s">
        <v>277</v>
      </c>
      <c r="F29" s="215" t="n">
        <v>29613.5720228993</v>
      </c>
      <c r="J29" s="163" t="s">
        <v>313</v>
      </c>
      <c r="K29" s="216" t="n">
        <f aca="false">VLOOKUP(J29,$E$2:$F$214,2,FALSE())</f>
        <v>2243636.82663376</v>
      </c>
      <c r="N29" s="216" t="n">
        <v>2243636.82663376</v>
      </c>
    </row>
    <row r="30" customFormat="false" ht="15.75" hidden="false" customHeight="false" outlineLevel="0" collapsed="false">
      <c r="A30" s="163" t="s">
        <v>188</v>
      </c>
      <c r="B30" s="214" t="n">
        <f aca="false">F37</f>
        <v>2725.41415072735</v>
      </c>
      <c r="E30" s="0" t="s">
        <v>185</v>
      </c>
      <c r="F30" s="215" t="n">
        <v>19402.0635129066</v>
      </c>
      <c r="J30" s="163" t="s">
        <v>188</v>
      </c>
      <c r="K30" s="216" t="n">
        <v>1936</v>
      </c>
      <c r="N30" s="216" t="n">
        <v>1936</v>
      </c>
    </row>
    <row r="31" customFormat="false" ht="15.75" hidden="false" customHeight="false" outlineLevel="0" collapsed="false">
      <c r="A31" s="163" t="s">
        <v>244</v>
      </c>
      <c r="B31" s="214" t="n">
        <f aca="false">VLOOKUP(A31,$E$2:$F$266,2,FALSE())</f>
        <v>7241.24426945972</v>
      </c>
      <c r="E31" s="0" t="s">
        <v>257</v>
      </c>
      <c r="F31" s="215" t="n">
        <v>2185821.64894386</v>
      </c>
      <c r="J31" s="163" t="s">
        <v>244</v>
      </c>
      <c r="K31" s="216" t="n">
        <f aca="false">VLOOKUP(J31,$E$2:$F$214,2,FALSE())</f>
        <v>7241.24426945972</v>
      </c>
      <c r="N31" s="216" t="n">
        <v>7241.24426945972</v>
      </c>
    </row>
    <row r="32" customFormat="false" ht="15.75" hidden="false" customHeight="false" outlineLevel="0" collapsed="false">
      <c r="A32" s="163" t="s">
        <v>258</v>
      </c>
      <c r="B32" s="214" t="n">
        <f aca="false">VLOOKUP(A32,$E$2:$F$266,2,FALSE())</f>
        <v>330267.137371592</v>
      </c>
      <c r="E32" s="0" t="s">
        <v>443</v>
      </c>
      <c r="F32" s="215" t="n">
        <v>0</v>
      </c>
      <c r="J32" s="163" t="s">
        <v>258</v>
      </c>
      <c r="K32" s="216" t="n">
        <f aca="false">VLOOKUP(J32,$E$2:$F$214,2,FALSE())</f>
        <v>330267.137371592</v>
      </c>
      <c r="N32" s="216" t="n">
        <v>330267.137371592</v>
      </c>
    </row>
    <row r="33" customFormat="false" ht="15.75" hidden="false" customHeight="false" outlineLevel="0" collapsed="false">
      <c r="A33" s="163" t="s">
        <v>215</v>
      </c>
      <c r="B33" s="214" t="n">
        <f aca="false">VLOOKUP(A33,$E$2:$F$266,2,FALSE())</f>
        <v>18743803.1708272</v>
      </c>
      <c r="E33" s="0" t="s">
        <v>444</v>
      </c>
      <c r="F33" s="215" t="n">
        <v>15340.80859248</v>
      </c>
      <c r="J33" s="163" t="s">
        <v>215</v>
      </c>
      <c r="K33" s="216" t="n">
        <f aca="false">VLOOKUP(J33,$E$2:$F$214,2,FALSE())</f>
        <v>18743803.1708272</v>
      </c>
      <c r="N33" s="216" t="n">
        <v>18743803.1708272</v>
      </c>
    </row>
    <row r="34" customFormat="false" ht="15.75" hidden="false" customHeight="false" outlineLevel="0" collapsed="false">
      <c r="A34" s="163" t="s">
        <v>259</v>
      </c>
      <c r="B34" s="214" t="n">
        <f aca="false">VLOOKUP(A34,$E$2:$F$266,2,FALSE())</f>
        <v>418818.154879271</v>
      </c>
      <c r="E34" s="0" t="s">
        <v>278</v>
      </c>
      <c r="F34" s="215" t="n">
        <v>113343.355779985</v>
      </c>
      <c r="J34" s="163" t="s">
        <v>259</v>
      </c>
      <c r="K34" s="216" t="n">
        <f aca="false">VLOOKUP(J34,$E$2:$F$214,2,FALSE())</f>
        <v>418818.154879271</v>
      </c>
      <c r="N34" s="216" t="n">
        <v>418818.154879271</v>
      </c>
    </row>
    <row r="35" customFormat="false" ht="15.75" hidden="false" customHeight="false" outlineLevel="0" collapsed="false">
      <c r="A35" s="163" t="s">
        <v>189</v>
      </c>
      <c r="B35" s="214" t="n">
        <f aca="false">F51</f>
        <v>70962.1857907094</v>
      </c>
      <c r="E35" s="0" t="s">
        <v>186</v>
      </c>
      <c r="F35" s="215" t="n">
        <v>23124.7298530218</v>
      </c>
      <c r="J35" s="163" t="s">
        <v>189</v>
      </c>
      <c r="K35" s="216" t="n">
        <f aca="false">O51</f>
        <v>0</v>
      </c>
      <c r="N35" s="216" t="n">
        <v>12507.3208383932</v>
      </c>
    </row>
    <row r="36" customFormat="false" ht="15.75" hidden="false" customHeight="false" outlineLevel="0" collapsed="false">
      <c r="A36" s="163" t="s">
        <v>190</v>
      </c>
      <c r="B36" s="214" t="n">
        <f aca="false">F52</f>
        <v>15719.9860766464</v>
      </c>
      <c r="E36" s="0" t="s">
        <v>445</v>
      </c>
      <c r="F36" s="215" t="n">
        <v>3082.43306732634</v>
      </c>
      <c r="J36" s="163" t="s">
        <v>190</v>
      </c>
      <c r="K36" s="216" t="n">
        <v>14616</v>
      </c>
      <c r="N36" s="216" t="n">
        <v>330267.137371592</v>
      </c>
    </row>
    <row r="37" customFormat="false" ht="15.75" hidden="false" customHeight="false" outlineLevel="0" collapsed="false">
      <c r="A37" s="163" t="s">
        <v>238</v>
      </c>
      <c r="B37" s="214" t="n">
        <f aca="false">N37</f>
        <v>1414</v>
      </c>
      <c r="E37" s="0" t="s">
        <v>446</v>
      </c>
      <c r="F37" s="215" t="n">
        <v>2725.41415072735</v>
      </c>
      <c r="J37" s="163" t="s">
        <v>238</v>
      </c>
      <c r="K37" s="216" t="n">
        <v>1414</v>
      </c>
      <c r="N37" s="216" t="n">
        <v>1414</v>
      </c>
    </row>
    <row r="38" customFormat="false" ht="15.75" hidden="false" customHeight="false" outlineLevel="0" collapsed="false">
      <c r="A38" s="163" t="s">
        <v>260</v>
      </c>
      <c r="B38" s="214" t="n">
        <f aca="false">VLOOKUP(A38,$E$2:$F$266,2,FALSE())</f>
        <v>95350.4231765962</v>
      </c>
      <c r="E38" s="0" t="s">
        <v>214</v>
      </c>
      <c r="F38" s="215" t="n">
        <v>46352.6470372406</v>
      </c>
      <c r="J38" s="163" t="s">
        <v>260</v>
      </c>
      <c r="K38" s="216" t="n">
        <f aca="false">VLOOKUP(J38,$E$2:$F$214,2,FALSE())</f>
        <v>95350.4231765962</v>
      </c>
      <c r="N38" s="216" t="n">
        <v>95350.4231765962</v>
      </c>
    </row>
    <row r="39" customFormat="false" ht="15.75" hidden="false" customHeight="false" outlineLevel="0" collapsed="false">
      <c r="A39" s="163" t="s">
        <v>191</v>
      </c>
      <c r="B39" s="214" t="n">
        <f aca="false">F54</f>
        <v>87113.179149284</v>
      </c>
      <c r="E39" s="0" t="s">
        <v>187</v>
      </c>
      <c r="F39" s="215" t="n">
        <v>53296.6943202057</v>
      </c>
      <c r="J39" s="163" t="s">
        <v>191</v>
      </c>
      <c r="K39" s="216" t="n">
        <v>70019</v>
      </c>
      <c r="N39" s="216" t="n">
        <v>418818.154879271</v>
      </c>
    </row>
    <row r="40" customFormat="false" ht="15.75" hidden="false" customHeight="false" outlineLevel="0" collapsed="false">
      <c r="A40" s="163" t="s">
        <v>279</v>
      </c>
      <c r="B40" s="214" t="n">
        <f aca="false">VLOOKUP(A40,$E$2:$F$266,2,FALSE())</f>
        <v>92983.8103289088</v>
      </c>
      <c r="E40" s="0" t="s">
        <v>313</v>
      </c>
      <c r="F40" s="215" t="n">
        <v>2243636.82663376</v>
      </c>
      <c r="J40" s="163" t="s">
        <v>279</v>
      </c>
      <c r="K40" s="216" t="n">
        <f aca="false">VLOOKUP(J40,$E$2:$F$214,2,FALSE())</f>
        <v>92983.8103289088</v>
      </c>
      <c r="N40" s="216" t="n">
        <v>92983.8103289088</v>
      </c>
    </row>
    <row r="41" customFormat="false" ht="15.75" hidden="false" customHeight="false" outlineLevel="0" collapsed="false">
      <c r="A41" s="163" t="s">
        <v>245</v>
      </c>
      <c r="B41" s="214" t="n">
        <f aca="false">VLOOKUP(A41,$E$2:$F$266,2,FALSE())</f>
        <v>107352</v>
      </c>
      <c r="E41" s="0" t="s">
        <v>447</v>
      </c>
      <c r="F41" s="215" t="n">
        <v>90344.5934070487</v>
      </c>
      <c r="J41" s="163" t="s">
        <v>245</v>
      </c>
      <c r="K41" s="216" t="n">
        <f aca="false">VLOOKUP(J41,$E$2:$F$214,2,FALSE())</f>
        <v>107352</v>
      </c>
      <c r="N41" s="216" t="n">
        <v>107351</v>
      </c>
    </row>
    <row r="42" customFormat="false" ht="15.75" hidden="false" customHeight="false" outlineLevel="0" collapsed="false">
      <c r="A42" s="163" t="s">
        <v>246</v>
      </c>
      <c r="B42" s="214" t="n">
        <f aca="false">VLOOKUP(A42,$E$2:$F$266,2,FALSE())</f>
        <v>3561.17819620713</v>
      </c>
      <c r="E42" s="0" t="s">
        <v>244</v>
      </c>
      <c r="F42" s="215" t="n">
        <v>7241.24426945972</v>
      </c>
      <c r="J42" s="163" t="s">
        <v>246</v>
      </c>
      <c r="K42" s="216" t="n">
        <f aca="false">VLOOKUP(J42,$E$2:$F$214,2,FALSE())</f>
        <v>3561.17819620713</v>
      </c>
      <c r="N42" s="216" t="n">
        <v>3561.17819620713</v>
      </c>
    </row>
    <row r="43" customFormat="false" ht="15.75" hidden="false" customHeight="false" outlineLevel="0" collapsed="false">
      <c r="A43" s="163" t="s">
        <v>318</v>
      </c>
      <c r="B43" s="214" t="n">
        <f aca="false">VLOOKUP(A43,$E$2:$F$266,2,FALSE())</f>
        <v>37634.5333318902</v>
      </c>
      <c r="E43" s="0" t="s">
        <v>448</v>
      </c>
      <c r="F43" s="215" t="n">
        <v>2751.49428106887</v>
      </c>
      <c r="J43" s="163" t="s">
        <v>318</v>
      </c>
      <c r="K43" s="216" t="n">
        <f aca="false">VLOOKUP(J43,$E$2:$F$214,2,FALSE())</f>
        <v>37634.5333318902</v>
      </c>
      <c r="N43" s="216" t="n">
        <v>37634.5333318902</v>
      </c>
    </row>
    <row r="44" customFormat="false" ht="15.75" hidden="false" customHeight="false" outlineLevel="0" collapsed="false">
      <c r="A44" s="163" t="s">
        <v>280</v>
      </c>
      <c r="B44" s="214" t="n">
        <f aca="false">F59</f>
        <v>347034.062928479</v>
      </c>
      <c r="E44" s="0" t="s">
        <v>449</v>
      </c>
      <c r="F44" s="215" t="n">
        <v>2462005.27360348</v>
      </c>
      <c r="J44" s="163" t="s">
        <v>280</v>
      </c>
      <c r="K44" s="216" t="n">
        <f aca="false">O59</f>
        <v>0</v>
      </c>
      <c r="N44" s="216" t="n">
        <v>87113.179149284</v>
      </c>
    </row>
    <row r="45" customFormat="false" ht="15.75" hidden="false" customHeight="false" outlineLevel="0" collapsed="false">
      <c r="A45" s="163" t="s">
        <v>319</v>
      </c>
      <c r="B45" s="214" t="n">
        <f aca="false">VLOOKUP(A45,$E$2:$F$266,2,FALSE())</f>
        <v>424524.722037047</v>
      </c>
      <c r="E45" s="0" t="s">
        <v>450</v>
      </c>
      <c r="F45" s="215" t="n">
        <v>19518.819751283</v>
      </c>
      <c r="J45" s="163" t="s">
        <v>319</v>
      </c>
      <c r="K45" s="216" t="n">
        <f aca="false">VLOOKUP(J45,$E$2:$F$214,2,FALSE())</f>
        <v>424524.722037047</v>
      </c>
      <c r="N45" s="216" t="n">
        <v>424524.722037047</v>
      </c>
    </row>
    <row r="46" customFormat="false" ht="15.75" hidden="false" customHeight="false" outlineLevel="0" collapsed="false">
      <c r="A46" s="163" t="s">
        <v>247</v>
      </c>
      <c r="B46" s="214" t="n">
        <f aca="false">VLOOKUP(A46,$E$2:$F$266,2,FALSE())</f>
        <v>124282.245638568</v>
      </c>
      <c r="E46" s="0" t="s">
        <v>451</v>
      </c>
      <c r="F46" s="215" t="n">
        <v>12507.3208383932</v>
      </c>
      <c r="J46" s="163" t="s">
        <v>247</v>
      </c>
      <c r="K46" s="216" t="n">
        <f aca="false">VLOOKUP(J46,$E$2:$F$214,2,FALSE())</f>
        <v>124282.245638568</v>
      </c>
      <c r="N46" s="216" t="n">
        <v>124282.245638568</v>
      </c>
    </row>
    <row r="47" customFormat="false" ht="15.75" hidden="false" customHeight="false" outlineLevel="0" collapsed="false">
      <c r="A47" s="163" t="s">
        <v>261</v>
      </c>
      <c r="B47" s="214" t="n">
        <f aca="false">VLOOKUP(A47,$E$2:$F$266,2,FALSE())</f>
        <v>124676.0747</v>
      </c>
      <c r="E47" s="0" t="s">
        <v>258</v>
      </c>
      <c r="F47" s="215" t="n">
        <v>330267.137371592</v>
      </c>
      <c r="J47" s="163" t="s">
        <v>261</v>
      </c>
      <c r="K47" s="216" t="n">
        <f aca="false">VLOOKUP(J47,$E$2:$F$214,2,FALSE())</f>
        <v>124676.0747</v>
      </c>
      <c r="N47" s="216" t="n">
        <v>124676.0747</v>
      </c>
    </row>
    <row r="48" customFormat="false" ht="15.75" hidden="false" customHeight="false" outlineLevel="0" collapsed="false">
      <c r="A48" s="163" t="s">
        <v>192</v>
      </c>
      <c r="B48" s="214" t="n">
        <f aca="false">F69</f>
        <v>389059.911003566</v>
      </c>
      <c r="E48" s="0" t="s">
        <v>215</v>
      </c>
      <c r="F48" s="215" t="n">
        <v>18743803.1708272</v>
      </c>
      <c r="J48" s="163" t="s">
        <v>192</v>
      </c>
      <c r="K48" s="216" t="n">
        <f aca="false">O69</f>
        <v>0</v>
      </c>
      <c r="N48" s="216" t="n">
        <v>424524.722037047</v>
      </c>
    </row>
    <row r="49" customFormat="false" ht="15.75" hidden="false" customHeight="false" outlineLevel="0" collapsed="false">
      <c r="A49" s="163" t="s">
        <v>262</v>
      </c>
      <c r="B49" s="214" t="n">
        <f aca="false">VLOOKUP(A49,$E$2:$F$266,2,FALSE())</f>
        <v>35364.96</v>
      </c>
      <c r="E49" s="0" t="s">
        <v>259</v>
      </c>
      <c r="F49" s="215" t="n">
        <v>418818.154879271</v>
      </c>
      <c r="J49" s="163" t="s">
        <v>262</v>
      </c>
      <c r="K49" s="216" t="n">
        <f aca="false">VLOOKUP(J49,$E$2:$F$214,2,FALSE())</f>
        <v>35364.96</v>
      </c>
      <c r="N49" s="216" t="n">
        <v>35364.96</v>
      </c>
    </row>
    <row r="50" customFormat="false" ht="15.75" hidden="false" customHeight="false" outlineLevel="0" collapsed="false">
      <c r="A50" s="163" t="s">
        <v>281</v>
      </c>
      <c r="B50" s="214" t="n">
        <f aca="false">VLOOKUP(A50,$E$2:$F$266,2,FALSE())</f>
        <v>43130.41982935</v>
      </c>
      <c r="E50" s="0" t="s">
        <v>452</v>
      </c>
      <c r="F50" s="215" t="n">
        <v>1440.99145545188</v>
      </c>
      <c r="J50" s="163" t="s">
        <v>281</v>
      </c>
      <c r="K50" s="216" t="n">
        <f aca="false">VLOOKUP(J50,$E$2:$F$214,2,FALSE())</f>
        <v>43130.41982935</v>
      </c>
      <c r="N50" s="216" t="n">
        <v>43130.41982935</v>
      </c>
    </row>
    <row r="51" customFormat="false" ht="15.75" hidden="false" customHeight="false" outlineLevel="0" collapsed="false">
      <c r="A51" s="163" t="s">
        <v>193</v>
      </c>
      <c r="B51" s="214" t="n">
        <f aca="false">VLOOKUP(A51,$E$2:$F$266,2,FALSE())</f>
        <v>149740.297952986</v>
      </c>
      <c r="E51" s="0" t="s">
        <v>453</v>
      </c>
      <c r="F51" s="215" t="n">
        <v>70962.1857907094</v>
      </c>
      <c r="J51" s="163" t="s">
        <v>193</v>
      </c>
      <c r="K51" s="216" t="n">
        <f aca="false">VLOOKUP(J51,$E$2:$F$214,2,FALSE())</f>
        <v>149740.297952986</v>
      </c>
      <c r="N51" s="216" t="n">
        <v>149740.297952986</v>
      </c>
    </row>
    <row r="52" customFormat="false" ht="15.75" hidden="false" customHeight="false" outlineLevel="0" collapsed="false">
      <c r="A52" s="163" t="s">
        <v>216</v>
      </c>
      <c r="B52" s="214" t="n">
        <f aca="false">VLOOKUP(A52,$E$2:$F$266,2,FALSE())</f>
        <v>5968.12590927126</v>
      </c>
      <c r="E52" s="0" t="s">
        <v>454</v>
      </c>
      <c r="F52" s="215" t="n">
        <v>15719.9860766464</v>
      </c>
      <c r="J52" s="163" t="s">
        <v>216</v>
      </c>
      <c r="K52" s="216" t="n">
        <f aca="false">VLOOKUP(J52,$E$2:$F$214,2,FALSE())</f>
        <v>5968.12590927126</v>
      </c>
      <c r="N52" s="216" t="n">
        <v>5968.12590927126</v>
      </c>
    </row>
    <row r="53" customFormat="false" ht="15.75" hidden="false" customHeight="false" outlineLevel="0" collapsed="false">
      <c r="A53" s="163" t="s">
        <v>320</v>
      </c>
      <c r="B53" s="214" t="n">
        <f aca="false">VLOOKUP(A53,$E$2:$F$266,2,FALSE())</f>
        <v>298696.961297656</v>
      </c>
      <c r="E53" s="0" t="s">
        <v>260</v>
      </c>
      <c r="F53" s="215" t="n">
        <v>95350.4231765962</v>
      </c>
      <c r="J53" s="163" t="s">
        <v>320</v>
      </c>
      <c r="K53" s="216" t="n">
        <f aca="false">VLOOKUP(J53,$E$2:$F$214,2,FALSE())</f>
        <v>298696.961297656</v>
      </c>
      <c r="N53" s="216" t="n">
        <v>298696.961297656</v>
      </c>
    </row>
    <row r="54" customFormat="false" ht="15.75" hidden="false" customHeight="false" outlineLevel="0" collapsed="false">
      <c r="A54" s="163" t="s">
        <v>321</v>
      </c>
      <c r="B54" s="214" t="n">
        <f aca="false">VLOOKUP(A54,$E$2:$F$266,2,FALSE())</f>
        <v>3160442.62246508</v>
      </c>
      <c r="E54" s="0" t="s">
        <v>455</v>
      </c>
      <c r="F54" s="215" t="n">
        <v>87113.179149284</v>
      </c>
      <c r="J54" s="163" t="s">
        <v>321</v>
      </c>
      <c r="K54" s="216" t="n">
        <f aca="false">VLOOKUP(J54,$E$2:$F$214,2,FALSE())</f>
        <v>3160442.62246508</v>
      </c>
      <c r="N54" s="216" t="n">
        <v>3160442.62246508</v>
      </c>
    </row>
    <row r="55" customFormat="false" ht="15.75" hidden="false" customHeight="false" outlineLevel="0" collapsed="false">
      <c r="A55" s="163" t="s">
        <v>194</v>
      </c>
      <c r="B55" s="214" t="n">
        <f aca="false">VLOOKUP(A55,$E$2:$F$266,2,FALSE())</f>
        <v>20895.6844256752</v>
      </c>
      <c r="E55" s="0" t="s">
        <v>279</v>
      </c>
      <c r="F55" s="215" t="n">
        <v>92983.8103289088</v>
      </c>
      <c r="J55" s="163" t="s">
        <v>194</v>
      </c>
      <c r="K55" s="216" t="n">
        <f aca="false">VLOOKUP(J55,$E$2:$F$214,2,FALSE())</f>
        <v>20895.6844256752</v>
      </c>
      <c r="N55" s="216" t="n">
        <v>20895.6844256752</v>
      </c>
    </row>
    <row r="56" customFormat="false" ht="15.75" hidden="false" customHeight="false" outlineLevel="0" collapsed="false">
      <c r="A56" s="163" t="s">
        <v>282</v>
      </c>
      <c r="B56" s="214" t="n">
        <f aca="false">VLOOKUP(A56,$E$2:$F$266,2,FALSE())</f>
        <v>34189.4235449955</v>
      </c>
      <c r="E56" s="0" t="s">
        <v>245</v>
      </c>
      <c r="F56" s="215" t="n">
        <v>107352</v>
      </c>
      <c r="J56" s="163" t="s">
        <v>282</v>
      </c>
      <c r="K56" s="216" t="n">
        <f aca="false">VLOOKUP(J56,$E$2:$F$214,2,FALSE())</f>
        <v>34189.4235449955</v>
      </c>
      <c r="N56" s="216" t="n">
        <v>34189.4235449955</v>
      </c>
    </row>
    <row r="57" customFormat="false" ht="15.75" hidden="false" customHeight="false" outlineLevel="0" collapsed="false">
      <c r="A57" s="163" t="s">
        <v>322</v>
      </c>
      <c r="B57" s="214" t="n">
        <f aca="false">VLOOKUP(A57,$E$2:$F$266,2,FALSE())</f>
        <v>4685592.57780469</v>
      </c>
      <c r="E57" s="0" t="s">
        <v>246</v>
      </c>
      <c r="F57" s="215" t="n">
        <v>3561.17819620713</v>
      </c>
      <c r="J57" s="163" t="s">
        <v>322</v>
      </c>
      <c r="K57" s="216" t="n">
        <f aca="false">VLOOKUP(J57,$E$2:$F$214,2,FALSE())</f>
        <v>4685592.57780469</v>
      </c>
      <c r="N57" s="216" t="n">
        <v>4685592.57780469</v>
      </c>
    </row>
    <row r="58" customFormat="false" ht="15.75" hidden="false" customHeight="false" outlineLevel="0" collapsed="false">
      <c r="A58" s="163" t="s">
        <v>195</v>
      </c>
      <c r="B58" s="214" t="n">
        <f aca="false">VLOOKUP(A58,$E$2:$F$266,2,FALSE())</f>
        <v>82308.1103864641</v>
      </c>
      <c r="E58" s="0" t="s">
        <v>318</v>
      </c>
      <c r="F58" s="215" t="n">
        <v>37634.5333318902</v>
      </c>
      <c r="J58" s="163" t="s">
        <v>195</v>
      </c>
      <c r="K58" s="216" t="n">
        <f aca="false">VLOOKUP(J58,$E$2:$F$214,2,FALSE())</f>
        <v>82308.1103864641</v>
      </c>
      <c r="N58" s="216" t="n">
        <v>82308.1103864641</v>
      </c>
    </row>
    <row r="59" customFormat="false" ht="15.75" hidden="false" customHeight="false" outlineLevel="0" collapsed="false">
      <c r="A59" s="163" t="s">
        <v>323</v>
      </c>
      <c r="B59" s="214" t="n">
        <f aca="false">VLOOKUP(A59,$E$2:$F$266,2,FALSE())</f>
        <v>256238.371778118</v>
      </c>
      <c r="E59" s="0" t="s">
        <v>456</v>
      </c>
      <c r="F59" s="215" t="n">
        <v>347034.062928479</v>
      </c>
      <c r="J59" s="163" t="s">
        <v>323</v>
      </c>
      <c r="K59" s="216" t="n">
        <f aca="false">VLOOKUP(J59,$E$2:$F$214,2,FALSE())</f>
        <v>256238.371778118</v>
      </c>
      <c r="N59" s="216" t="n">
        <v>256238.371778118</v>
      </c>
    </row>
    <row r="60" customFormat="false" ht="15.75" hidden="false" customHeight="false" outlineLevel="0" collapsed="false">
      <c r="A60" s="163" t="s">
        <v>263</v>
      </c>
      <c r="B60" s="214" t="n">
        <f aca="false">VLOOKUP(A60,$E$2:$F$266,2,FALSE())</f>
        <v>113199.581158203</v>
      </c>
      <c r="E60" s="0" t="s">
        <v>319</v>
      </c>
      <c r="F60" s="215" t="n">
        <v>424524.722037047</v>
      </c>
      <c r="J60" s="163" t="s">
        <v>263</v>
      </c>
      <c r="K60" s="216" t="n">
        <f aca="false">VLOOKUP(J60,$E$2:$F$214,2,FALSE())</f>
        <v>113199.581158203</v>
      </c>
      <c r="N60" s="216" t="n">
        <v>113199.581158203</v>
      </c>
    </row>
    <row r="61" customFormat="false" ht="15.75" hidden="false" customHeight="false" outlineLevel="0" collapsed="false">
      <c r="A61" s="163" t="s">
        <v>324</v>
      </c>
      <c r="B61" s="214" t="n">
        <f aca="false">N61</f>
        <v>3446</v>
      </c>
      <c r="E61" s="0" t="s">
        <v>457</v>
      </c>
      <c r="F61" s="215" t="n">
        <v>4152.14593998458</v>
      </c>
      <c r="J61" s="163" t="s">
        <v>324</v>
      </c>
      <c r="K61" s="216" t="n">
        <v>3446</v>
      </c>
      <c r="N61" s="216" t="n">
        <v>3446</v>
      </c>
    </row>
    <row r="62" customFormat="false" ht="15.75" hidden="false" customHeight="false" outlineLevel="0" collapsed="false">
      <c r="A62" s="163" t="s">
        <v>264</v>
      </c>
      <c r="B62" s="214" t="n">
        <f aca="false">VLOOKUP(A62,$E$2:$F$266,2,FALSE())</f>
        <v>37093.5658540437</v>
      </c>
      <c r="E62" s="0" t="s">
        <v>458</v>
      </c>
      <c r="F62" s="215" t="n">
        <v>688.881481481481</v>
      </c>
      <c r="J62" s="163" t="s">
        <v>264</v>
      </c>
      <c r="K62" s="216" t="n">
        <f aca="false">VLOOKUP(J62,$E$2:$F$214,2,FALSE())</f>
        <v>37093.5658540437</v>
      </c>
      <c r="N62" s="216" t="n">
        <v>37093.5658540437</v>
      </c>
    </row>
    <row r="63" customFormat="false" ht="15.75" hidden="false" customHeight="false" outlineLevel="0" collapsed="false">
      <c r="A63" s="163" t="s">
        <v>217</v>
      </c>
      <c r="B63" s="214" t="n">
        <f aca="false">F105</f>
        <v>406863.396487342</v>
      </c>
      <c r="E63" s="0" t="s">
        <v>247</v>
      </c>
      <c r="F63" s="215" t="n">
        <v>124282.245638568</v>
      </c>
      <c r="J63" s="163" t="s">
        <v>217</v>
      </c>
      <c r="K63" s="216" t="n">
        <f aca="false">O105</f>
        <v>0</v>
      </c>
      <c r="N63" s="216" t="n">
        <v>2404.88874921907</v>
      </c>
    </row>
    <row r="64" customFormat="false" ht="15.75" hidden="false" customHeight="false" outlineLevel="0" collapsed="false">
      <c r="A64" s="163" t="s">
        <v>283</v>
      </c>
      <c r="B64" s="214" t="n">
        <f aca="false">VLOOKUP(A64,$E$2:$F$266,2,FALSE())</f>
        <v>222722.738925641</v>
      </c>
      <c r="E64" s="0" t="s">
        <v>459</v>
      </c>
      <c r="F64" s="215" t="n">
        <v>15808304.4879481</v>
      </c>
      <c r="J64" s="163" t="s">
        <v>283</v>
      </c>
      <c r="K64" s="216" t="n">
        <f aca="false">VLOOKUP(J64,$E$2:$F$214,2,FALSE())</f>
        <v>222722.738925641</v>
      </c>
      <c r="N64" s="216" t="n">
        <v>222722.738925641</v>
      </c>
    </row>
    <row r="65" customFormat="false" ht="15.75" hidden="false" customHeight="false" outlineLevel="0" collapsed="false">
      <c r="A65" s="163" t="s">
        <v>325</v>
      </c>
      <c r="B65" s="214" t="n">
        <f aca="false">VLOOKUP(A65,$E$2:$F$266,2,FALSE())</f>
        <v>33255.1814689382</v>
      </c>
      <c r="E65" s="0" t="s">
        <v>460</v>
      </c>
      <c r="F65" s="215" t="n">
        <v>32017179.839273</v>
      </c>
      <c r="J65" s="163" t="s">
        <v>325</v>
      </c>
      <c r="K65" s="216" t="n">
        <f aca="false">VLOOKUP(J65,$E$2:$F$214,2,FALSE())</f>
        <v>33255.1814689382</v>
      </c>
      <c r="N65" s="216" t="n">
        <v>33255.1814689382</v>
      </c>
    </row>
    <row r="66" customFormat="false" ht="15.75" hidden="false" customHeight="false" outlineLevel="0" collapsed="false">
      <c r="A66" s="163" t="s">
        <v>218</v>
      </c>
      <c r="B66" s="214" t="n">
        <f aca="false">VLOOKUP(A66,$E$2:$F$266,2,FALSE())</f>
        <v>3909891.53385808</v>
      </c>
      <c r="E66" s="0" t="s">
        <v>461</v>
      </c>
      <c r="F66" s="215" t="n">
        <v>22260810.7718751</v>
      </c>
      <c r="J66" s="163" t="s">
        <v>218</v>
      </c>
      <c r="K66" s="216" t="n">
        <f aca="false">VLOOKUP(J66,$E$2:$F$214,2,FALSE())</f>
        <v>3909891.53385808</v>
      </c>
      <c r="N66" s="216" t="n">
        <v>3909891.53385808</v>
      </c>
    </row>
    <row r="67" customFormat="false" ht="15.75" hidden="false" customHeight="false" outlineLevel="0" collapsed="false">
      <c r="A67" s="163" t="s">
        <v>219</v>
      </c>
      <c r="B67" s="214" t="n">
        <f aca="false">VLOOKUP(A67,$E$2:$F$266,2,FALSE())</f>
        <v>1396300.09819097</v>
      </c>
      <c r="E67" s="0" t="s">
        <v>462</v>
      </c>
      <c r="F67" s="215" t="n">
        <v>22233362.9197284</v>
      </c>
      <c r="J67" s="163" t="s">
        <v>219</v>
      </c>
      <c r="K67" s="216" t="n">
        <f aca="false">VLOOKUP(J67,$E$2:$F$214,2,FALSE())</f>
        <v>1396300.09819097</v>
      </c>
      <c r="N67" s="216" t="n">
        <v>1396300.09819097</v>
      </c>
    </row>
    <row r="68" customFormat="false" ht="15.75" hidden="false" customHeight="false" outlineLevel="0" collapsed="false">
      <c r="A68" s="163" t="s">
        <v>302</v>
      </c>
      <c r="B68" s="214" t="n">
        <f aca="false">VLOOKUP(A68,$E$2:$F$266,2,FALSE())</f>
        <v>279641.257615385</v>
      </c>
      <c r="E68" s="0" t="s">
        <v>261</v>
      </c>
      <c r="F68" s="215" t="n">
        <v>124676.0747</v>
      </c>
      <c r="J68" s="163" t="s">
        <v>302</v>
      </c>
      <c r="K68" s="216" t="n">
        <f aca="false">VLOOKUP(J68,$E$2:$F$214,2,FALSE())</f>
        <v>279641.257615385</v>
      </c>
      <c r="N68" s="216" t="n">
        <v>279641.257615385</v>
      </c>
    </row>
    <row r="69" customFormat="false" ht="15.75" hidden="false" customHeight="false" outlineLevel="0" collapsed="false">
      <c r="A69" s="163" t="s">
        <v>326</v>
      </c>
      <c r="B69" s="214" t="n">
        <f aca="false">VLOOKUP(A69,$E$2:$F$266,2,FALSE())</f>
        <v>609157.459747205</v>
      </c>
      <c r="E69" s="0" t="s">
        <v>463</v>
      </c>
      <c r="F69" s="215" t="n">
        <v>389059.911003566</v>
      </c>
      <c r="J69" s="163" t="s">
        <v>326</v>
      </c>
      <c r="K69" s="216" t="n">
        <f aca="false">VLOOKUP(J69,$E$2:$F$214,2,FALSE())</f>
        <v>609157.459747205</v>
      </c>
      <c r="N69" s="216" t="n">
        <v>609157.459747205</v>
      </c>
    </row>
    <row r="70" customFormat="false" ht="15.75" hidden="false" customHeight="false" outlineLevel="0" collapsed="false">
      <c r="A70" s="163" t="s">
        <v>327</v>
      </c>
      <c r="B70" s="214" t="n">
        <f aca="false">VLOOKUP(A70,$E$2:$F$266,2,FALSE())</f>
        <v>7431.25741092713</v>
      </c>
      <c r="E70" s="0" t="s">
        <v>262</v>
      </c>
      <c r="F70" s="215" t="n">
        <v>35364.96</v>
      </c>
      <c r="J70" s="163" t="s">
        <v>327</v>
      </c>
      <c r="K70" s="216" t="n">
        <f aca="false">VLOOKUP(J70,$E$2:$F$214,2,FALSE())</f>
        <v>7431.25741092713</v>
      </c>
      <c r="N70" s="216" t="n">
        <v>7431.25741092713</v>
      </c>
    </row>
    <row r="71" customFormat="false" ht="15.75" hidden="false" customHeight="false" outlineLevel="0" collapsed="false">
      <c r="A71" s="163" t="s">
        <v>303</v>
      </c>
      <c r="B71" s="214" t="n">
        <f aca="false">VLOOKUP(A71,$E$2:$F$266,2,FALSE())</f>
        <v>540379.921261681</v>
      </c>
      <c r="E71" s="0" t="s">
        <v>464</v>
      </c>
      <c r="F71" s="215" t="n">
        <v>12765.7776770622</v>
      </c>
      <c r="J71" s="163" t="s">
        <v>303</v>
      </c>
      <c r="K71" s="216" t="n">
        <f aca="false">VLOOKUP(J71,$E$2:$F$214,2,FALSE())</f>
        <v>540379.921261681</v>
      </c>
      <c r="N71" s="216" t="n">
        <v>540379.921261681</v>
      </c>
    </row>
    <row r="72" customFormat="false" ht="15.75" hidden="false" customHeight="false" outlineLevel="0" collapsed="false">
      <c r="A72" s="163" t="s">
        <v>328</v>
      </c>
      <c r="B72" s="214" t="n">
        <f aca="false">VLOOKUP(A72,$E$2:$F$266,2,FALSE())</f>
        <v>2380825.07724359</v>
      </c>
      <c r="E72" s="0" t="s">
        <v>465</v>
      </c>
      <c r="F72" s="215" t="n">
        <v>0</v>
      </c>
      <c r="J72" s="163" t="s">
        <v>328</v>
      </c>
      <c r="K72" s="216" t="n">
        <f aca="false">VLOOKUP(J72,$E$2:$F$214,2,FALSE())</f>
        <v>2380825.07724359</v>
      </c>
      <c r="N72" s="216" t="n">
        <v>2380825.07724359</v>
      </c>
    </row>
    <row r="73" customFormat="false" ht="15.75" hidden="false" customHeight="false" outlineLevel="0" collapsed="false">
      <c r="A73" s="163" t="s">
        <v>248</v>
      </c>
      <c r="B73" s="214" t="n">
        <f aca="false">VLOOKUP(A73,$E$2:$F$266,2,FALSE())</f>
        <v>22014.3970897689</v>
      </c>
      <c r="E73" s="0" t="s">
        <v>281</v>
      </c>
      <c r="F73" s="215" t="n">
        <v>43130.41982935</v>
      </c>
      <c r="J73" s="163" t="s">
        <v>248</v>
      </c>
      <c r="K73" s="216" t="n">
        <f aca="false">VLOOKUP(J73,$E$2:$F$214,2,FALSE())</f>
        <v>22014.3970897689</v>
      </c>
      <c r="N73" s="216" t="n">
        <v>22014.3970897689</v>
      </c>
    </row>
    <row r="74" customFormat="false" ht="15.75" hidden="false" customHeight="false" outlineLevel="0" collapsed="false">
      <c r="A74" s="163" t="s">
        <v>220</v>
      </c>
      <c r="B74" s="214" t="n">
        <f aca="false">VLOOKUP(A74,$E$2:$F$266,2,FALSE())</f>
        <v>4027597.52355058</v>
      </c>
      <c r="E74" s="0" t="s">
        <v>466</v>
      </c>
      <c r="F74" s="215" t="n">
        <v>4858.88584077236</v>
      </c>
      <c r="J74" s="163" t="s">
        <v>220</v>
      </c>
      <c r="K74" s="216" t="n">
        <f aca="false">VLOOKUP(J74,$E$2:$F$214,2,FALSE())</f>
        <v>4027597.52355058</v>
      </c>
      <c r="N74" s="216" t="n">
        <v>4027597.52355058</v>
      </c>
    </row>
    <row r="75" customFormat="false" ht="15.75" hidden="false" customHeight="false" outlineLevel="0" collapsed="false">
      <c r="A75" s="163" t="s">
        <v>329</v>
      </c>
      <c r="B75" s="214" t="n">
        <f aca="false">N75</f>
        <v>4890</v>
      </c>
      <c r="E75" s="0" t="s">
        <v>193</v>
      </c>
      <c r="F75" s="215" t="n">
        <v>149740.297952986</v>
      </c>
      <c r="J75" s="163" t="s">
        <v>329</v>
      </c>
      <c r="K75" s="216" t="n">
        <v>4890</v>
      </c>
      <c r="N75" s="216" t="n">
        <v>4890</v>
      </c>
    </row>
    <row r="76" customFormat="false" ht="15.75" hidden="false" customHeight="false" outlineLevel="0" collapsed="false">
      <c r="A76" s="163" t="s">
        <v>304</v>
      </c>
      <c r="B76" s="214" t="n">
        <f aca="false">VLOOKUP(A76,$E$2:$F$266,2,FALSE())</f>
        <v>53352.2895774648</v>
      </c>
      <c r="E76" s="0" t="s">
        <v>467</v>
      </c>
      <c r="F76" s="215" t="n">
        <v>16485444.160371</v>
      </c>
      <c r="J76" s="163" t="s">
        <v>304</v>
      </c>
      <c r="K76" s="216" t="n">
        <f aca="false">VLOOKUP(J76,$E$2:$F$214,2,FALSE())</f>
        <v>53352.2895774648</v>
      </c>
      <c r="N76" s="216" t="n">
        <v>53352.2895774648</v>
      </c>
    </row>
    <row r="77" customFormat="false" ht="15.75" hidden="false" customHeight="false" outlineLevel="0" collapsed="false">
      <c r="A77" s="163" t="s">
        <v>284</v>
      </c>
      <c r="B77" s="214" t="n">
        <f aca="false">VLOOKUP(A77,$E$2:$F$266,2,FALSE())</f>
        <v>291480.274648826</v>
      </c>
      <c r="E77" s="0" t="s">
        <v>468</v>
      </c>
      <c r="F77" s="215" t="n">
        <v>29291828.9577688</v>
      </c>
      <c r="J77" s="163" t="s">
        <v>284</v>
      </c>
      <c r="K77" s="216" t="n">
        <f aca="false">VLOOKUP(J77,$E$2:$F$214,2,FALSE())</f>
        <v>291480.274648826</v>
      </c>
      <c r="N77" s="216" t="n">
        <v>291480.274648826</v>
      </c>
    </row>
    <row r="78" customFormat="false" ht="15.75" hidden="false" customHeight="false" outlineLevel="0" collapsed="false">
      <c r="A78" s="163" t="s">
        <v>196</v>
      </c>
      <c r="B78" s="214" t="n">
        <f aca="false">VLOOKUP(A78,$E$2:$F$266,2,FALSE())</f>
        <v>120339.557905932</v>
      </c>
      <c r="E78" s="0" t="s">
        <v>469</v>
      </c>
      <c r="F78" s="215" t="n">
        <v>2451180.14450547</v>
      </c>
      <c r="J78" s="163" t="s">
        <v>196</v>
      </c>
      <c r="K78" s="216" t="n">
        <f aca="false">VLOOKUP(J78,$E$2:$F$214,2,FALSE())</f>
        <v>120339.557905932</v>
      </c>
      <c r="N78" s="216" t="n">
        <v>120339.557905932</v>
      </c>
    </row>
    <row r="79" customFormat="false" ht="15.75" hidden="false" customHeight="false" outlineLevel="0" collapsed="false">
      <c r="A79" s="163" t="s">
        <v>221</v>
      </c>
      <c r="B79" s="214" t="n">
        <f aca="false">F128</f>
        <v>1875388.2094068</v>
      </c>
      <c r="E79" s="0" t="s">
        <v>470</v>
      </c>
      <c r="F79" s="215" t="n">
        <v>6131674.44142164</v>
      </c>
      <c r="J79" s="163" t="s">
        <v>221</v>
      </c>
      <c r="K79" s="216" t="n">
        <f aca="false">O128</f>
        <v>0</v>
      </c>
      <c r="N79" s="216" t="n">
        <v>222722.738925641</v>
      </c>
    </row>
    <row r="80" customFormat="false" ht="15.75" hidden="false" customHeight="false" outlineLevel="0" collapsed="false">
      <c r="A80" s="163" t="s">
        <v>305</v>
      </c>
      <c r="B80" s="214" t="n">
        <f aca="false">VLOOKUP(A80,$E$2:$F$266,2,FALSE())</f>
        <v>160227.273053334</v>
      </c>
      <c r="E80" s="0" t="s">
        <v>471</v>
      </c>
      <c r="F80" s="215" t="n">
        <v>19497115.5884436</v>
      </c>
      <c r="J80" s="163" t="s">
        <v>305</v>
      </c>
      <c r="K80" s="216" t="n">
        <f aca="false">VLOOKUP(J80,$E$2:$F$214,2,FALSE())</f>
        <v>160227.273053334</v>
      </c>
      <c r="N80" s="216" t="n">
        <v>11000</v>
      </c>
    </row>
    <row r="81" customFormat="false" ht="15.75" hidden="false" customHeight="false" outlineLevel="0" collapsed="false">
      <c r="A81" s="208" t="s">
        <v>285</v>
      </c>
      <c r="B81" s="214" t="n">
        <f aca="false">F131</f>
        <v>17478.2596592625</v>
      </c>
      <c r="E81" s="0" t="s">
        <v>472</v>
      </c>
      <c r="F81" s="215" t="n">
        <v>4052.93716976536</v>
      </c>
      <c r="J81" s="208" t="s">
        <v>285</v>
      </c>
      <c r="K81" s="216" t="n">
        <f aca="false">O131</f>
        <v>0</v>
      </c>
      <c r="N81" s="216" t="n">
        <v>43823204.6644939</v>
      </c>
    </row>
    <row r="82" customFormat="false" ht="15.75" hidden="false" customHeight="false" outlineLevel="0" collapsed="false">
      <c r="A82" s="2" t="s">
        <v>222</v>
      </c>
      <c r="B82" s="214" t="n">
        <f aca="false">F132</f>
        <v>16502.9331213379</v>
      </c>
      <c r="E82" s="0" t="s">
        <v>216</v>
      </c>
      <c r="F82" s="215" t="n">
        <v>5968.12590927126</v>
      </c>
      <c r="J82" s="2" t="s">
        <v>222</v>
      </c>
      <c r="K82" s="216" t="n">
        <f aca="false">O132</f>
        <v>0</v>
      </c>
      <c r="N82" s="216" t="n">
        <v>1117411.94266172</v>
      </c>
    </row>
    <row r="83" customFormat="false" ht="15.75" hidden="false" customHeight="false" outlineLevel="0" collapsed="false">
      <c r="A83" s="163" t="s">
        <v>286</v>
      </c>
      <c r="B83" s="214" t="n">
        <f aca="false">VLOOKUP(A83,$E$2:$F$266,2,FALSE())</f>
        <v>43684.2544323609</v>
      </c>
      <c r="E83" s="0" t="s">
        <v>320</v>
      </c>
      <c r="F83" s="215" t="n">
        <v>298696.961297656</v>
      </c>
      <c r="J83" s="163" t="s">
        <v>286</v>
      </c>
      <c r="K83" s="216" t="n">
        <f aca="false">VLOOKUP(J83,$E$2:$F$214,2,FALSE())</f>
        <v>43684.2544323609</v>
      </c>
      <c r="N83" s="216" t="n">
        <v>43684.2544323609</v>
      </c>
    </row>
    <row r="84" customFormat="false" ht="15.75" hidden="false" customHeight="false" outlineLevel="0" collapsed="false">
      <c r="A84" s="163" t="s">
        <v>306</v>
      </c>
      <c r="B84" s="214" t="n">
        <f aca="false">20078620357/1000000</f>
        <v>20078.620357</v>
      </c>
      <c r="E84" s="0" t="s">
        <v>473</v>
      </c>
      <c r="F84" s="215" t="n">
        <v>1652895.51869774</v>
      </c>
      <c r="J84" s="163" t="s">
        <v>306</v>
      </c>
      <c r="K84" s="216" t="n">
        <f aca="false">VLOOKUP(J84,$E$2:$F$214,2,FALSE())</f>
        <v>0</v>
      </c>
      <c r="N84" s="216" t="n">
        <v>0</v>
      </c>
    </row>
    <row r="85" customFormat="false" ht="15.75" hidden="false" customHeight="false" outlineLevel="0" collapsed="false">
      <c r="A85" s="163" t="s">
        <v>330</v>
      </c>
      <c r="B85" s="214" t="n">
        <f aca="false">8239379403/1000000</f>
        <v>8239.379403</v>
      </c>
      <c r="E85" s="0" t="s">
        <v>321</v>
      </c>
      <c r="F85" s="215" t="n">
        <v>3160442.62246508</v>
      </c>
      <c r="J85" s="163" t="s">
        <v>330</v>
      </c>
      <c r="K85" s="216" t="n">
        <f aca="false">VLOOKUP(J85,$E$2:$F$214,2,FALSE())</f>
        <v>0</v>
      </c>
      <c r="N85" s="216" t="n">
        <v>0</v>
      </c>
    </row>
    <row r="86" customFormat="false" ht="15.75" hidden="false" customHeight="false" outlineLevel="0" collapsed="false">
      <c r="A86" s="163" t="s">
        <v>287</v>
      </c>
      <c r="B86" s="214" t="n">
        <f aca="false">VLOOKUP(A86,$E$2:$F$266,2,FALSE())</f>
        <v>84869.2155133648</v>
      </c>
      <c r="E86" s="0" t="s">
        <v>474</v>
      </c>
      <c r="F86" s="215" t="n">
        <v>6323.71635505009</v>
      </c>
      <c r="J86" s="163" t="s">
        <v>287</v>
      </c>
      <c r="K86" s="216" t="n">
        <f aca="false">VLOOKUP(J86,$E$2:$F$214,2,FALSE())</f>
        <v>84869.2155133648</v>
      </c>
      <c r="N86" s="216" t="n">
        <v>84869.2155133648</v>
      </c>
    </row>
    <row r="87" customFormat="false" ht="15.75" hidden="false" customHeight="false" outlineLevel="0" collapsed="false">
      <c r="A87" s="163" t="s">
        <v>331</v>
      </c>
      <c r="B87" s="214" t="n">
        <f aca="false">VLOOKUP(A87,$E$2:$F$266,2,FALSE())</f>
        <v>93279.8518634062</v>
      </c>
      <c r="E87" s="0" t="s">
        <v>194</v>
      </c>
      <c r="F87" s="215" t="n">
        <v>20895.6844256752</v>
      </c>
      <c r="J87" s="163" t="s">
        <v>331</v>
      </c>
      <c r="K87" s="216" t="n">
        <f aca="false">VLOOKUP(J87,$E$2:$F$214,2,FALSE())</f>
        <v>93279.8518634062</v>
      </c>
      <c r="N87" s="216" t="n">
        <v>93279.8518634062</v>
      </c>
    </row>
    <row r="88" customFormat="false" ht="15.75" hidden="false" customHeight="false" outlineLevel="0" collapsed="false">
      <c r="A88" s="163" t="s">
        <v>223</v>
      </c>
      <c r="B88" s="214" t="n">
        <f aca="false">F149</f>
        <v>49467.2589233244</v>
      </c>
      <c r="E88" s="0" t="s">
        <v>475</v>
      </c>
      <c r="F88" s="215" t="n">
        <v>2404.88874921907</v>
      </c>
      <c r="J88" s="163" t="s">
        <v>223</v>
      </c>
      <c r="K88" s="216" t="n">
        <f aca="false">O149</f>
        <v>0</v>
      </c>
      <c r="N88" s="216" t="n">
        <v>540379.921261681</v>
      </c>
    </row>
    <row r="89" customFormat="false" ht="15.75" hidden="false" customHeight="false" outlineLevel="0" collapsed="false">
      <c r="A89" s="163" t="s">
        <v>288</v>
      </c>
      <c r="B89" s="214" t="n">
        <f aca="false">F182</f>
        <v>16951.6822454202</v>
      </c>
      <c r="E89" s="0" t="s">
        <v>282</v>
      </c>
      <c r="F89" s="215" t="n">
        <v>34189.4235449955</v>
      </c>
      <c r="J89" s="163" t="s">
        <v>288</v>
      </c>
      <c r="K89" s="216" t="n">
        <f aca="false">O182</f>
        <v>0</v>
      </c>
      <c r="N89" s="216" t="n">
        <v>7941312.38146447</v>
      </c>
    </row>
    <row r="90" customFormat="false" ht="15.75" hidden="false" customHeight="false" outlineLevel="0" collapsed="false">
      <c r="A90" s="163" t="s">
        <v>224</v>
      </c>
      <c r="B90" s="214" t="n">
        <f aca="false">VLOOKUP(A90,$E$2:$F$266,2,FALSE())</f>
        <v>422227.005428688</v>
      </c>
      <c r="E90" s="0" t="s">
        <v>322</v>
      </c>
      <c r="F90" s="215" t="n">
        <v>4685592.57780469</v>
      </c>
      <c r="J90" s="163" t="s">
        <v>224</v>
      </c>
      <c r="K90" s="216" t="n">
        <f aca="false">VLOOKUP(J90,$E$2:$F$214,2,FALSE())</f>
        <v>422227.005428688</v>
      </c>
      <c r="N90" s="216" t="n">
        <v>422227.005428688</v>
      </c>
    </row>
    <row r="91" customFormat="false" ht="15.75" hidden="false" customHeight="false" outlineLevel="0" collapsed="false">
      <c r="A91" s="163" t="s">
        <v>225</v>
      </c>
      <c r="B91" s="214" t="n">
        <f aca="false">VLOOKUP(A91,$E$2:$F$266,2,FALSE())</f>
        <v>7061.60826725451</v>
      </c>
      <c r="E91" s="0" t="s">
        <v>195</v>
      </c>
      <c r="F91" s="215" t="n">
        <v>82308.1103864641</v>
      </c>
      <c r="J91" s="163" t="s">
        <v>225</v>
      </c>
      <c r="K91" s="216" t="n">
        <f aca="false">VLOOKUP(J91,$E$2:$F$214,2,FALSE())</f>
        <v>7061.60826725451</v>
      </c>
      <c r="N91" s="216" t="n">
        <v>7061.60826725451</v>
      </c>
    </row>
    <row r="92" customFormat="false" ht="15.75" hidden="false" customHeight="false" outlineLevel="0" collapsed="false">
      <c r="A92" s="163" t="s">
        <v>197</v>
      </c>
      <c r="B92" s="214" t="n">
        <f aca="false">VLOOKUP(A92,$E$2:$F$266,2,FALSE())</f>
        <v>26794.7472398805</v>
      </c>
      <c r="E92" s="0" t="s">
        <v>476</v>
      </c>
      <c r="F92" s="215" t="n">
        <v>0</v>
      </c>
      <c r="J92" s="163" t="s">
        <v>197</v>
      </c>
      <c r="K92" s="216" t="n">
        <f aca="false">VLOOKUP(J92,$E$2:$F$214,2,FALSE())</f>
        <v>26794.7472398805</v>
      </c>
      <c r="N92" s="216" t="n">
        <v>26794.7472398805</v>
      </c>
    </row>
    <row r="93" customFormat="false" ht="15.75" hidden="false" customHeight="false" outlineLevel="0" collapsed="false">
      <c r="A93" s="163" t="s">
        <v>332</v>
      </c>
      <c r="B93" s="214" t="n">
        <f aca="false">VLOOKUP(A93,$E$2:$F$266,2,FALSE())</f>
        <v>24971.5745024475</v>
      </c>
      <c r="E93" s="0" t="s">
        <v>323</v>
      </c>
      <c r="F93" s="215" t="n">
        <v>256238.371778118</v>
      </c>
      <c r="J93" s="163" t="s">
        <v>332</v>
      </c>
      <c r="K93" s="216" t="n">
        <f aca="false">VLOOKUP(J93,$E$2:$F$214,2,FALSE())</f>
        <v>24971.5745024475</v>
      </c>
      <c r="N93" s="216" t="n">
        <v>24971.5745024475</v>
      </c>
    </row>
    <row r="94" customFormat="false" ht="15.75" hidden="false" customHeight="false" outlineLevel="0" collapsed="false">
      <c r="A94" s="163" t="s">
        <v>198</v>
      </c>
      <c r="B94" s="214" t="n">
        <f aca="false">VLOOKUP(A94,$E$2:$F$266,2,FALSE())</f>
        <v>14937.86178617</v>
      </c>
      <c r="E94" s="0" t="s">
        <v>477</v>
      </c>
      <c r="F94" s="215" t="n">
        <v>3326.54397439193</v>
      </c>
      <c r="J94" s="163" t="s">
        <v>198</v>
      </c>
      <c r="K94" s="216" t="n">
        <f aca="false">VLOOKUP(J94,$E$2:$F$214,2,FALSE())</f>
        <v>14937.86178617</v>
      </c>
      <c r="N94" s="216" t="n">
        <v>14937.86178617</v>
      </c>
    </row>
    <row r="95" customFormat="false" ht="15.75" hidden="false" customHeight="false" outlineLevel="0" collapsed="false">
      <c r="A95" s="163" t="s">
        <v>265</v>
      </c>
      <c r="B95" s="214" t="n">
        <f aca="false">VLOOKUP(A95,$E$2:$F$266,2,FALSE())</f>
        <v>1856365.61616594</v>
      </c>
      <c r="E95" s="0" t="s">
        <v>478</v>
      </c>
      <c r="F95" s="215" t="n">
        <v>1371.91851851852</v>
      </c>
      <c r="J95" s="163" t="s">
        <v>265</v>
      </c>
      <c r="K95" s="216" t="n">
        <f aca="false">VLOOKUP(J95,$E$2:$F$214,2,FALSE())</f>
        <v>1856365.61616594</v>
      </c>
      <c r="N95" s="216" t="n">
        <v>1856365.61616594</v>
      </c>
    </row>
    <row r="96" customFormat="false" ht="15.75" hidden="false" customHeight="false" outlineLevel="0" collapsed="false">
      <c r="A96" s="163" t="s">
        <v>289</v>
      </c>
      <c r="B96" s="214" t="n">
        <f aca="false">VLOOKUP(A96,$E$2:$F$266,2,FALSE())</f>
        <v>18200.3408536517</v>
      </c>
      <c r="E96" s="0" t="s">
        <v>479</v>
      </c>
      <c r="F96" s="215" t="n">
        <v>6910</v>
      </c>
      <c r="J96" s="163" t="s">
        <v>289</v>
      </c>
      <c r="K96" s="216" t="n">
        <f aca="false">VLOOKUP(J96,$E$2:$F$214,2,FALSE())</f>
        <v>18200.3408536517</v>
      </c>
      <c r="N96" s="216" t="n">
        <v>18200.3408536517</v>
      </c>
    </row>
    <row r="97" customFormat="false" ht="15.75" hidden="false" customHeight="false" outlineLevel="0" collapsed="false">
      <c r="A97" s="163" t="s">
        <v>226</v>
      </c>
      <c r="B97" s="214" t="n">
        <f aca="false">VLOOKUP(A97,$E$2:$F$266,2,FALSE())</f>
        <v>23794.5400245132</v>
      </c>
      <c r="E97" s="0" t="s">
        <v>263</v>
      </c>
      <c r="F97" s="215" t="n">
        <v>113199.581158203</v>
      </c>
      <c r="J97" s="163" t="s">
        <v>226</v>
      </c>
      <c r="K97" s="216" t="n">
        <f aca="false">VLOOKUP(J97,$E$2:$F$214,2,FALSE())</f>
        <v>23794.5400245132</v>
      </c>
      <c r="N97" s="216" t="n">
        <v>23794.5400245132</v>
      </c>
    </row>
    <row r="98" customFormat="false" ht="15.75" hidden="false" customHeight="false" outlineLevel="0" collapsed="false">
      <c r="A98" s="163" t="s">
        <v>290</v>
      </c>
      <c r="B98" s="214" t="n">
        <f aca="false">VLOOKUP(A98,$E$2:$F$266,2,FALSE())</f>
        <v>8270.01667086774</v>
      </c>
      <c r="E98" s="0" t="s">
        <v>480</v>
      </c>
      <c r="F98" s="215" t="n">
        <v>25008.6782934084</v>
      </c>
      <c r="J98" s="163" t="s">
        <v>290</v>
      </c>
      <c r="K98" s="216" t="n">
        <f aca="false">VLOOKUP(J98,$E$2:$F$214,2,FALSE())</f>
        <v>8270.01667086774</v>
      </c>
      <c r="N98" s="216" t="n">
        <v>8270.01667086774</v>
      </c>
    </row>
    <row r="99" customFormat="false" ht="15.75" hidden="false" customHeight="false" outlineLevel="0" collapsed="false">
      <c r="A99" s="163" t="s">
        <v>249</v>
      </c>
      <c r="B99" s="214" t="n">
        <f aca="false">N99</f>
        <v>16199</v>
      </c>
      <c r="E99" s="0" t="s">
        <v>481</v>
      </c>
      <c r="F99" s="215" t="n">
        <v>2218.39380454798</v>
      </c>
      <c r="J99" s="163" t="s">
        <v>249</v>
      </c>
      <c r="K99" s="216" t="n">
        <v>16199</v>
      </c>
      <c r="N99" s="216" t="n">
        <v>16199</v>
      </c>
    </row>
    <row r="100" customFormat="false" ht="15.75" hidden="false" customHeight="false" outlineLevel="0" collapsed="false">
      <c r="A100" s="163" t="s">
        <v>199</v>
      </c>
      <c r="B100" s="214" t="n">
        <f aca="false">VLOOKUP(A100,$E$2:$F$266,2,FALSE())</f>
        <v>160610.994054734</v>
      </c>
      <c r="E100" s="0" t="s">
        <v>482</v>
      </c>
      <c r="F100" s="215" t="n">
        <v>24662.7098321343</v>
      </c>
      <c r="J100" s="163" t="s">
        <v>199</v>
      </c>
      <c r="K100" s="216" t="n">
        <f aca="false">VLOOKUP(J100,$E$2:$F$214,2,FALSE())</f>
        <v>160610.994054734</v>
      </c>
      <c r="N100" s="216" t="n">
        <v>160610.994054734</v>
      </c>
    </row>
    <row r="101" customFormat="false" ht="15.75" hidden="false" customHeight="false" outlineLevel="0" collapsed="false">
      <c r="A101" s="163" t="s">
        <v>200</v>
      </c>
      <c r="B101" s="214" t="n">
        <f aca="false">VLOOKUP(A101,$E$2:$F$266,2,FALSE())</f>
        <v>22745.3413050622</v>
      </c>
      <c r="E101" s="0" t="s">
        <v>483</v>
      </c>
      <c r="F101" s="215" t="n">
        <v>25224.1549907946</v>
      </c>
      <c r="J101" s="163" t="s">
        <v>200</v>
      </c>
      <c r="K101" s="216" t="n">
        <f aca="false">VLOOKUP(J101,$E$2:$F$214,2,FALSE())</f>
        <v>22745.3413050622</v>
      </c>
      <c r="N101" s="216" t="n">
        <v>22745.3413050622</v>
      </c>
    </row>
    <row r="102" customFormat="false" ht="15.75" hidden="false" customHeight="false" outlineLevel="0" collapsed="false">
      <c r="A102" s="163" t="s">
        <v>201</v>
      </c>
      <c r="B102" s="214" t="n">
        <f aca="false">VLOOKUP(A102,$E$2:$F$266,2,FALSE())</f>
        <v>13372.354511716</v>
      </c>
      <c r="E102" s="0" t="s">
        <v>484</v>
      </c>
      <c r="F102" s="215" t="n">
        <v>1145111.34926257</v>
      </c>
      <c r="J102" s="163" t="s">
        <v>201</v>
      </c>
      <c r="K102" s="216" t="n">
        <f aca="false">VLOOKUP(J102,$E$2:$F$214,2,FALSE())</f>
        <v>13372.354511716</v>
      </c>
      <c r="N102" s="216" t="n">
        <v>13372.354511716</v>
      </c>
    </row>
    <row r="103" customFormat="false" ht="15.75" hidden="false" customHeight="false" outlineLevel="0" collapsed="false">
      <c r="A103" s="163" t="s">
        <v>227</v>
      </c>
      <c r="B103" s="214" t="n">
        <f aca="false">VLOOKUP(A103,$E$2:$F$266,2,FALSE())</f>
        <v>42914.2682867109</v>
      </c>
      <c r="E103" s="0" t="s">
        <v>485</v>
      </c>
      <c r="F103" s="215" t="n">
        <v>71321142.7082511</v>
      </c>
      <c r="J103" s="163" t="s">
        <v>333</v>
      </c>
      <c r="K103" s="216" t="n">
        <f aca="false">VLOOKUP(J103,$E$2:$F$214,2,FALSE())</f>
        <v>1214927.69857266</v>
      </c>
      <c r="N103" s="216" t="n">
        <v>42914.2682867109</v>
      </c>
    </row>
    <row r="104" customFormat="false" ht="15.75" hidden="false" customHeight="false" outlineLevel="0" collapsed="false">
      <c r="A104" s="163" t="s">
        <v>333</v>
      </c>
      <c r="B104" s="214" t="n">
        <f aca="false">VLOOKUP(A104,$E$2:$F$266,2,FALSE())</f>
        <v>1214927.69857266</v>
      </c>
      <c r="E104" s="0" t="s">
        <v>264</v>
      </c>
      <c r="F104" s="215" t="n">
        <v>37093.5658540437</v>
      </c>
      <c r="J104" s="163" t="s">
        <v>239</v>
      </c>
      <c r="K104" s="216" t="n">
        <f aca="false">VLOOKUP(J104,$E$2:$F$214,2,FALSE())</f>
        <v>260172.385097616</v>
      </c>
      <c r="N104" s="216" t="n">
        <v>1214927.69857266</v>
      </c>
    </row>
    <row r="105" customFormat="false" ht="15.75" hidden="false" customHeight="false" outlineLevel="0" collapsed="false">
      <c r="A105" s="163" t="s">
        <v>239</v>
      </c>
      <c r="B105" s="214" t="n">
        <f aca="false">VLOOKUP(A105,$E$2:$F$266,2,FALSE())</f>
        <v>260172.385097616</v>
      </c>
      <c r="E105" s="0" t="s">
        <v>486</v>
      </c>
      <c r="F105" s="215" t="n">
        <v>406863.396487342</v>
      </c>
      <c r="J105" s="163" t="s">
        <v>266</v>
      </c>
      <c r="K105" s="216" t="n">
        <f aca="false">VLOOKUP(J105,$E$2:$F$214,2,FALSE())</f>
        <v>19693.9829675926</v>
      </c>
      <c r="N105" s="216" t="n">
        <v>260172.385097616</v>
      </c>
    </row>
    <row r="106" customFormat="false" ht="15.75" hidden="false" customHeight="false" outlineLevel="0" collapsed="false">
      <c r="A106" s="163" t="s">
        <v>266</v>
      </c>
      <c r="B106" s="214" t="n">
        <f aca="false">VLOOKUP(A106,$E$2:$F$266,2,FALSE())</f>
        <v>19693.9829675926</v>
      </c>
      <c r="E106" s="0" t="s">
        <v>283</v>
      </c>
      <c r="F106" s="215" t="n">
        <v>222722.738925641</v>
      </c>
      <c r="J106" s="163" t="s">
        <v>202</v>
      </c>
      <c r="K106" s="216" t="n">
        <f aca="false">VLOOKUP(J106,$E$2:$F$214,2,FALSE())</f>
        <v>19876.1284857857</v>
      </c>
      <c r="N106" s="216" t="n">
        <v>19693.9829675926</v>
      </c>
    </row>
    <row r="107" customFormat="false" ht="15.75" hidden="false" customHeight="false" outlineLevel="0" collapsed="false">
      <c r="A107" s="163" t="s">
        <v>202</v>
      </c>
      <c r="B107" s="214" t="n">
        <f aca="false">VLOOKUP(A107,$E$2:$F$266,2,FALSE())</f>
        <v>19876.1284857857</v>
      </c>
      <c r="E107" s="0" t="s">
        <v>487</v>
      </c>
      <c r="F107" s="215" t="n">
        <v>40930410.3715334</v>
      </c>
      <c r="J107" s="163" t="s">
        <v>203</v>
      </c>
      <c r="K107" s="216" t="n">
        <f aca="false">VLOOKUP(J107,$E$2:$F$214,2,FALSE())</f>
        <v>252261.880141151</v>
      </c>
      <c r="N107" s="216" t="n">
        <v>19876.1284857857</v>
      </c>
    </row>
    <row r="108" customFormat="false" ht="15.75" hidden="false" customHeight="false" outlineLevel="0" collapsed="false">
      <c r="A108" s="163" t="s">
        <v>203</v>
      </c>
      <c r="B108" s="214" t="n">
        <f aca="false">VLOOKUP(A108,$E$2:$F$266,2,FALSE())</f>
        <v>252261.880141151</v>
      </c>
      <c r="E108" s="0" t="s">
        <v>325</v>
      </c>
      <c r="F108" s="215" t="n">
        <v>33255.1814689382</v>
      </c>
      <c r="J108" s="163" t="s">
        <v>334</v>
      </c>
      <c r="K108" s="216" t="n">
        <f aca="false">VLOOKUP(J108,$E$2:$F$214,2,FALSE())</f>
        <v>483592.648313301</v>
      </c>
      <c r="N108" s="216" t="n">
        <v>252261.880141151</v>
      </c>
    </row>
    <row r="109" customFormat="false" ht="15.75" hidden="false" customHeight="false" outlineLevel="0" collapsed="false">
      <c r="A109" s="163" t="s">
        <v>334</v>
      </c>
      <c r="B109" s="214" t="n">
        <f aca="false">VLOOKUP(A109,$E$2:$F$266,2,FALSE())</f>
        <v>483592.648313301</v>
      </c>
      <c r="E109" s="0" t="s">
        <v>488</v>
      </c>
      <c r="F109" s="215" t="n">
        <v>43823204.6644939</v>
      </c>
      <c r="J109" s="163" t="s">
        <v>307</v>
      </c>
      <c r="K109" s="216" t="n">
        <f aca="false">VLOOKUP(J109,$E$2:$F$214,2,FALSE())</f>
        <v>107137.198769386</v>
      </c>
      <c r="N109" s="216" t="n">
        <v>483592.648313301</v>
      </c>
    </row>
    <row r="110" customFormat="false" ht="15.75" hidden="false" customHeight="false" outlineLevel="0" collapsed="false">
      <c r="A110" s="163" t="s">
        <v>307</v>
      </c>
      <c r="B110" s="214" t="n">
        <f aca="false">VLOOKUP(A110,$E$2:$F$266,2,FALSE())</f>
        <v>107137.198769386</v>
      </c>
      <c r="E110" s="0" t="s">
        <v>489</v>
      </c>
      <c r="F110" s="215" t="n">
        <v>1117411.94266172</v>
      </c>
      <c r="J110" s="163" t="s">
        <v>228</v>
      </c>
      <c r="K110" s="216" t="n">
        <f aca="false">VLOOKUP(J110,$E$2:$F$214,2,FALSE())</f>
        <v>371570.000121266</v>
      </c>
      <c r="N110" s="216" t="n">
        <v>107137.198769386</v>
      </c>
    </row>
    <row r="111" customFormat="false" ht="15.75" hidden="false" customHeight="false" outlineLevel="0" collapsed="false">
      <c r="A111" s="163" t="s">
        <v>228</v>
      </c>
      <c r="B111" s="214" t="n">
        <f aca="false">VLOOKUP(A111,$E$2:$F$266,2,FALSE())</f>
        <v>371570.000121266</v>
      </c>
      <c r="E111" s="0" t="s">
        <v>490</v>
      </c>
      <c r="F111" s="215" t="n">
        <v>1775382.35029879</v>
      </c>
      <c r="J111" s="163" t="s">
        <v>267</v>
      </c>
      <c r="K111" s="216" t="n">
        <f aca="false">VLOOKUP(J111,$E$2:$F$214,2,FALSE())</f>
        <v>86523.9591317472</v>
      </c>
      <c r="N111" s="216" t="n">
        <v>371570.000121266</v>
      </c>
    </row>
    <row r="112" customFormat="false" ht="15.75" hidden="false" customHeight="false" outlineLevel="0" collapsed="false">
      <c r="A112" s="163" t="s">
        <v>267</v>
      </c>
      <c r="B112" s="214" t="n">
        <f aca="false">VLOOKUP(A112,$E$2:$F$266,2,FALSE())</f>
        <v>86523.9591317472</v>
      </c>
      <c r="E112" s="0" t="s">
        <v>491</v>
      </c>
      <c r="F112" s="215" t="n">
        <v>2892794.2929605</v>
      </c>
      <c r="J112" s="163" t="s">
        <v>229</v>
      </c>
      <c r="K112" s="216" t="n">
        <f aca="false">VLOOKUP(J112,$E$2:$F$214,2,FALSE())</f>
        <v>31800.4282655246</v>
      </c>
      <c r="N112" s="216" t="n">
        <v>86523.9591317472</v>
      </c>
    </row>
    <row r="113" customFormat="false" ht="15.75" hidden="false" customHeight="false" outlineLevel="0" collapsed="false">
      <c r="A113" s="163" t="s">
        <v>229</v>
      </c>
      <c r="B113" s="214" t="n">
        <f aca="false">VLOOKUP(A113,$E$2:$F$266,2,FALSE())</f>
        <v>31800.4282655246</v>
      </c>
      <c r="E113" s="0" t="s">
        <v>218</v>
      </c>
      <c r="F113" s="215" t="n">
        <v>3909891.53385808</v>
      </c>
      <c r="J113" s="163" t="s">
        <v>268</v>
      </c>
      <c r="K113" s="216" t="n">
        <f aca="false">VLOOKUP(J113,$E$2:$F$214,2,FALSE())</f>
        <v>44458.1183974445</v>
      </c>
      <c r="N113" s="216" t="n">
        <v>31800.4282655246</v>
      </c>
    </row>
    <row r="114" customFormat="false" ht="15.75" hidden="false" customHeight="false" outlineLevel="0" collapsed="false">
      <c r="A114" s="163" t="s">
        <v>268</v>
      </c>
      <c r="B114" s="214" t="n">
        <f aca="false">VLOOKUP(A114,$E$2:$F$266,2,FALSE())</f>
        <v>44458.1183974445</v>
      </c>
      <c r="E114" s="0" t="s">
        <v>219</v>
      </c>
      <c r="F114" s="215" t="n">
        <v>1396300.09819097</v>
      </c>
      <c r="J114" s="163" t="s">
        <v>269</v>
      </c>
      <c r="K114" s="216" t="n">
        <f aca="false">VLOOKUP(J114,$E$2:$F$214,2,FALSE())</f>
        <v>289221.969062941</v>
      </c>
      <c r="N114" s="216" t="n">
        <v>44458.1183974445</v>
      </c>
    </row>
    <row r="115" customFormat="false" ht="15.75" hidden="false" customHeight="false" outlineLevel="0" collapsed="false">
      <c r="A115" s="163" t="s">
        <v>269</v>
      </c>
      <c r="B115" s="214" t="n">
        <f aca="false">VLOOKUP(A115,$E$2:$F$266,2,FALSE())</f>
        <v>289221.969062941</v>
      </c>
      <c r="E115" s="0" t="s">
        <v>492</v>
      </c>
      <c r="F115" s="215" t="n">
        <v>475252.089215416</v>
      </c>
      <c r="J115" s="163" t="s">
        <v>230</v>
      </c>
      <c r="K115" s="216" t="n">
        <f aca="false">VLOOKUP(J115,$E$2:$F$214,2,FALSE())</f>
        <v>461617.509782355</v>
      </c>
      <c r="N115" s="216" t="n">
        <v>289221.969062941</v>
      </c>
    </row>
    <row r="116" customFormat="false" ht="15.75" hidden="false" customHeight="false" outlineLevel="0" collapsed="false">
      <c r="A116" s="163" t="s">
        <v>230</v>
      </c>
      <c r="B116" s="214" t="n">
        <f aca="false">VLOOKUP(A116,$E$2:$F$266,2,FALSE())</f>
        <v>461617.509782355</v>
      </c>
      <c r="E116" s="0" t="s">
        <v>302</v>
      </c>
      <c r="F116" s="215" t="n">
        <v>279641.257615385</v>
      </c>
      <c r="J116" s="163" t="s">
        <v>291</v>
      </c>
      <c r="K116" s="216" t="n">
        <f aca="false">VLOOKUP(J116,$E$2:$F$214,2,FALSE())</f>
        <v>917767.106146762</v>
      </c>
      <c r="N116" s="216" t="n">
        <v>461617.509782355</v>
      </c>
    </row>
    <row r="117" customFormat="false" ht="15.75" hidden="false" customHeight="false" outlineLevel="0" collapsed="false">
      <c r="A117" s="163" t="s">
        <v>291</v>
      </c>
      <c r="B117" s="214" t="n">
        <f aca="false">VLOOKUP(A117,$E$2:$F$266,2,FALSE())</f>
        <v>917767.106146762</v>
      </c>
      <c r="E117" s="0" t="s">
        <v>326</v>
      </c>
      <c r="F117" s="215" t="n">
        <v>609157.459747205</v>
      </c>
      <c r="J117" s="163" t="s">
        <v>335</v>
      </c>
      <c r="K117" s="216" t="n">
        <f aca="false">VLOOKUP(J117,$E$2:$F$214,2,FALSE())</f>
        <v>313271.185085102</v>
      </c>
      <c r="N117" s="216" t="n">
        <v>917767.106146762</v>
      </c>
    </row>
    <row r="118" customFormat="false" ht="15.75" hidden="false" customHeight="false" outlineLevel="0" collapsed="false">
      <c r="A118" s="163" t="s">
        <v>335</v>
      </c>
      <c r="B118" s="214" t="n">
        <f aca="false">VLOOKUP(A118,$E$2:$F$266,2,FALSE())</f>
        <v>313271.185085102</v>
      </c>
      <c r="E118" s="0" t="s">
        <v>327</v>
      </c>
      <c r="F118" s="215" t="n">
        <v>7431.25741092713</v>
      </c>
      <c r="J118" s="163" t="s">
        <v>308</v>
      </c>
      <c r="K118" s="216" t="n">
        <f aca="false">VLOOKUP(J118,$E$2:$F$214,2,FALSE())</f>
        <v>219162.637362637</v>
      </c>
      <c r="N118" s="216" t="n">
        <v>313271.185085102</v>
      </c>
    </row>
    <row r="119" customFormat="false" ht="15.75" hidden="false" customHeight="false" outlineLevel="0" collapsed="false">
      <c r="A119" s="163" t="s">
        <v>308</v>
      </c>
      <c r="B119" s="214" t="n">
        <f aca="false">VLOOKUP(A119,$E$2:$F$266,2,FALSE())</f>
        <v>219162.637362637</v>
      </c>
      <c r="E119" s="0" t="s">
        <v>303</v>
      </c>
      <c r="F119" s="215" t="n">
        <v>540379.921261681</v>
      </c>
      <c r="J119" s="163" t="s">
        <v>309</v>
      </c>
      <c r="K119" s="216" t="n">
        <v>11000</v>
      </c>
      <c r="N119" s="216" t="n">
        <v>219162.637362637</v>
      </c>
    </row>
    <row r="120" customFormat="false" ht="15.75" hidden="false" customHeight="false" outlineLevel="0" collapsed="false">
      <c r="A120" s="163" t="s">
        <v>309</v>
      </c>
      <c r="B120" s="214" t="n">
        <f aca="false">N120</f>
        <v>11000</v>
      </c>
      <c r="E120" s="0" t="s">
        <v>328</v>
      </c>
      <c r="F120" s="215" t="n">
        <v>2380825.07724359</v>
      </c>
      <c r="J120" s="163" t="s">
        <v>292</v>
      </c>
      <c r="K120" s="216" t="n">
        <f aca="false">VLOOKUP(J120,$E$2:$F$214,2,FALSE())</f>
        <v>382564.217988866</v>
      </c>
      <c r="N120" s="216" t="n">
        <v>11000</v>
      </c>
    </row>
    <row r="121" customFormat="false" ht="15.75" hidden="false" customHeight="false" outlineLevel="0" collapsed="false">
      <c r="A121" s="163" t="s">
        <v>292</v>
      </c>
      <c r="B121" s="214" t="n">
        <f aca="false">VLOOKUP(A121,$E$2:$F$266,2,FALSE())</f>
        <v>382564.217988866</v>
      </c>
      <c r="E121" s="0" t="s">
        <v>248</v>
      </c>
      <c r="F121" s="215" t="n">
        <v>22014.3970897689</v>
      </c>
      <c r="J121" s="163" t="s">
        <v>404</v>
      </c>
      <c r="K121" s="216" t="n">
        <f aca="false">O204</f>
        <v>0</v>
      </c>
      <c r="N121" s="216" t="n">
        <v>382564.217988866</v>
      </c>
    </row>
    <row r="122" customFormat="false" ht="15.75" hidden="false" customHeight="false" outlineLevel="0" collapsed="false">
      <c r="A122" s="163" t="s">
        <v>404</v>
      </c>
      <c r="B122" s="214" t="n">
        <f aca="false">F204</f>
        <v>2173835.80667166</v>
      </c>
      <c r="E122" s="0" t="s">
        <v>220</v>
      </c>
      <c r="F122" s="215" t="n">
        <v>4027597.52355058</v>
      </c>
      <c r="J122" s="163" t="s">
        <v>204</v>
      </c>
      <c r="K122" s="216" t="n">
        <f aca="false">VLOOKUP(J122,$E$2:$F$214,2,FALSE())</f>
        <v>14251.6422350968</v>
      </c>
      <c r="N122" s="216" t="n">
        <v>2189893.12742638</v>
      </c>
    </row>
    <row r="123" customFormat="false" ht="15.75" hidden="false" customHeight="false" outlineLevel="0" collapsed="false">
      <c r="A123" s="163" t="s">
        <v>204</v>
      </c>
      <c r="B123" s="214" t="n">
        <f aca="false">VLOOKUP(A123,$E$2:$F$266,2,FALSE())</f>
        <v>14251.6422350968</v>
      </c>
      <c r="E123" s="0" t="s">
        <v>304</v>
      </c>
      <c r="F123" s="215" t="n">
        <v>53352.2895774648</v>
      </c>
      <c r="J123" s="163" t="s">
        <v>310</v>
      </c>
      <c r="K123" s="216" t="n">
        <f aca="false">VLOOKUP(J123,$E$2:$F$214,2,FALSE())</f>
        <v>1239804.53333333</v>
      </c>
      <c r="N123" s="216" t="n">
        <v>14251.6422350968</v>
      </c>
    </row>
    <row r="124" customFormat="false" ht="15.75" hidden="false" customHeight="false" outlineLevel="0" collapsed="false">
      <c r="A124" s="163" t="s">
        <v>310</v>
      </c>
      <c r="B124" s="214" t="n">
        <f aca="false">VLOOKUP(A124,$E$2:$F$266,2,FALSE())</f>
        <v>1239804.53333333</v>
      </c>
      <c r="E124" s="0" t="s">
        <v>284</v>
      </c>
      <c r="F124" s="215" t="n">
        <v>291480.274648826</v>
      </c>
      <c r="J124" s="163" t="s">
        <v>205</v>
      </c>
      <c r="K124" s="216" t="n">
        <f aca="false">VLOOKUP(J124,$E$2:$F$214,2,FALSE())</f>
        <v>32808.0566009436</v>
      </c>
      <c r="N124" s="216" t="n">
        <v>1239804.53333333</v>
      </c>
    </row>
    <row r="125" customFormat="false" ht="15.75" hidden="false" customHeight="false" outlineLevel="0" collapsed="false">
      <c r="A125" s="163" t="s">
        <v>205</v>
      </c>
      <c r="B125" s="214" t="n">
        <f aca="false">VLOOKUP(A125,$E$2:$F$266,2,FALSE())</f>
        <v>32808.0566009436</v>
      </c>
      <c r="E125" s="0" t="s">
        <v>196</v>
      </c>
      <c r="F125" s="215" t="n">
        <v>120339.557905932</v>
      </c>
      <c r="J125" s="163" t="s">
        <v>293</v>
      </c>
      <c r="K125" s="216" t="n">
        <f aca="false">VLOOKUP(J125,$E$2:$F$267,2,FALSE())</f>
        <v>90097.7659591114</v>
      </c>
      <c r="N125" s="216" t="n">
        <v>32808.0566009436</v>
      </c>
    </row>
    <row r="126" customFormat="false" ht="15.75" hidden="false" customHeight="false" outlineLevel="0" collapsed="false">
      <c r="A126" s="163" t="s">
        <v>293</v>
      </c>
      <c r="B126" s="214" t="n">
        <f aca="false">VLOOKUP(A126,$E$2:$F$266,2,FALSE())</f>
        <v>90097.7659591114</v>
      </c>
      <c r="E126" s="0" t="s">
        <v>493</v>
      </c>
      <c r="F126" s="215" t="n">
        <v>307.862564489711</v>
      </c>
      <c r="J126" s="163" t="s">
        <v>311</v>
      </c>
      <c r="K126" s="216" t="n">
        <v>24800</v>
      </c>
      <c r="N126" s="216" t="n">
        <v>90097.7659591114</v>
      </c>
    </row>
    <row r="127" customFormat="false" ht="15.75" hidden="false" customHeight="false" outlineLevel="0" collapsed="false">
      <c r="A127" s="163" t="s">
        <v>311</v>
      </c>
      <c r="B127" s="214" t="n">
        <f aca="false">N127</f>
        <v>24800</v>
      </c>
      <c r="E127" s="0" t="s">
        <v>494</v>
      </c>
      <c r="F127" s="215" t="n">
        <v>0</v>
      </c>
      <c r="J127" s="163" t="s">
        <v>231</v>
      </c>
      <c r="K127" s="216" t="n">
        <f aca="false">VLOOKUP(J127,$E$2:$F$267,2,FALSE())</f>
        <v>547386.645891847</v>
      </c>
      <c r="N127" s="216" t="n">
        <v>24800</v>
      </c>
    </row>
    <row r="128" customFormat="false" ht="15.75" hidden="false" customHeight="false" outlineLevel="0" collapsed="false">
      <c r="A128" s="163" t="s">
        <v>231</v>
      </c>
      <c r="B128" s="214" t="n">
        <f aca="false">VLOOKUP(A128,$E$2:$F$266,2,FALSE())</f>
        <v>547386.645891847</v>
      </c>
      <c r="E128" s="0" t="s">
        <v>495</v>
      </c>
      <c r="F128" s="215" t="n">
        <v>1875388.2094068</v>
      </c>
      <c r="J128" s="163" t="s">
        <v>294</v>
      </c>
      <c r="K128" s="216" t="n">
        <f aca="false">O216</f>
        <v>0</v>
      </c>
      <c r="N128" s="216" t="n">
        <v>547386.645891847</v>
      </c>
    </row>
    <row r="129" customFormat="false" ht="15.75" hidden="false" customHeight="false" outlineLevel="0" collapsed="false">
      <c r="A129" s="163" t="s">
        <v>294</v>
      </c>
      <c r="B129" s="214" t="n">
        <f aca="false">F216</f>
        <v>140934.076532375</v>
      </c>
      <c r="E129" s="0" t="s">
        <v>496</v>
      </c>
      <c r="F129" s="215" t="n">
        <v>11197.246322588</v>
      </c>
      <c r="J129" s="163" t="s">
        <v>295</v>
      </c>
      <c r="K129" s="216" t="n">
        <f aca="false">VLOOKUP(J129,$E$2:$F$267,2,FALSE())</f>
        <v>72972.0151973859</v>
      </c>
      <c r="N129" s="216" t="n">
        <v>1214927.69857266</v>
      </c>
    </row>
    <row r="130" customFormat="false" ht="15.75" hidden="false" customHeight="false" outlineLevel="0" collapsed="false">
      <c r="A130" s="163" t="s">
        <v>295</v>
      </c>
      <c r="B130" s="214" t="n">
        <f aca="false">VLOOKUP(A130,$E$2:$F$266,2,FALSE())</f>
        <v>72972.0151973859</v>
      </c>
      <c r="E130" s="0" t="s">
        <v>305</v>
      </c>
      <c r="F130" s="215" t="n">
        <v>160227.273053334</v>
      </c>
      <c r="J130" s="163" t="s">
        <v>232</v>
      </c>
      <c r="K130" s="216" t="n">
        <f aca="false">VLOOKUP(J130,$E$2:$F$267,2,FALSE())</f>
        <v>1583.96470375061</v>
      </c>
      <c r="N130" s="216" t="n">
        <v>72972.0151973859</v>
      </c>
    </row>
    <row r="131" customFormat="false" ht="15.75" hidden="false" customHeight="false" outlineLevel="0" collapsed="false">
      <c r="A131" s="163" t="s">
        <v>232</v>
      </c>
      <c r="B131" s="214" t="n">
        <f aca="false">VLOOKUP(A131,$E$2:$F$266,2,FALSE())</f>
        <v>1583.96470375061</v>
      </c>
      <c r="E131" s="0" t="s">
        <v>497</v>
      </c>
      <c r="F131" s="215" t="n">
        <v>17478.2596592625</v>
      </c>
      <c r="J131" s="163" t="s">
        <v>206</v>
      </c>
      <c r="K131" s="216" t="n">
        <f aca="false">VLOOKUP(J131,$E$2:$F$267,2,FALSE())</f>
        <v>401144.998373585</v>
      </c>
      <c r="N131" s="216" t="n">
        <v>1583.96470375061</v>
      </c>
    </row>
    <row r="132" customFormat="false" ht="15.75" hidden="false" customHeight="false" outlineLevel="0" collapsed="false">
      <c r="A132" s="163" t="s">
        <v>206</v>
      </c>
      <c r="B132" s="214" t="n">
        <f aca="false">VLOOKUP(A132,$E$2:$F$266,2,FALSE())</f>
        <v>401144.998373585</v>
      </c>
      <c r="E132" s="0" t="s">
        <v>498</v>
      </c>
      <c r="F132" s="215" t="n">
        <v>16502.9331213379</v>
      </c>
      <c r="J132" s="163" t="s">
        <v>336</v>
      </c>
      <c r="K132" s="216" t="n">
        <f aca="false">VLOOKUP(J132,$E$2:$F$267,2,FALSE())</f>
        <v>1725671.65274219</v>
      </c>
      <c r="N132" s="216" t="e">
        <f aca="false">#N/A</f>
        <v>#N/A</v>
      </c>
    </row>
    <row r="133" customFormat="false" ht="15.75" hidden="false" customHeight="false" outlineLevel="0" collapsed="false">
      <c r="A133" s="163" t="s">
        <v>336</v>
      </c>
      <c r="B133" s="214" t="n">
        <f aca="false">VLOOKUP(A133,$E$2:$F$266,2,FALSE())</f>
        <v>1725671.65274219</v>
      </c>
      <c r="E133" s="0" t="s">
        <v>499</v>
      </c>
      <c r="F133" s="215" t="n">
        <v>29979152.2451126</v>
      </c>
      <c r="J133" s="163" t="s">
        <v>233</v>
      </c>
      <c r="K133" s="216" t="n">
        <f aca="false">VLOOKUP(J133,$E$2:$F$267,2,FALSE())</f>
        <v>98963.18550965</v>
      </c>
      <c r="N133" s="216" t="e">
        <f aca="false">#N/A</f>
        <v>#N/A</v>
      </c>
    </row>
    <row r="134" customFormat="false" ht="15.75" hidden="false" customHeight="false" outlineLevel="0" collapsed="false">
      <c r="A134" s="163" t="s">
        <v>233</v>
      </c>
      <c r="B134" s="214" t="n">
        <f aca="false">VLOOKUP(A134,$E$2:$F$266,2,FALSE())</f>
        <v>98963.18550965</v>
      </c>
      <c r="E134" s="0" t="s">
        <v>353</v>
      </c>
      <c r="F134" s="215" t="n">
        <v>7110323.25468735</v>
      </c>
      <c r="J134" s="163" t="s">
        <v>250</v>
      </c>
      <c r="K134" s="216" t="n">
        <v>11900</v>
      </c>
      <c r="N134" s="216" t="e">
        <f aca="false">#N/A</f>
        <v>#N/A</v>
      </c>
    </row>
    <row r="135" customFormat="false" ht="15.75" hidden="false" customHeight="false" outlineLevel="0" collapsed="false">
      <c r="A135" s="163" t="s">
        <v>250</v>
      </c>
      <c r="B135" s="214" t="n">
        <f aca="false">F215</f>
        <v>1797.83666595136</v>
      </c>
      <c r="E135" s="0" t="s">
        <v>500</v>
      </c>
      <c r="F135" s="215" t="n">
        <v>6168787.36259533</v>
      </c>
      <c r="J135" s="163" t="s">
        <v>251</v>
      </c>
      <c r="K135" s="216" t="n">
        <v>8100</v>
      </c>
      <c r="N135" s="216" t="n">
        <v>11900</v>
      </c>
    </row>
    <row r="136" customFormat="false" ht="15.75" hidden="false" customHeight="false" outlineLevel="0" collapsed="false">
      <c r="A136" s="163" t="s">
        <v>251</v>
      </c>
      <c r="B136" s="214" t="n">
        <f aca="false">F230</f>
        <v>1157.20740740741</v>
      </c>
      <c r="E136" s="0" t="s">
        <v>501</v>
      </c>
      <c r="F136" s="215" t="n">
        <v>6776899.04005978</v>
      </c>
      <c r="J136" s="163" t="s">
        <v>270</v>
      </c>
      <c r="K136" s="216" t="n">
        <f aca="false">VLOOKUP(J136,$E$2:$F$267,2,FALSE())</f>
        <v>4416.77511209627</v>
      </c>
      <c r="N136" s="216" t="n">
        <v>8100</v>
      </c>
    </row>
    <row r="137" customFormat="false" ht="15.75" hidden="false" customHeight="false" outlineLevel="0" collapsed="false">
      <c r="A137" s="163" t="s">
        <v>270</v>
      </c>
      <c r="B137" s="214" t="n">
        <f aca="false">VLOOKUP(A137,$E$2:$F$266,2,FALSE())</f>
        <v>4416.77511209627</v>
      </c>
      <c r="E137" s="0" t="s">
        <v>286</v>
      </c>
      <c r="F137" s="215" t="n">
        <v>43684.2544323609</v>
      </c>
      <c r="J137" s="163" t="s">
        <v>207</v>
      </c>
      <c r="K137" s="216" t="n">
        <f aca="false">O74</f>
        <v>0</v>
      </c>
      <c r="N137" s="216" t="e">
        <f aca="false">#N/A</f>
        <v>#N/A</v>
      </c>
    </row>
    <row r="138" customFormat="false" ht="15.75" hidden="false" customHeight="false" outlineLevel="0" collapsed="false">
      <c r="A138" s="163" t="s">
        <v>207</v>
      </c>
      <c r="B138" s="214" t="n">
        <f aca="false">F74</f>
        <v>4858.88584077236</v>
      </c>
      <c r="E138" s="0" t="s">
        <v>502</v>
      </c>
      <c r="F138" s="215" t="n">
        <v>1536272.72781271</v>
      </c>
      <c r="J138" s="163" t="s">
        <v>337</v>
      </c>
      <c r="K138" s="216" t="n">
        <f aca="false">VLOOKUP(J138,$E$2:$F$267,2,FALSE())</f>
        <v>603715.224265798</v>
      </c>
      <c r="N138" s="216" t="n">
        <v>32017179.839273</v>
      </c>
    </row>
    <row r="139" customFormat="false" ht="15.75" hidden="false" customHeight="false" outlineLevel="0" collapsed="false">
      <c r="A139" s="163" t="s">
        <v>337</v>
      </c>
      <c r="B139" s="214" t="n">
        <f aca="false">VLOOKUP(A139,$E$2:$F$266,2,FALSE())</f>
        <v>603715.224265798</v>
      </c>
      <c r="E139" s="0" t="s">
        <v>306</v>
      </c>
      <c r="F139" s="215" t="n">
        <v>0</v>
      </c>
      <c r="J139" s="163" t="s">
        <v>338</v>
      </c>
      <c r="K139" s="216" t="n">
        <f aca="false">VLOOKUP(J139,$E$2:$F$267,2,FALSE())</f>
        <v>936564.198048516</v>
      </c>
      <c r="N139" s="216" t="e">
        <f aca="false">#N/A</f>
        <v>#N/A</v>
      </c>
    </row>
    <row r="140" customFormat="false" ht="15.75" hidden="false" customHeight="false" outlineLevel="0" collapsed="false">
      <c r="A140" s="163" t="s">
        <v>338</v>
      </c>
      <c r="B140" s="214" t="n">
        <f aca="false">VLOOKUP(A140,$E$2:$F$266,2,FALSE())</f>
        <v>936564.198048516</v>
      </c>
      <c r="E140" s="0" t="s">
        <v>503</v>
      </c>
      <c r="F140" s="215" t="n">
        <v>2271.75945451107</v>
      </c>
      <c r="J140" s="163" t="s">
        <v>234</v>
      </c>
      <c r="K140" s="216" t="n">
        <f aca="false">761690</f>
        <v>761690</v>
      </c>
      <c r="N140" s="216" t="e">
        <f aca="false">#N/A</f>
        <v>#N/A</v>
      </c>
    </row>
    <row r="141" customFormat="false" ht="15.75" hidden="false" customHeight="false" outlineLevel="0" collapsed="false">
      <c r="A141" s="163" t="s">
        <v>234</v>
      </c>
      <c r="B141" s="214" t="n">
        <f aca="false">N141</f>
        <v>791610</v>
      </c>
      <c r="E141" s="0" t="s">
        <v>504</v>
      </c>
      <c r="F141" s="215" t="n">
        <v>4779.3009</v>
      </c>
      <c r="J141" s="163" t="s">
        <v>296</v>
      </c>
      <c r="K141" s="216" t="n">
        <f aca="false">VLOOKUP(J141,$E$2:$F$267,2,FALSE())</f>
        <v>14204.5755485536</v>
      </c>
      <c r="N141" s="216" t="n">
        <v>791610</v>
      </c>
    </row>
    <row r="142" customFormat="false" ht="15.75" hidden="false" customHeight="false" outlineLevel="0" collapsed="false">
      <c r="A142" s="163" t="s">
        <v>296</v>
      </c>
      <c r="B142" s="214" t="n">
        <f aca="false">VLOOKUP(A142,$E$2:$F$266,2,FALSE())</f>
        <v>14204.5755485536</v>
      </c>
      <c r="E142" s="0" t="s">
        <v>505</v>
      </c>
      <c r="F142" s="215" t="n">
        <v>48487.151215345</v>
      </c>
      <c r="J142" s="163" t="s">
        <v>208</v>
      </c>
      <c r="K142" s="216" t="n">
        <f aca="false">VLOOKUP(J142,$E$2:$F$267,2,FALSE())</f>
        <v>78844.4053852195</v>
      </c>
      <c r="N142" s="216" t="e">
        <f aca="false">#N/A</f>
        <v>#N/A</v>
      </c>
    </row>
    <row r="143" customFormat="false" ht="15.75" hidden="false" customHeight="false" outlineLevel="0" collapsed="false">
      <c r="A143" s="163" t="s">
        <v>208</v>
      </c>
      <c r="B143" s="214" t="n">
        <f aca="false">VLOOKUP(A143,$E$2:$F$266,2,FALSE())</f>
        <v>78844.4053852195</v>
      </c>
      <c r="E143" s="0" t="s">
        <v>330</v>
      </c>
      <c r="F143" s="215" t="n">
        <v>0</v>
      </c>
      <c r="J143" s="163" t="s">
        <v>235</v>
      </c>
      <c r="K143" s="216" t="n">
        <f aca="false">VLOOKUP(J143,$E$2:$F$267,2,FALSE())</f>
        <v>526517.658841684</v>
      </c>
      <c r="N143" s="216" t="e">
        <f aca="false">#N/A</f>
        <v>#N/A</v>
      </c>
    </row>
    <row r="144" customFormat="false" ht="15.75" hidden="false" customHeight="false" outlineLevel="0" collapsed="false">
      <c r="A144" s="163" t="s">
        <v>235</v>
      </c>
      <c r="B144" s="214" t="n">
        <f aca="false">VLOOKUP(A144,$E$2:$F$266,2,FALSE())</f>
        <v>526517.658841684</v>
      </c>
      <c r="E144" s="0" t="s">
        <v>287</v>
      </c>
      <c r="F144" s="215" t="n">
        <v>84869.2155133648</v>
      </c>
      <c r="J144" s="163" t="s">
        <v>209</v>
      </c>
      <c r="K144" s="216" t="n">
        <f aca="false">VLOOKUP(J144,$E$2:$F$267,2,FALSE())</f>
        <v>10651.180146531</v>
      </c>
      <c r="N144" s="216" t="e">
        <f aca="false">#N/A</f>
        <v>#N/A</v>
      </c>
    </row>
    <row r="145" customFormat="false" ht="15.75" hidden="false" customHeight="false" outlineLevel="0" collapsed="false">
      <c r="A145" s="163" t="s">
        <v>209</v>
      </c>
      <c r="B145" s="214" t="n">
        <f aca="false">VLOOKUP(A145,$E$2:$F$266,2,FALSE())</f>
        <v>10651.180146531</v>
      </c>
      <c r="E145" s="0" t="s">
        <v>506</v>
      </c>
      <c r="F145" s="215" t="n">
        <v>39397098.7536144</v>
      </c>
      <c r="J145" s="163" t="s">
        <v>252</v>
      </c>
      <c r="K145" s="216" t="n">
        <f aca="false">VLOOKUP(J145,$E$2:$F$267,2,FALSE())</f>
        <v>25633.5445294849</v>
      </c>
      <c r="N145" s="216" t="e">
        <f aca="false">#N/A</f>
        <v>#N/A</v>
      </c>
    </row>
    <row r="146" customFormat="false" ht="15.75" hidden="false" customHeight="false" outlineLevel="0" collapsed="false">
      <c r="A146" s="163" t="s">
        <v>252</v>
      </c>
      <c r="B146" s="214" t="n">
        <f aca="false">VLOOKUP(A146,$E$2:$F$266,2,FALSE())</f>
        <v>25633.5445294849</v>
      </c>
      <c r="E146" s="0" t="s">
        <v>507</v>
      </c>
      <c r="F146" s="215" t="n">
        <v>469282.282632522</v>
      </c>
      <c r="J146" s="163" t="s">
        <v>210</v>
      </c>
      <c r="K146" s="216" t="n">
        <f aca="false">VLOOKUP(J146,$E$2:$F$267,2,FALSE())</f>
        <v>51332.2856565422</v>
      </c>
      <c r="N146" s="216" t="e">
        <f aca="false">#N/A</f>
        <v>#N/A</v>
      </c>
    </row>
    <row r="147" customFormat="false" ht="15.75" hidden="false" customHeight="false" outlineLevel="0" collapsed="false">
      <c r="A147" s="163" t="s">
        <v>210</v>
      </c>
      <c r="B147" s="214" t="n">
        <f aca="false">VLOOKUP(A147,$E$2:$F$266,2,FALSE())</f>
        <v>51332.2856565422</v>
      </c>
      <c r="E147" s="0" t="s">
        <v>508</v>
      </c>
      <c r="F147" s="215" t="n">
        <v>7941312.38146447</v>
      </c>
      <c r="J147" s="163" t="s">
        <v>62</v>
      </c>
      <c r="K147" s="216" t="n">
        <f aca="false">O247</f>
        <v>0</v>
      </c>
      <c r="N147" s="216" t="e">
        <f aca="false">#N/A</f>
        <v>#N/A</v>
      </c>
    </row>
    <row r="148" customFormat="false" ht="15.75" hidden="false" customHeight="false" outlineLevel="0" collapsed="false">
      <c r="A148" s="163" t="s">
        <v>62</v>
      </c>
      <c r="B148" s="214" t="n">
        <f aca="false">F247</f>
        <v>1359123.76877412</v>
      </c>
      <c r="E148" s="0" t="s">
        <v>331</v>
      </c>
      <c r="F148" s="215" t="n">
        <v>93279.8518634062</v>
      </c>
      <c r="J148" s="163" t="s">
        <v>253</v>
      </c>
      <c r="K148" s="216" t="n">
        <f aca="false">VLOOKUP(J148,$E$2:$F$267,2,FALSE())</f>
        <v>1745.378</v>
      </c>
      <c r="N148" s="216" t="n">
        <v>1510802.88368415</v>
      </c>
    </row>
    <row r="149" customFormat="false" ht="15.75" hidden="false" customHeight="false" outlineLevel="0" collapsed="false">
      <c r="A149" s="163" t="s">
        <v>253</v>
      </c>
      <c r="B149" s="214" t="n">
        <f aca="false">VLOOKUP(A149,$E$2:$F$266,2,FALSE())</f>
        <v>1745.378</v>
      </c>
      <c r="E149" s="0" t="s">
        <v>509</v>
      </c>
      <c r="F149" s="215" t="n">
        <v>49467.2589233244</v>
      </c>
      <c r="J149" s="163" t="s">
        <v>211</v>
      </c>
      <c r="K149" s="216" t="n">
        <f aca="false">VLOOKUP(J149,$E$2:$F$267,2,FALSE())</f>
        <v>53911.9070861525</v>
      </c>
      <c r="N149" s="216" t="e">
        <f aca="false">#N/A</f>
        <v>#N/A</v>
      </c>
    </row>
    <row r="150" customFormat="false" ht="15.75" hidden="false" customHeight="false" outlineLevel="0" collapsed="false">
      <c r="A150" s="163" t="s">
        <v>211</v>
      </c>
      <c r="B150" s="214" t="n">
        <f aca="false">VLOOKUP(A150,$E$2:$F$266,2,FALSE())</f>
        <v>53911.9070861525</v>
      </c>
      <c r="E150" s="0" t="s">
        <v>510</v>
      </c>
      <c r="F150" s="215" t="n">
        <v>17420.5014901231</v>
      </c>
      <c r="J150" s="163" t="s">
        <v>297</v>
      </c>
      <c r="K150" s="216" t="n">
        <f aca="false">VLOOKUP(J150,$E$2:$F$267,2,FALSE())</f>
        <v>190741.262414705</v>
      </c>
      <c r="N150" s="216" t="e">
        <f aca="false">#N/A</f>
        <v>#N/A</v>
      </c>
    </row>
    <row r="151" customFormat="false" ht="15.75" hidden="false" customHeight="false" outlineLevel="0" collapsed="false">
      <c r="A151" s="163" t="s">
        <v>297</v>
      </c>
      <c r="B151" s="214" t="n">
        <f aca="false">VLOOKUP(A151,$E$2:$F$266,2,FALSE())</f>
        <v>190741.262414705</v>
      </c>
      <c r="E151" s="0" t="s">
        <v>511</v>
      </c>
      <c r="F151" s="215" t="n">
        <v>11316.4113294619</v>
      </c>
      <c r="J151" s="163" t="s">
        <v>312</v>
      </c>
      <c r="K151" s="216" t="n">
        <f aca="false">VLOOKUP(J151,$E$2:$F$267,2,FALSE())</f>
        <v>552324.846834581</v>
      </c>
      <c r="N151" s="216" t="e">
        <f aca="false">#N/A</f>
        <v>#N/A</v>
      </c>
    </row>
    <row r="152" customFormat="false" ht="15.75" hidden="false" customHeight="false" outlineLevel="0" collapsed="false">
      <c r="A152" s="163" t="s">
        <v>312</v>
      </c>
      <c r="B152" s="214" t="n">
        <f aca="false">VLOOKUP(A152,$E$2:$F$266,2,FALSE())</f>
        <v>552324.846834581</v>
      </c>
      <c r="E152" s="0" t="s">
        <v>224</v>
      </c>
      <c r="F152" s="215" t="n">
        <v>422227.005428688</v>
      </c>
      <c r="J152" s="163" t="s">
        <v>339</v>
      </c>
      <c r="K152" s="216" t="n">
        <f aca="false">VLOOKUP(J152,$E$2:$F$267,2,FALSE())</f>
        <v>3686033.04448213</v>
      </c>
      <c r="N152" s="216" t="e">
        <f aca="false">#N/A</f>
        <v>#N/A</v>
      </c>
    </row>
    <row r="153" customFormat="false" ht="15.75" hidden="false" customHeight="false" outlineLevel="0" collapsed="false">
      <c r="A153" s="163" t="s">
        <v>339</v>
      </c>
      <c r="B153" s="214" t="n">
        <f aca="false">VLOOKUP(A153,$E$2:$F$266,2,FALSE())</f>
        <v>3686033.04448213</v>
      </c>
      <c r="E153" s="0" t="s">
        <v>225</v>
      </c>
      <c r="F153" s="215" t="n">
        <v>7061.60826725451</v>
      </c>
      <c r="J153" s="163" t="s">
        <v>512</v>
      </c>
      <c r="K153" s="216" t="n">
        <f aca="false">O255</f>
        <v>0</v>
      </c>
      <c r="N153" s="216" t="e">
        <f aca="false">#N/A</f>
        <v>#N/A</v>
      </c>
    </row>
    <row r="154" customFormat="false" ht="15.75" hidden="false" customHeight="false" outlineLevel="0" collapsed="false">
      <c r="A154" s="129" t="str">
        <f aca="false">'Sovereign Ratings (Moody''s,S&amp;P)'!A153</f>
        <v>United States</v>
      </c>
      <c r="B154" s="214" t="n">
        <f aca="false">VLOOKUP(A154,$E$2:$F$266,2,FALSE())</f>
        <v>28750956.1307312</v>
      </c>
      <c r="E154" s="0" t="s">
        <v>197</v>
      </c>
      <c r="F154" s="215" t="n">
        <v>26794.7472398805</v>
      </c>
      <c r="J154" s="163" t="s">
        <v>271</v>
      </c>
      <c r="K154" s="216" t="n">
        <f aca="false">VLOOKUP(J154,$E$2:$F$267,2,FALSE())</f>
        <v>80961.5110735797</v>
      </c>
      <c r="N154" s="216" t="n">
        <v>822.154621088897</v>
      </c>
    </row>
    <row r="155" customFormat="false" ht="15.75" hidden="false" customHeight="false" outlineLevel="0" collapsed="false">
      <c r="A155" s="163" t="s">
        <v>271</v>
      </c>
      <c r="B155" s="214" t="n">
        <f aca="false">VLOOKUP(A155,$E$2:$F$266,2,FALSE())</f>
        <v>80961.5110735797</v>
      </c>
      <c r="E155" s="0" t="s">
        <v>332</v>
      </c>
      <c r="F155" s="215" t="n">
        <v>24971.5745024475</v>
      </c>
      <c r="J155" s="158" t="s">
        <v>298</v>
      </c>
      <c r="K155" s="216" t="n">
        <f aca="false">VLOOKUP(J155,$E$2:$F$267,2,FALSE())</f>
        <v>114965.293466611</v>
      </c>
      <c r="N155" s="216" t="e">
        <f aca="false">#N/A</f>
        <v>#N/A</v>
      </c>
    </row>
    <row r="156" customFormat="false" ht="15.75" hidden="false" customHeight="false" outlineLevel="0" collapsed="false">
      <c r="A156" s="158" t="s">
        <v>298</v>
      </c>
      <c r="B156" s="214" t="n">
        <f aca="false">VLOOKUP(A156,$E$2:$F$266,2,FALSE())</f>
        <v>114965.293466611</v>
      </c>
      <c r="E156" s="0" t="s">
        <v>513</v>
      </c>
      <c r="F156" s="215" t="n">
        <v>290.108489990234</v>
      </c>
      <c r="J156" s="163" t="s">
        <v>272</v>
      </c>
      <c r="K156" s="216" t="n">
        <v>98400</v>
      </c>
      <c r="N156" s="216" t="e">
        <f aca="false">#N/A</f>
        <v>#N/A</v>
      </c>
    </row>
    <row r="157" customFormat="false" ht="15.75" hidden="false" customHeight="false" outlineLevel="0" collapsed="false">
      <c r="A157" s="163" t="s">
        <v>272</v>
      </c>
      <c r="B157" s="214" t="n">
        <f aca="false">F259</f>
        <v>119802.963257783</v>
      </c>
      <c r="E157" s="0" t="s">
        <v>514</v>
      </c>
      <c r="F157" s="215" t="n">
        <v>10908.0456868808</v>
      </c>
      <c r="J157" s="163" t="s">
        <v>236</v>
      </c>
      <c r="K157" s="216" t="n">
        <v>408802</v>
      </c>
      <c r="N157" s="216" t="n">
        <v>98400</v>
      </c>
    </row>
    <row r="158" customFormat="false" ht="15.75" hidden="false" customHeight="false" outlineLevel="0" collapsed="false">
      <c r="A158" s="163" t="s">
        <v>236</v>
      </c>
      <c r="B158" s="214" t="n">
        <f aca="false">F260</f>
        <v>476388.230307175</v>
      </c>
      <c r="E158" s="0" t="s">
        <v>198</v>
      </c>
      <c r="F158" s="215" t="n">
        <v>14937.86178617</v>
      </c>
      <c r="J158" s="163" t="s">
        <v>212</v>
      </c>
      <c r="K158" s="216" t="n">
        <f aca="false">VLOOKUP(J158,$E$2:$F$267,2,FALSE())</f>
        <v>25303.1853422511</v>
      </c>
      <c r="N158" s="216" t="n">
        <v>6971.1272353123</v>
      </c>
    </row>
    <row r="159" customFormat="false" ht="15.75" hidden="false" customHeight="false" outlineLevel="0" collapsed="false">
      <c r="A159" s="163" t="s">
        <v>212</v>
      </c>
      <c r="B159" s="214" t="n">
        <f aca="false">VLOOKUP(A159,$E$2:$F$266,2,FALSE())</f>
        <v>25303.1853422511</v>
      </c>
      <c r="E159" s="0" t="s">
        <v>265</v>
      </c>
      <c r="F159" s="215" t="n">
        <v>1856365.61616594</v>
      </c>
      <c r="K159" s="216"/>
      <c r="N159" s="216" t="e">
        <f aca="false">#N/A</f>
        <v>#N/A</v>
      </c>
    </row>
    <row r="160" customFormat="false" ht="15.75" hidden="false" customHeight="false" outlineLevel="0" collapsed="false">
      <c r="B160" s="214"/>
      <c r="E160" s="0" t="s">
        <v>515</v>
      </c>
      <c r="F160" s="215" t="n">
        <v>471.425099488675</v>
      </c>
      <c r="K160" s="216"/>
      <c r="N160" s="216"/>
    </row>
    <row r="161" customFormat="false" ht="15.75" hidden="false" customHeight="false" outlineLevel="0" collapsed="false">
      <c r="B161" s="214"/>
      <c r="E161" s="0" t="s">
        <v>516</v>
      </c>
      <c r="F161" s="215" t="n">
        <v>5094721.9468523</v>
      </c>
      <c r="J161" s="217" t="s">
        <v>409</v>
      </c>
      <c r="K161" s="216" t="n">
        <f aca="false">VLOOKUP(J161,$E$2:$F$267,2,FALSE())</f>
        <v>269322.281664773</v>
      </c>
      <c r="N161" s="216"/>
    </row>
    <row r="162" customFormat="false" ht="15.75" hidden="false" customHeight="false" outlineLevel="0" collapsed="false">
      <c r="A162" s="217" t="s">
        <v>409</v>
      </c>
      <c r="B162" s="214" t="n">
        <f aca="false">VLOOKUP(A162,$E$2:$F$266,2,FALSE())</f>
        <v>269322.281664773</v>
      </c>
      <c r="E162" s="0" t="s">
        <v>517</v>
      </c>
      <c r="F162" s="215" t="n">
        <v>2203604.22742638</v>
      </c>
      <c r="J162" s="158" t="s">
        <v>518</v>
      </c>
      <c r="K162" s="216" t="n">
        <v>14010</v>
      </c>
      <c r="N162" s="216" t="n">
        <v>269322.281664773</v>
      </c>
    </row>
    <row r="163" customFormat="false" ht="15.75" hidden="false" customHeight="false" outlineLevel="0" collapsed="false">
      <c r="A163" s="158" t="s">
        <v>518</v>
      </c>
      <c r="B163" s="214" t="n">
        <f aca="false">F33</f>
        <v>15340.80859248</v>
      </c>
      <c r="E163" s="0" t="s">
        <v>519</v>
      </c>
      <c r="F163" s="215" t="n">
        <v>2189893.12742638</v>
      </c>
      <c r="J163" s="217" t="s">
        <v>520</v>
      </c>
      <c r="K163" s="216" t="n">
        <v>2038</v>
      </c>
      <c r="N163" s="216" t="n">
        <v>14010</v>
      </c>
    </row>
    <row r="164" customFormat="false" ht="15.75" hidden="false" customHeight="false" outlineLevel="0" collapsed="false">
      <c r="A164" s="217" t="s">
        <v>520</v>
      </c>
      <c r="B164" s="214" t="n">
        <f aca="false">F88</f>
        <v>2404.88874921907</v>
      </c>
      <c r="E164" s="0" t="s">
        <v>521</v>
      </c>
      <c r="F164" s="215" t="n">
        <v>38925709.3730176</v>
      </c>
      <c r="J164" s="158" t="s">
        <v>480</v>
      </c>
      <c r="K164" s="216" t="n">
        <f aca="false">VLOOKUP(J164,$E$2:$F$267,2,FALSE())</f>
        <v>25008.6782934084</v>
      </c>
      <c r="N164" s="216" t="n">
        <v>43130.41982935</v>
      </c>
    </row>
    <row r="165" customFormat="false" ht="15.75" hidden="false" customHeight="false" outlineLevel="0" collapsed="false">
      <c r="A165" s="158" t="s">
        <v>480</v>
      </c>
      <c r="B165" s="214" t="n">
        <f aca="false">VLOOKUP(A165,$E$2:$F$266,2,FALSE())</f>
        <v>25008.6782934084</v>
      </c>
      <c r="E165" s="0" t="s">
        <v>289</v>
      </c>
      <c r="F165" s="215" t="n">
        <v>18200.3408536517</v>
      </c>
      <c r="J165" s="217" t="s">
        <v>481</v>
      </c>
      <c r="K165" s="216" t="n">
        <f aca="false">VLOOKUP(J165,$E$2:$F$267,2,FALSE())</f>
        <v>2218.39380454798</v>
      </c>
      <c r="N165" s="216" t="n">
        <v>25008.6782934084</v>
      </c>
    </row>
    <row r="166" customFormat="false" ht="15.75" hidden="false" customHeight="false" outlineLevel="0" collapsed="false">
      <c r="A166" s="217" t="s">
        <v>481</v>
      </c>
      <c r="B166" s="214" t="n">
        <f aca="false">VLOOKUP(A166,$E$2:$F$266,2,FALSE())</f>
        <v>2218.39380454798</v>
      </c>
      <c r="E166" s="0" t="s">
        <v>522</v>
      </c>
      <c r="F166" s="215" t="n">
        <v>11125.7833724794</v>
      </c>
      <c r="J166" s="158" t="s">
        <v>482</v>
      </c>
      <c r="K166" s="216" t="n">
        <f aca="false">VLOOKUP(J166,$E$2:$F$267,2,FALSE())</f>
        <v>24662.7098321343</v>
      </c>
      <c r="N166" s="216" t="n">
        <v>2218.39380454798</v>
      </c>
    </row>
    <row r="167" customFormat="false" ht="15.75" hidden="false" customHeight="false" outlineLevel="0" collapsed="false">
      <c r="A167" s="158" t="s">
        <v>482</v>
      </c>
      <c r="B167" s="214" t="n">
        <f aca="false">VLOOKUP(A167,$E$2:$F$266,2,FALSE())</f>
        <v>24662.7098321343</v>
      </c>
      <c r="E167" s="0" t="s">
        <v>226</v>
      </c>
      <c r="F167" s="215" t="n">
        <v>23794.5400245132</v>
      </c>
      <c r="J167" s="217" t="s">
        <v>483</v>
      </c>
      <c r="K167" s="216" t="n">
        <f aca="false">VLOOKUP(J167,$E$2:$F$267,2,FALSE())</f>
        <v>25224.1549907946</v>
      </c>
      <c r="N167" s="216" t="n">
        <v>24662.7098321343</v>
      </c>
    </row>
    <row r="168" customFormat="false" ht="15.75" hidden="false" customHeight="false" outlineLevel="0" collapsed="false">
      <c r="A168" s="217" t="s">
        <v>483</v>
      </c>
      <c r="B168" s="214" t="n">
        <f aca="false">VLOOKUP(A168,$E$2:$F$266,2,FALSE())</f>
        <v>25224.1549907946</v>
      </c>
      <c r="E168" s="0" t="s">
        <v>290</v>
      </c>
      <c r="F168" s="215" t="n">
        <v>8270.01667086774</v>
      </c>
      <c r="J168" s="158" t="s">
        <v>523</v>
      </c>
      <c r="K168" s="216" t="n">
        <f aca="false">O115</f>
        <v>0</v>
      </c>
      <c r="N168" s="216" t="n">
        <v>25224.1549907946</v>
      </c>
    </row>
    <row r="169" customFormat="false" ht="15.75" hidden="false" customHeight="false" outlineLevel="0" collapsed="false">
      <c r="A169" s="158" t="s">
        <v>523</v>
      </c>
      <c r="B169" s="214" t="n">
        <f aca="false">F115</f>
        <v>475252.089215416</v>
      </c>
      <c r="E169" s="0" t="s">
        <v>199</v>
      </c>
      <c r="F169" s="215" t="n">
        <v>160610.994054734</v>
      </c>
      <c r="J169" s="217" t="s">
        <v>524</v>
      </c>
      <c r="K169" s="216" t="n">
        <v>28500</v>
      </c>
      <c r="N169" s="216" t="n">
        <v>256238.371778118</v>
      </c>
    </row>
    <row r="170" customFormat="false" ht="15.75" hidden="false" customHeight="false" outlineLevel="0" collapsed="false">
      <c r="A170" s="217" t="s">
        <v>524</v>
      </c>
      <c r="B170" s="214" t="n">
        <f aca="false">F127</f>
        <v>0</v>
      </c>
      <c r="E170" s="0" t="s">
        <v>200</v>
      </c>
      <c r="F170" s="215" t="n">
        <v>22745.3413050622</v>
      </c>
      <c r="J170" s="158" t="s">
        <v>504</v>
      </c>
      <c r="K170" s="216" t="n">
        <f aca="false">VLOOKUP(J170,$E$2:$F$267,2,FALSE())</f>
        <v>4779.3009</v>
      </c>
      <c r="N170" s="216" t="n">
        <v>28500</v>
      </c>
    </row>
    <row r="171" customFormat="false" ht="15.75" hidden="false" customHeight="false" outlineLevel="0" collapsed="false">
      <c r="A171" s="158" t="s">
        <v>504</v>
      </c>
      <c r="B171" s="214" t="n">
        <f aca="false">VLOOKUP(A171,$E$2:$F$266,2,FALSE())</f>
        <v>4779.3009</v>
      </c>
      <c r="E171" s="0" t="s">
        <v>525</v>
      </c>
      <c r="F171" s="215" t="n">
        <v>74068.3495238095</v>
      </c>
      <c r="J171" s="217" t="s">
        <v>505</v>
      </c>
      <c r="K171" s="216" t="n">
        <f aca="false">VLOOKUP(J171,$E$2:$F$267,2,FALSE())</f>
        <v>48487.151215345</v>
      </c>
      <c r="N171" s="216" t="n">
        <v>4779.3009</v>
      </c>
    </row>
    <row r="172" customFormat="false" ht="15.75" hidden="false" customHeight="false" outlineLevel="0" collapsed="false">
      <c r="A172" s="217" t="s">
        <v>505</v>
      </c>
      <c r="B172" s="214" t="n">
        <f aca="false">VLOOKUP(A172,$E$2:$F$266,2,FALSE())</f>
        <v>48487.151215345</v>
      </c>
      <c r="E172" s="0" t="s">
        <v>201</v>
      </c>
      <c r="F172" s="215" t="n">
        <v>13372.354511716</v>
      </c>
      <c r="J172" s="158" t="s">
        <v>510</v>
      </c>
      <c r="K172" s="216" t="n">
        <f aca="false">VLOOKUP(J172,$E$2:$F$267,2,FALSE())</f>
        <v>17420.5014901231</v>
      </c>
      <c r="N172" s="216" t="n">
        <v>48487.151215345</v>
      </c>
    </row>
    <row r="173" customFormat="false" ht="15.75" hidden="false" customHeight="false" outlineLevel="0" collapsed="false">
      <c r="A173" s="158" t="s">
        <v>510</v>
      </c>
      <c r="B173" s="214" t="n">
        <f aca="false">VLOOKUP(A173,$E$2:$F$266,2,FALSE())</f>
        <v>17420.5014901231</v>
      </c>
      <c r="E173" s="0" t="s">
        <v>526</v>
      </c>
      <c r="F173" s="215" t="n">
        <v>162.588620632234</v>
      </c>
      <c r="J173" s="217" t="s">
        <v>511</v>
      </c>
      <c r="K173" s="216" t="n">
        <f aca="false">VLOOKUP(J173,$E$2:$F$267,2,FALSE())</f>
        <v>11316.4113294619</v>
      </c>
      <c r="N173" s="216" t="n">
        <v>17420.5014901231</v>
      </c>
    </row>
    <row r="174" customFormat="false" ht="15.75" hidden="false" customHeight="false" outlineLevel="0" collapsed="false">
      <c r="A174" s="217" t="s">
        <v>511</v>
      </c>
      <c r="B174" s="214" t="n">
        <f aca="false">VLOOKUP(A174,$E$2:$F$266,2,FALSE())</f>
        <v>11316.4113294619</v>
      </c>
      <c r="E174" s="0" t="s">
        <v>227</v>
      </c>
      <c r="F174" s="215" t="n">
        <v>42914.2682867109</v>
      </c>
      <c r="J174" s="158" t="s">
        <v>525</v>
      </c>
      <c r="K174" s="216" t="n">
        <f aca="false">VLOOKUP(J174,$E$2:$F$267,2,FALSE())</f>
        <v>74068.3495238095</v>
      </c>
      <c r="N174" s="216" t="n">
        <v>11316.4113294619</v>
      </c>
    </row>
    <row r="175" customFormat="false" ht="15.75" hidden="false" customHeight="false" outlineLevel="0" collapsed="false">
      <c r="A175" s="158" t="s">
        <v>525</v>
      </c>
      <c r="B175" s="214" t="n">
        <f aca="false">VLOOKUP(A175,$E$2:$F$266,2,FALSE())</f>
        <v>74068.3495238095</v>
      </c>
      <c r="E175" s="0" t="s">
        <v>333</v>
      </c>
      <c r="F175" s="215" t="n">
        <v>1214927.69857266</v>
      </c>
      <c r="J175" s="217" t="s">
        <v>527</v>
      </c>
      <c r="K175" s="216" t="n">
        <f aca="false">VLOOKUP(J175,$E$2:$F$267,2,FALSE())</f>
        <v>6971.1272353123</v>
      </c>
      <c r="N175" s="216" t="n">
        <v>74068.3495238095</v>
      </c>
    </row>
    <row r="176" customFormat="false" ht="15.75" hidden="false" customHeight="false" outlineLevel="0" collapsed="false">
      <c r="A176" s="217" t="s">
        <v>527</v>
      </c>
      <c r="B176" s="214" t="n">
        <f aca="false">VLOOKUP(A176,$E$2:$F$266,2,FALSE())</f>
        <v>6971.1272353123</v>
      </c>
      <c r="E176" s="0" t="s">
        <v>528</v>
      </c>
      <c r="F176" s="215" t="n">
        <v>8548.91938712607</v>
      </c>
      <c r="J176" s="158" t="s">
        <v>529</v>
      </c>
      <c r="K176" s="216" t="e">
        <f aca="false">VLOOKUP(J176,$E$2:$F$267,2,FALSE())</f>
        <v>#N/A</v>
      </c>
      <c r="N176" s="216" t="n">
        <v>6971.1272353123</v>
      </c>
    </row>
    <row r="177" customFormat="false" ht="15.75" hidden="false" customHeight="false" outlineLevel="0" collapsed="false">
      <c r="A177" s="158" t="s">
        <v>529</v>
      </c>
      <c r="B177" s="214" t="n">
        <f aca="false">F220</f>
        <v>11967</v>
      </c>
      <c r="E177" s="0" t="s">
        <v>239</v>
      </c>
      <c r="F177" s="215" t="n">
        <v>260172.385097616</v>
      </c>
      <c r="J177" s="217" t="s">
        <v>530</v>
      </c>
      <c r="K177" s="216" t="n">
        <f aca="false">VLOOKUP(J177,$E$2:$F$267,2,FALSE())</f>
        <v>49672.4355131126</v>
      </c>
      <c r="N177" s="216" t="e">
        <f aca="false">#N/A</f>
        <v>#N/A</v>
      </c>
    </row>
    <row r="178" customFormat="false" ht="15.75" hidden="false" customHeight="false" outlineLevel="0" collapsed="false">
      <c r="A178" s="217" t="s">
        <v>530</v>
      </c>
      <c r="B178" s="214" t="n">
        <f aca="false">VLOOKUP(A178,$E$2:$F$266,2,FALSE())</f>
        <v>49672.4355131126</v>
      </c>
      <c r="E178" s="0" t="s">
        <v>266</v>
      </c>
      <c r="F178" s="215" t="n">
        <v>19693.9829675926</v>
      </c>
      <c r="J178" s="158" t="s">
        <v>531</v>
      </c>
      <c r="K178" s="216" t="n">
        <f aca="false">O238</f>
        <v>0</v>
      </c>
      <c r="N178" s="216" t="e">
        <f aca="false">#N/A</f>
        <v>#N/A</v>
      </c>
    </row>
    <row r="179" customFormat="false" ht="15.75" hidden="false" customHeight="false" outlineLevel="0" collapsed="false">
      <c r="A179" s="158" t="s">
        <v>531</v>
      </c>
      <c r="B179" s="214" t="n">
        <f aca="false">23622827080/1000000</f>
        <v>23622.82708</v>
      </c>
      <c r="E179" s="0" t="s">
        <v>202</v>
      </c>
      <c r="F179" s="215" t="n">
        <v>19876.1284857857</v>
      </c>
      <c r="J179" s="217" t="s">
        <v>532</v>
      </c>
      <c r="K179" s="216" t="n">
        <f aca="false">21610</f>
        <v>21610</v>
      </c>
      <c r="N179" s="216" t="n">
        <v>8980</v>
      </c>
    </row>
    <row r="180" customFormat="false" ht="15.75" hidden="false" customHeight="false" outlineLevel="0" collapsed="false">
      <c r="A180" s="217" t="s">
        <v>532</v>
      </c>
      <c r="B180" s="214" t="n">
        <f aca="false">21606160663.0318/1000000</f>
        <v>21606.1606630318</v>
      </c>
      <c r="E180" s="0" t="s">
        <v>203</v>
      </c>
      <c r="F180" s="215" t="n">
        <v>252261.880141151</v>
      </c>
      <c r="J180" s="158" t="s">
        <v>84</v>
      </c>
      <c r="K180" s="216" t="n">
        <f aca="false">VLOOKUP(J180,$E$2:$F$267,2,FALSE())</f>
        <v>41539.4115164448</v>
      </c>
      <c r="N180" s="216" t="n">
        <v>21610</v>
      </c>
    </row>
    <row r="181" customFormat="false" ht="15.75" hidden="false" customHeight="false" outlineLevel="0" collapsed="false">
      <c r="A181" s="158" t="s">
        <v>84</v>
      </c>
      <c r="B181" s="214" t="n">
        <f aca="false">VLOOKUP(A181,$E$2:$F$266,2,FALSE())</f>
        <v>41539.4115164448</v>
      </c>
      <c r="E181" s="0" t="s">
        <v>171</v>
      </c>
      <c r="F181" s="215" t="n">
        <v>31003826.557365</v>
      </c>
      <c r="N181" s="216" t="e">
        <f aca="false">#N/A</f>
        <v>#N/A</v>
      </c>
    </row>
    <row r="182" customFormat="false" ht="15.75" hidden="false" customHeight="false" outlineLevel="0" collapsed="false">
      <c r="E182" s="0" t="s">
        <v>533</v>
      </c>
      <c r="F182" s="215" t="n">
        <v>16951.6822454202</v>
      </c>
    </row>
    <row r="183" customFormat="false" ht="15.75" hidden="false" customHeight="false" outlineLevel="0" collapsed="false">
      <c r="E183" s="0" t="s">
        <v>534</v>
      </c>
      <c r="F183" s="215" t="n">
        <v>0</v>
      </c>
    </row>
    <row r="184" customFormat="false" ht="15.75" hidden="false" customHeight="false" outlineLevel="0" collapsed="false">
      <c r="E184" s="0" t="s">
        <v>334</v>
      </c>
      <c r="F184" s="215" t="n">
        <v>483592.648313301</v>
      </c>
    </row>
    <row r="185" customFormat="false" ht="15.75" hidden="false" customHeight="false" outlineLevel="0" collapsed="false">
      <c r="E185" s="0" t="s">
        <v>535</v>
      </c>
      <c r="F185" s="215" t="n">
        <v>0</v>
      </c>
    </row>
    <row r="186" customFormat="false" ht="15.75" hidden="false" customHeight="false" outlineLevel="0" collapsed="false">
      <c r="E186" s="0" t="s">
        <v>536</v>
      </c>
      <c r="F186" s="215" t="n">
        <v>67500141.7175263</v>
      </c>
    </row>
    <row r="187" customFormat="false" ht="15.75" hidden="false" customHeight="false" outlineLevel="0" collapsed="false">
      <c r="E187" s="0" t="s">
        <v>307</v>
      </c>
      <c r="F187" s="215" t="n">
        <v>107137.198769386</v>
      </c>
    </row>
    <row r="188" customFormat="false" ht="15.75" hidden="false" customHeight="false" outlineLevel="0" collapsed="false">
      <c r="E188" s="0" t="s">
        <v>537</v>
      </c>
      <c r="F188" s="215" t="n">
        <v>208127.28193164</v>
      </c>
    </row>
    <row r="189" customFormat="false" ht="15.75" hidden="false" customHeight="false" outlineLevel="0" collapsed="false">
      <c r="E189" s="0" t="s">
        <v>538</v>
      </c>
      <c r="F189" s="215" t="n">
        <v>12124.7398625303</v>
      </c>
    </row>
    <row r="190" customFormat="false" ht="15.75" hidden="false" customHeight="false" outlineLevel="0" collapsed="false">
      <c r="E190" s="0" t="s">
        <v>228</v>
      </c>
      <c r="F190" s="215" t="n">
        <v>371570.000121266</v>
      </c>
    </row>
    <row r="191" customFormat="false" ht="15.75" hidden="false" customHeight="false" outlineLevel="0" collapsed="false">
      <c r="E191" s="0" t="s">
        <v>539</v>
      </c>
      <c r="F191" s="215" t="n">
        <v>0</v>
      </c>
    </row>
    <row r="192" customFormat="false" ht="15.75" hidden="false" customHeight="false" outlineLevel="0" collapsed="false">
      <c r="E192" s="0" t="s">
        <v>267</v>
      </c>
      <c r="F192" s="215" t="n">
        <v>86523.9591317472</v>
      </c>
    </row>
    <row r="193" customFormat="false" ht="15.75" hidden="false" customHeight="false" outlineLevel="0" collapsed="false">
      <c r="E193" s="0" t="s">
        <v>229</v>
      </c>
      <c r="F193" s="215" t="n">
        <v>31800.4282655246</v>
      </c>
    </row>
    <row r="194" customFormat="false" ht="15.75" hidden="false" customHeight="false" outlineLevel="0" collapsed="false">
      <c r="E194" s="0" t="s">
        <v>268</v>
      </c>
      <c r="F194" s="215" t="n">
        <v>44458.1183974445</v>
      </c>
    </row>
    <row r="195" customFormat="false" ht="15.75" hidden="false" customHeight="false" outlineLevel="0" collapsed="false">
      <c r="E195" s="0" t="s">
        <v>269</v>
      </c>
      <c r="F195" s="215" t="n">
        <v>289221.969062941</v>
      </c>
    </row>
    <row r="196" customFormat="false" ht="15.75" hidden="false" customHeight="false" outlineLevel="0" collapsed="false">
      <c r="E196" s="0" t="s">
        <v>230</v>
      </c>
      <c r="F196" s="215" t="n">
        <v>461617.509782355</v>
      </c>
    </row>
    <row r="197" customFormat="false" ht="15.75" hidden="false" customHeight="false" outlineLevel="0" collapsed="false">
      <c r="E197" s="0" t="s">
        <v>291</v>
      </c>
      <c r="F197" s="215" t="n">
        <v>917767.106146762</v>
      </c>
    </row>
    <row r="198" customFormat="false" ht="15.75" hidden="false" customHeight="false" outlineLevel="0" collapsed="false">
      <c r="E198" s="0" t="s">
        <v>335</v>
      </c>
      <c r="F198" s="215" t="n">
        <v>313271.185085102</v>
      </c>
    </row>
    <row r="199" customFormat="false" ht="15.75" hidden="false" customHeight="false" outlineLevel="0" collapsed="false">
      <c r="E199" s="0" t="s">
        <v>540</v>
      </c>
      <c r="F199" s="215" t="n">
        <v>62787810.9519254</v>
      </c>
    </row>
    <row r="200" customFormat="false" ht="15.75" hidden="false" customHeight="false" outlineLevel="0" collapsed="false">
      <c r="E200" s="0" t="s">
        <v>541</v>
      </c>
      <c r="F200" s="215" t="n">
        <v>1510802.88368415</v>
      </c>
    </row>
    <row r="201" customFormat="false" ht="15.75" hidden="false" customHeight="false" outlineLevel="0" collapsed="false">
      <c r="E201" s="0" t="s">
        <v>542</v>
      </c>
      <c r="F201" s="215" t="n">
        <v>126029.527033705</v>
      </c>
    </row>
    <row r="202" customFormat="false" ht="15.75" hidden="false" customHeight="false" outlineLevel="0" collapsed="false">
      <c r="E202" s="0" t="s">
        <v>308</v>
      </c>
      <c r="F202" s="215" t="n">
        <v>219162.637362637</v>
      </c>
    </row>
    <row r="203" customFormat="false" ht="15.75" hidden="false" customHeight="false" outlineLevel="0" collapsed="false">
      <c r="E203" s="0" t="s">
        <v>292</v>
      </c>
      <c r="F203" s="215" t="n">
        <v>382564.217988866</v>
      </c>
    </row>
    <row r="204" customFormat="false" ht="15.75" hidden="false" customHeight="false" outlineLevel="0" collapsed="false">
      <c r="E204" s="0" t="s">
        <v>543</v>
      </c>
      <c r="F204" s="215" t="n">
        <v>2173835.80667166</v>
      </c>
    </row>
    <row r="205" customFormat="false" ht="15.75" hidden="false" customHeight="false" outlineLevel="0" collapsed="false">
      <c r="E205" s="0" t="s">
        <v>204</v>
      </c>
      <c r="F205" s="215" t="n">
        <v>14251.6422350968</v>
      </c>
    </row>
    <row r="206" customFormat="false" ht="15.75" hidden="false" customHeight="false" outlineLevel="0" collapsed="false">
      <c r="E206" s="0" t="s">
        <v>544</v>
      </c>
      <c r="F206" s="215" t="n">
        <v>1175.74978565113</v>
      </c>
    </row>
    <row r="207" customFormat="false" ht="15.75" hidden="false" customHeight="false" outlineLevel="0" collapsed="false">
      <c r="E207" s="0" t="s">
        <v>545</v>
      </c>
      <c r="F207" s="215" t="n">
        <v>0</v>
      </c>
    </row>
    <row r="208" customFormat="false" ht="15.75" hidden="false" customHeight="false" outlineLevel="0" collapsed="false">
      <c r="E208" s="0" t="s">
        <v>546</v>
      </c>
      <c r="F208" s="215" t="n">
        <v>822.154621088897</v>
      </c>
    </row>
    <row r="209" customFormat="false" ht="15.75" hidden="false" customHeight="false" outlineLevel="0" collapsed="false">
      <c r="E209" s="0" t="s">
        <v>310</v>
      </c>
      <c r="F209" s="215" t="n">
        <v>1239804.53333333</v>
      </c>
    </row>
    <row r="210" customFormat="false" ht="15.75" hidden="false" customHeight="false" outlineLevel="0" collapsed="false">
      <c r="E210" s="0" t="s">
        <v>205</v>
      </c>
      <c r="F210" s="215" t="n">
        <v>32808.0566009436</v>
      </c>
    </row>
    <row r="211" customFormat="false" ht="15.75" hidden="false" customHeight="false" outlineLevel="0" collapsed="false">
      <c r="E211" s="0" t="s">
        <v>293</v>
      </c>
      <c r="F211" s="215" t="n">
        <v>90097.7659591114</v>
      </c>
    </row>
    <row r="212" customFormat="false" ht="15.75" hidden="false" customHeight="false" outlineLevel="0" collapsed="false">
      <c r="E212" s="0" t="s">
        <v>547</v>
      </c>
      <c r="F212" s="215" t="n">
        <v>2167.23956246013</v>
      </c>
    </row>
    <row r="213" customFormat="false" ht="15.75" hidden="false" customHeight="false" outlineLevel="0" collapsed="false">
      <c r="E213" s="0" t="s">
        <v>527</v>
      </c>
      <c r="F213" s="215" t="n">
        <v>6971.1272353123</v>
      </c>
    </row>
    <row r="214" customFormat="false" ht="15.75" hidden="false" customHeight="false" outlineLevel="0" collapsed="false">
      <c r="E214" s="0" t="s">
        <v>231</v>
      </c>
      <c r="F214" s="215" t="n">
        <v>547386.645891847</v>
      </c>
    </row>
    <row r="215" customFormat="false" ht="15.75" hidden="false" customHeight="false" outlineLevel="0" collapsed="false">
      <c r="E215" s="0" t="s">
        <v>548</v>
      </c>
      <c r="F215" s="215" t="n">
        <v>1797.83666595136</v>
      </c>
    </row>
    <row r="216" customFormat="false" ht="15.75" hidden="false" customHeight="false" outlineLevel="0" collapsed="false">
      <c r="E216" s="0" t="s">
        <v>549</v>
      </c>
      <c r="F216" s="215" t="n">
        <v>140934.076532375</v>
      </c>
    </row>
    <row r="217" customFormat="false" ht="15.75" hidden="false" customHeight="false" outlineLevel="0" collapsed="false">
      <c r="E217" s="0" t="s">
        <v>295</v>
      </c>
      <c r="F217" s="215" t="n">
        <v>72972.0151973859</v>
      </c>
    </row>
    <row r="218" customFormat="false" ht="15.75" hidden="false" customHeight="false" outlineLevel="0" collapsed="false">
      <c r="E218" s="0" t="s">
        <v>550</v>
      </c>
      <c r="F218" s="215" t="n">
        <v>310642.066645912</v>
      </c>
    </row>
    <row r="219" customFormat="false" ht="15.75" hidden="false" customHeight="false" outlineLevel="0" collapsed="false">
      <c r="E219" s="0" t="s">
        <v>232</v>
      </c>
      <c r="F219" s="215" t="n">
        <v>1583.96470375061</v>
      </c>
    </row>
    <row r="220" customFormat="false" ht="15.75" hidden="false" customHeight="false" outlineLevel="0" collapsed="false">
      <c r="E220" s="0" t="s">
        <v>551</v>
      </c>
      <c r="F220" s="215" t="n">
        <v>11967</v>
      </c>
    </row>
    <row r="221" customFormat="false" ht="15.75" hidden="false" customHeight="false" outlineLevel="0" collapsed="false">
      <c r="E221" s="0" t="s">
        <v>206</v>
      </c>
      <c r="F221" s="215" t="n">
        <v>401144.998373585</v>
      </c>
    </row>
    <row r="222" customFormat="false" ht="15.75" hidden="false" customHeight="false" outlineLevel="0" collapsed="false">
      <c r="E222" s="0" t="s">
        <v>552</v>
      </c>
      <c r="F222" s="215" t="n">
        <v>4512296.63186631</v>
      </c>
    </row>
    <row r="223" customFormat="false" ht="15.75" hidden="false" customHeight="false" outlineLevel="0" collapsed="false">
      <c r="E223" s="0" t="s">
        <v>553</v>
      </c>
      <c r="F223" s="215" t="n">
        <v>4512296.63186631</v>
      </c>
    </row>
    <row r="224" customFormat="false" ht="15.75" hidden="false" customHeight="false" outlineLevel="0" collapsed="false">
      <c r="E224" s="0" t="s">
        <v>554</v>
      </c>
      <c r="F224" s="215" t="n">
        <v>0</v>
      </c>
    </row>
    <row r="225" customFormat="false" ht="15.75" hidden="false" customHeight="false" outlineLevel="0" collapsed="false">
      <c r="E225" s="0" t="s">
        <v>336</v>
      </c>
      <c r="F225" s="215" t="n">
        <v>1725671.65274219</v>
      </c>
    </row>
    <row r="226" customFormat="false" ht="15.75" hidden="false" customHeight="false" outlineLevel="0" collapsed="false">
      <c r="E226" s="0" t="s">
        <v>233</v>
      </c>
      <c r="F226" s="215" t="n">
        <v>98963.18550965</v>
      </c>
    </row>
    <row r="227" customFormat="false" ht="15.75" hidden="false" customHeight="false" outlineLevel="0" collapsed="false">
      <c r="E227" s="0" t="s">
        <v>555</v>
      </c>
      <c r="F227" s="215" t="n">
        <v>1122.38888888889</v>
      </c>
    </row>
    <row r="228" customFormat="false" ht="15.75" hidden="false" customHeight="false" outlineLevel="0" collapsed="false">
      <c r="E228" s="0" t="s">
        <v>556</v>
      </c>
      <c r="F228" s="215" t="n">
        <v>2549.06296296296</v>
      </c>
    </row>
    <row r="229" customFormat="false" ht="15.75" hidden="false" customHeight="false" outlineLevel="0" collapsed="false">
      <c r="E229" s="0" t="s">
        <v>557</v>
      </c>
      <c r="F229" s="215" t="n">
        <v>0</v>
      </c>
    </row>
    <row r="230" customFormat="false" ht="15.75" hidden="false" customHeight="false" outlineLevel="0" collapsed="false">
      <c r="E230" s="0" t="s">
        <v>558</v>
      </c>
      <c r="F230" s="215" t="n">
        <v>1157.20740740741</v>
      </c>
    </row>
    <row r="231" customFormat="false" ht="15.75" hidden="false" customHeight="false" outlineLevel="0" collapsed="false">
      <c r="E231" s="0" t="s">
        <v>559</v>
      </c>
      <c r="F231" s="215" t="n">
        <v>1979078.50399137</v>
      </c>
    </row>
    <row r="232" customFormat="false" ht="15.75" hidden="false" customHeight="false" outlineLevel="0" collapsed="false">
      <c r="E232" s="0" t="s">
        <v>560</v>
      </c>
      <c r="F232" s="215" t="n">
        <v>1827170.96647593</v>
      </c>
    </row>
    <row r="233" customFormat="false" ht="15.75" hidden="false" customHeight="false" outlineLevel="0" collapsed="false">
      <c r="E233" s="0" t="s">
        <v>561</v>
      </c>
      <c r="F233" s="215" t="n">
        <v>1979078.50399137</v>
      </c>
    </row>
    <row r="234" customFormat="false" ht="15.75" hidden="false" customHeight="false" outlineLevel="0" collapsed="false">
      <c r="E234" s="0" t="s">
        <v>530</v>
      </c>
      <c r="F234" s="215" t="n">
        <v>49672.4355131126</v>
      </c>
    </row>
    <row r="235" customFormat="false" ht="15.75" hidden="false" customHeight="false" outlineLevel="0" collapsed="false">
      <c r="E235" s="0" t="s">
        <v>270</v>
      </c>
      <c r="F235" s="215" t="n">
        <v>4416.77511209627</v>
      </c>
    </row>
    <row r="236" customFormat="false" ht="15.75" hidden="false" customHeight="false" outlineLevel="0" collapsed="false">
      <c r="E236" s="0" t="s">
        <v>337</v>
      </c>
      <c r="F236" s="215" t="n">
        <v>603715.224265798</v>
      </c>
    </row>
    <row r="237" customFormat="false" ht="15.75" hidden="false" customHeight="false" outlineLevel="0" collapsed="false">
      <c r="E237" s="0" t="s">
        <v>338</v>
      </c>
      <c r="F237" s="215" t="n">
        <v>936564.198048516</v>
      </c>
    </row>
    <row r="238" customFormat="false" ht="15.75" hidden="false" customHeight="false" outlineLevel="0" collapsed="false">
      <c r="E238" s="0" t="s">
        <v>562</v>
      </c>
      <c r="F238" s="215" t="n">
        <v>0</v>
      </c>
    </row>
    <row r="239" customFormat="false" ht="15.75" hidden="false" customHeight="false" outlineLevel="0" collapsed="false">
      <c r="E239" s="0" t="s">
        <v>296</v>
      </c>
      <c r="F239" s="215" t="n">
        <v>14204.5755485536</v>
      </c>
    </row>
    <row r="240" customFormat="false" ht="15.75" hidden="false" customHeight="false" outlineLevel="0" collapsed="false">
      <c r="E240" s="0" t="s">
        <v>208</v>
      </c>
      <c r="F240" s="215" t="n">
        <v>78844.4053852195</v>
      </c>
    </row>
    <row r="241" customFormat="false" ht="15.75" hidden="false" customHeight="false" outlineLevel="0" collapsed="false">
      <c r="E241" s="0" t="s">
        <v>235</v>
      </c>
      <c r="F241" s="215" t="n">
        <v>526517.658841684</v>
      </c>
    </row>
    <row r="242" customFormat="false" ht="15.75" hidden="false" customHeight="false" outlineLevel="0" collapsed="false">
      <c r="E242" s="0" t="s">
        <v>563</v>
      </c>
      <c r="F242" s="215" t="n">
        <v>1865.60851541321</v>
      </c>
    </row>
    <row r="243" customFormat="false" ht="15.75" hidden="false" customHeight="false" outlineLevel="0" collapsed="false">
      <c r="E243" s="0" t="s">
        <v>209</v>
      </c>
      <c r="F243" s="215" t="n">
        <v>10651.180146531</v>
      </c>
    </row>
    <row r="244" customFormat="false" ht="15.75" hidden="false" customHeight="false" outlineLevel="0" collapsed="false">
      <c r="E244" s="0" t="s">
        <v>564</v>
      </c>
      <c r="F244" s="215" t="n">
        <v>0</v>
      </c>
    </row>
    <row r="245" customFormat="false" ht="15.75" hidden="false" customHeight="false" outlineLevel="0" collapsed="false">
      <c r="E245" s="0" t="s">
        <v>252</v>
      </c>
      <c r="F245" s="215" t="n">
        <v>25633.5445294849</v>
      </c>
    </row>
    <row r="246" customFormat="false" ht="15.75" hidden="false" customHeight="false" outlineLevel="0" collapsed="false">
      <c r="E246" s="0" t="s">
        <v>210</v>
      </c>
      <c r="F246" s="215" t="n">
        <v>51332.2856565422</v>
      </c>
    </row>
    <row r="247" customFormat="false" ht="15.75" hidden="false" customHeight="false" outlineLevel="0" collapsed="false">
      <c r="E247" s="0" t="s">
        <v>565</v>
      </c>
      <c r="F247" s="215" t="n">
        <v>1359123.76877412</v>
      </c>
    </row>
    <row r="248" customFormat="false" ht="15.75" hidden="false" customHeight="false" outlineLevel="0" collapsed="false">
      <c r="E248" s="0" t="s">
        <v>405</v>
      </c>
      <c r="F248" s="215" t="n">
        <v>51387.2098722994</v>
      </c>
    </row>
    <row r="249" customFormat="false" ht="15.75" hidden="false" customHeight="false" outlineLevel="0" collapsed="false">
      <c r="E249" s="0" t="s">
        <v>253</v>
      </c>
      <c r="F249" s="215" t="n">
        <v>1745.378</v>
      </c>
    </row>
    <row r="250" customFormat="false" ht="15.75" hidden="false" customHeight="false" outlineLevel="0" collapsed="false">
      <c r="E250" s="0" t="s">
        <v>566</v>
      </c>
      <c r="F250" s="215" t="n">
        <v>0</v>
      </c>
    </row>
    <row r="251" customFormat="false" ht="15.75" hidden="false" customHeight="false" outlineLevel="0" collapsed="false">
      <c r="E251" s="0" t="s">
        <v>211</v>
      </c>
      <c r="F251" s="215" t="n">
        <v>53911.9070861525</v>
      </c>
    </row>
    <row r="252" customFormat="false" ht="15.75" hidden="false" customHeight="false" outlineLevel="0" collapsed="false">
      <c r="E252" s="0" t="s">
        <v>297</v>
      </c>
      <c r="F252" s="215" t="n">
        <v>190741.262414705</v>
      </c>
    </row>
    <row r="253" customFormat="false" ht="15.75" hidden="false" customHeight="false" outlineLevel="0" collapsed="false">
      <c r="E253" s="0" t="s">
        <v>312</v>
      </c>
      <c r="F253" s="215" t="n">
        <v>552324.846834581</v>
      </c>
    </row>
    <row r="254" customFormat="false" ht="15.75" hidden="false" customHeight="false" outlineLevel="0" collapsed="false">
      <c r="E254" s="0" t="s">
        <v>339</v>
      </c>
      <c r="F254" s="215" t="n">
        <v>3686033.04448213</v>
      </c>
    </row>
    <row r="255" customFormat="false" ht="15.75" hidden="false" customHeight="false" outlineLevel="0" collapsed="false">
      <c r="E255" s="0" t="s">
        <v>314</v>
      </c>
      <c r="F255" s="215" t="n">
        <v>28750956.1307312</v>
      </c>
    </row>
    <row r="256" customFormat="false" ht="15.75" hidden="false" customHeight="false" outlineLevel="0" collapsed="false">
      <c r="E256" s="0" t="s">
        <v>271</v>
      </c>
      <c r="F256" s="215" t="n">
        <v>80961.5110735797</v>
      </c>
    </row>
    <row r="257" customFormat="false" ht="15.75" hidden="false" customHeight="false" outlineLevel="0" collapsed="false">
      <c r="E257" s="0" t="s">
        <v>298</v>
      </c>
      <c r="F257" s="215" t="n">
        <v>114965.293466611</v>
      </c>
    </row>
    <row r="258" customFormat="false" ht="15.75" hidden="false" customHeight="false" outlineLevel="0" collapsed="false">
      <c r="E258" s="0" t="s">
        <v>567</v>
      </c>
      <c r="F258" s="215" t="n">
        <v>1117.97203422642</v>
      </c>
    </row>
    <row r="259" customFormat="false" ht="15.75" hidden="false" customHeight="false" outlineLevel="0" collapsed="false">
      <c r="E259" s="0" t="s">
        <v>568</v>
      </c>
      <c r="F259" s="215" t="n">
        <v>119802.963257783</v>
      </c>
    </row>
    <row r="260" customFormat="false" ht="15.75" hidden="false" customHeight="false" outlineLevel="0" collapsed="false">
      <c r="E260" s="0" t="s">
        <v>569</v>
      </c>
      <c r="F260" s="215" t="n">
        <v>476388.230307175</v>
      </c>
    </row>
    <row r="261" customFormat="false" ht="15.75" hidden="false" customHeight="false" outlineLevel="0" collapsed="false">
      <c r="E261" s="0" t="s">
        <v>570</v>
      </c>
      <c r="F261" s="215" t="n">
        <v>0</v>
      </c>
    </row>
    <row r="262" customFormat="false" ht="15.75" hidden="false" customHeight="false" outlineLevel="0" collapsed="false">
      <c r="E262" s="0" t="s">
        <v>571</v>
      </c>
      <c r="F262" s="215" t="n">
        <v>13711.1</v>
      </c>
    </row>
    <row r="263" customFormat="false" ht="15.75" hidden="false" customHeight="false" outlineLevel="0" collapsed="false">
      <c r="E263" s="0" t="s">
        <v>572</v>
      </c>
      <c r="F263" s="215" t="n">
        <v>110982661.180013</v>
      </c>
    </row>
    <row r="264" customFormat="false" ht="15.75" hidden="false" customHeight="false" outlineLevel="0" collapsed="false">
      <c r="E264" s="0" t="s">
        <v>573</v>
      </c>
      <c r="F264" s="215" t="n">
        <v>0</v>
      </c>
    </row>
    <row r="265" customFormat="false" ht="15.75" hidden="false" customHeight="false" outlineLevel="0" collapsed="false">
      <c r="E265" s="0" t="s">
        <v>212</v>
      </c>
      <c r="F265" s="215" t="n">
        <v>25303.1853422511</v>
      </c>
    </row>
    <row r="266" customFormat="false" ht="15.75" hidden="false" customHeight="false" outlineLevel="0" collapsed="false">
      <c r="E266" s="0" t="s">
        <v>84</v>
      </c>
      <c r="F266" s="215" t="n">
        <v>41539.4115164448</v>
      </c>
    </row>
  </sheetData>
  <hyperlinks>
    <hyperlink ref="D3" r:id="rId1" display="World Ban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0" activeCellId="0" sqref="C50"/>
    </sheetView>
  </sheetViews>
  <sheetFormatPr defaultColWidth="10.65234375" defaultRowHeight="15.75" zeroHeight="false" outlineLevelRow="0" outlineLevelCol="0"/>
  <cols>
    <col collapsed="false" customWidth="true" hidden="false" outlineLevel="0" max="1" min="1" style="0" width="27"/>
    <col collapsed="false" customWidth="true" hidden="false" outlineLevel="0" max="2" min="2" style="218" width="16"/>
    <col collapsed="false" customWidth="true" hidden="false" outlineLevel="0" max="3" min="3" style="98" width="16"/>
    <col collapsed="false" customWidth="true" hidden="false" outlineLevel="0" max="5" min="5" style="0" width="28"/>
    <col collapsed="false" customWidth="true" hidden="false" outlineLevel="0" max="7" min="6" style="98" width="10.83"/>
    <col collapsed="false" customWidth="true" hidden="false" outlineLevel="0" max="11" min="11" style="0" width="24"/>
    <col collapsed="false" customWidth="true" hidden="false" outlineLevel="0" max="15" min="15" style="0" width="21.17"/>
  </cols>
  <sheetData>
    <row r="1" customFormat="false" ht="48" hidden="false" customHeight="true" outlineLevel="0" collapsed="false">
      <c r="A1" s="148" t="s">
        <v>61</v>
      </c>
      <c r="B1" s="149" t="s">
        <v>361</v>
      </c>
      <c r="C1" s="219" t="s">
        <v>574</v>
      </c>
      <c r="E1" s="80" t="s">
        <v>61</v>
      </c>
      <c r="F1" s="54" t="s">
        <v>371</v>
      </c>
      <c r="G1" s="220" t="s">
        <v>575</v>
      </c>
      <c r="H1" s="54" t="s">
        <v>576</v>
      </c>
      <c r="K1" s="84"/>
      <c r="L1" s="84" t="s">
        <v>577</v>
      </c>
      <c r="M1" s="84" t="s">
        <v>578</v>
      </c>
      <c r="O1" s="0" t="s">
        <v>61</v>
      </c>
      <c r="P1" s="221" t="s">
        <v>575</v>
      </c>
      <c r="R1" s="222" t="s">
        <v>579</v>
      </c>
    </row>
    <row r="2" customFormat="false" ht="19.5" hidden="false" customHeight="false" outlineLevel="0" collapsed="false">
      <c r="A2" s="64" t="s">
        <v>300</v>
      </c>
      <c r="B2" s="223" t="e">
        <f aca="false">G2</f>
        <v>#N/A</v>
      </c>
      <c r="C2" s="219" t="str">
        <f aca="false">F2</f>
        <v>Aa2</v>
      </c>
      <c r="E2" s="224" t="s">
        <v>300</v>
      </c>
      <c r="F2" s="225" t="str">
        <f aca="false">VLOOKUP(E2,$K$2:$M$154,3,FALSE())</f>
        <v>Aa2</v>
      </c>
      <c r="G2" s="226" t="e">
        <f aca="false">VLOOKUP(E2,$O$2:$P$155,2,FALSE())</f>
        <v>#N/A</v>
      </c>
      <c r="H2" s="54" t="e">
        <f aca="false">VLOOKUP(E2,$Q$2:$R$161,2,FALSE())</f>
        <v>#N/A</v>
      </c>
      <c r="K2" s="227" t="s">
        <v>300</v>
      </c>
      <c r="L2" s="228" t="s">
        <v>113</v>
      </c>
      <c r="M2" s="228" t="s">
        <v>113</v>
      </c>
      <c r="N2" s="228"/>
      <c r="O2" s="9" t="s">
        <v>273</v>
      </c>
      <c r="P2" s="229" t="s">
        <v>382</v>
      </c>
      <c r="Q2" s="9" t="s">
        <v>273</v>
      </c>
      <c r="R2" s="230" t="s">
        <v>127</v>
      </c>
    </row>
    <row r="3" customFormat="false" ht="19.5" hidden="false" customHeight="false" outlineLevel="0" collapsed="false">
      <c r="A3" s="64" t="s">
        <v>273</v>
      </c>
      <c r="B3" s="223" t="str">
        <f aca="false">G3</f>
        <v>BB</v>
      </c>
      <c r="C3" s="153" t="str">
        <f aca="false">F3</f>
        <v>Ba3</v>
      </c>
      <c r="E3" s="224" t="s">
        <v>273</v>
      </c>
      <c r="F3" s="225" t="str">
        <f aca="false">VLOOKUP(E3,$K$2:$M$154,3,FALSE())</f>
        <v>Ba3</v>
      </c>
      <c r="G3" s="226" t="str">
        <f aca="false">VLOOKUP(E3,$O$2:$P$155,2,FALSE())</f>
        <v>BB</v>
      </c>
      <c r="H3" s="54" t="str">
        <f aca="false">VLOOKUP(E3,$Q$2:$R$161,2,FALSE())</f>
        <v>NR</v>
      </c>
      <c r="K3" s="227" t="s">
        <v>273</v>
      </c>
      <c r="L3" s="228" t="s">
        <v>121</v>
      </c>
      <c r="M3" s="228" t="s">
        <v>121</v>
      </c>
      <c r="N3" s="228"/>
      <c r="O3" s="9" t="s">
        <v>438</v>
      </c>
      <c r="P3" s="231" t="s">
        <v>373</v>
      </c>
      <c r="Q3" s="9" t="s">
        <v>438</v>
      </c>
      <c r="R3" s="230" t="s">
        <v>373</v>
      </c>
    </row>
    <row r="4" customFormat="false" ht="19.5" hidden="false" customHeight="false" outlineLevel="0" collapsed="false">
      <c r="A4" s="64" t="s">
        <v>315</v>
      </c>
      <c r="B4" s="223" t="str">
        <f aca="false">G4</f>
        <v>A-</v>
      </c>
      <c r="C4" s="153" t="str">
        <f aca="false">F4</f>
        <v>Baa1</v>
      </c>
      <c r="E4" s="232" t="s">
        <v>438</v>
      </c>
      <c r="F4" s="225" t="str">
        <f aca="false">VLOOKUP(E4,$K$2:$M$154,3,FALSE())</f>
        <v>Baa1</v>
      </c>
      <c r="G4" s="226" t="str">
        <f aca="false">VLOOKUP(E4,$O$2:$P$155,2,FALSE())</f>
        <v>A-</v>
      </c>
      <c r="H4" s="54" t="str">
        <f aca="false">VLOOKUP(E4,$Q$2:$R$161,2,FALSE())</f>
        <v>A-</v>
      </c>
      <c r="K4" s="227" t="s">
        <v>438</v>
      </c>
      <c r="L4" s="228" t="s">
        <v>122</v>
      </c>
      <c r="M4" s="228" t="s">
        <v>122</v>
      </c>
      <c r="N4" s="228"/>
      <c r="O4" s="9" t="s">
        <v>183</v>
      </c>
      <c r="P4" s="229" t="s">
        <v>380</v>
      </c>
      <c r="Q4" s="9" t="s">
        <v>183</v>
      </c>
      <c r="R4" s="230" t="s">
        <v>380</v>
      </c>
    </row>
    <row r="5" customFormat="false" ht="19.5" hidden="false" customHeight="false" outlineLevel="0" collapsed="false">
      <c r="A5" s="64" t="s">
        <v>183</v>
      </c>
      <c r="B5" s="223" t="str">
        <f aca="false">G5</f>
        <v>B-</v>
      </c>
      <c r="C5" s="153" t="str">
        <f aca="false">F5</f>
        <v>B3</v>
      </c>
      <c r="E5" s="224" t="s">
        <v>183</v>
      </c>
      <c r="F5" s="225" t="str">
        <f aca="false">VLOOKUP(E5,$K$2:$M$154,3,FALSE())</f>
        <v>B3</v>
      </c>
      <c r="G5" s="226" t="str">
        <f aca="false">VLOOKUP(E5,$O$2:$P$155,2,FALSE())</f>
        <v>B-</v>
      </c>
      <c r="H5" s="54" t="str">
        <f aca="false">VLOOKUP(E5,$Q$2:$R$161,2,FALSE())</f>
        <v>B-</v>
      </c>
      <c r="K5" s="227" t="s">
        <v>183</v>
      </c>
      <c r="L5" s="228" t="s">
        <v>118</v>
      </c>
      <c r="M5" s="228" t="s">
        <v>118</v>
      </c>
      <c r="N5" s="228"/>
      <c r="O5" s="9" t="s">
        <v>254</v>
      </c>
      <c r="P5" s="233" t="s">
        <v>401</v>
      </c>
      <c r="Q5" s="9" t="s">
        <v>254</v>
      </c>
      <c r="R5" s="230" t="s">
        <v>401</v>
      </c>
    </row>
    <row r="6" customFormat="false" ht="19.5" hidden="false" customHeight="false" outlineLevel="0" collapsed="false">
      <c r="A6" s="64" t="s">
        <v>254</v>
      </c>
      <c r="B6" s="223" t="str">
        <f aca="false">G6</f>
        <v>CCC+</v>
      </c>
      <c r="C6" s="153" t="str">
        <f aca="false">F6</f>
        <v>Caa1</v>
      </c>
      <c r="E6" s="224" t="s">
        <v>254</v>
      </c>
      <c r="F6" s="225" t="str">
        <f aca="false">VLOOKUP(E6,$K$2:$M$154,3,FALSE())</f>
        <v>Caa1</v>
      </c>
      <c r="G6" s="226" t="str">
        <f aca="false">VLOOKUP(E6,$O$2:$P$155,2,FALSE())</f>
        <v>CCC+</v>
      </c>
      <c r="H6" s="54" t="str">
        <f aca="false">VLOOKUP(E6,$Q$2:$R$161,2,FALSE())</f>
        <v>CCC+</v>
      </c>
      <c r="K6" s="227" t="s">
        <v>254</v>
      </c>
      <c r="L6" s="228" t="s">
        <v>133</v>
      </c>
      <c r="M6" s="228" t="s">
        <v>133</v>
      </c>
      <c r="N6" s="228"/>
      <c r="O6" s="9" t="s">
        <v>274</v>
      </c>
      <c r="P6" s="229" t="s">
        <v>383</v>
      </c>
      <c r="Q6" s="9" t="s">
        <v>274</v>
      </c>
      <c r="R6" s="230" t="s">
        <v>383</v>
      </c>
    </row>
    <row r="7" customFormat="false" ht="19.5" hidden="false" customHeight="false" outlineLevel="0" collapsed="false">
      <c r="A7" s="64" t="s">
        <v>274</v>
      </c>
      <c r="B7" s="223" t="str">
        <f aca="false">G7</f>
        <v>BB-</v>
      </c>
      <c r="C7" s="153" t="str">
        <f aca="false">F7</f>
        <v>Ba3</v>
      </c>
      <c r="E7" s="224" t="s">
        <v>274</v>
      </c>
      <c r="F7" s="225" t="str">
        <f aca="false">VLOOKUP(E7,$K$2:$M$154,3,FALSE())</f>
        <v>Ba3</v>
      </c>
      <c r="G7" s="226" t="str">
        <f aca="false">VLOOKUP(E7,$O$2:$P$155,2,FALSE())</f>
        <v>BB-</v>
      </c>
      <c r="H7" s="54" t="str">
        <f aca="false">VLOOKUP(E7,$Q$2:$R$161,2,FALSE())</f>
        <v>BB-</v>
      </c>
      <c r="K7" s="227" t="s">
        <v>274</v>
      </c>
      <c r="L7" s="228" t="s">
        <v>121</v>
      </c>
      <c r="M7" s="228" t="s">
        <v>121</v>
      </c>
      <c r="N7" s="228"/>
      <c r="O7" s="9" t="s">
        <v>240</v>
      </c>
      <c r="P7" s="229" t="s">
        <v>387</v>
      </c>
      <c r="Q7" s="9" t="s">
        <v>240</v>
      </c>
      <c r="R7" s="230" t="s">
        <v>386</v>
      </c>
    </row>
    <row r="8" customFormat="false" ht="19.5" hidden="false" customHeight="false" outlineLevel="0" collapsed="false">
      <c r="A8" s="64" t="s">
        <v>240</v>
      </c>
      <c r="B8" s="223" t="str">
        <f aca="false">G8</f>
        <v>BBB+</v>
      </c>
      <c r="C8" s="153" t="str">
        <f aca="false">F8</f>
        <v>Baa3</v>
      </c>
      <c r="E8" s="232" t="s">
        <v>240</v>
      </c>
      <c r="F8" s="225" t="str">
        <f aca="false">VLOOKUP(E8,$K$2:$M$154,3,FALSE())</f>
        <v>Baa3</v>
      </c>
      <c r="G8" s="226" t="str">
        <f aca="false">VLOOKUP(E8,$O$2:$P$155,2,FALSE())</f>
        <v>BBB+</v>
      </c>
      <c r="H8" s="54" t="str">
        <f aca="false">VLOOKUP(E8,$Q$2:$R$161,2,FALSE())</f>
        <v>BBB-</v>
      </c>
      <c r="K8" s="227" t="s">
        <v>240</v>
      </c>
      <c r="L8" s="228" t="s">
        <v>124</v>
      </c>
      <c r="M8" s="228" t="s">
        <v>124</v>
      </c>
      <c r="N8" s="228"/>
      <c r="O8" s="9" t="s">
        <v>237</v>
      </c>
      <c r="P8" s="231" t="s">
        <v>378</v>
      </c>
      <c r="Q8" s="9" t="s">
        <v>237</v>
      </c>
      <c r="R8" s="230" t="s">
        <v>378</v>
      </c>
    </row>
    <row r="9" customFormat="false" ht="19.5" hidden="false" customHeight="false" outlineLevel="0" collapsed="false">
      <c r="A9" s="64" t="s">
        <v>237</v>
      </c>
      <c r="B9" s="223" t="str">
        <f aca="false">G9</f>
        <v>AAA</v>
      </c>
      <c r="C9" s="153" t="str">
        <f aca="false">F9</f>
        <v>Aaa</v>
      </c>
      <c r="E9" s="224" t="s">
        <v>237</v>
      </c>
      <c r="F9" s="225" t="str">
        <f aca="false">VLOOKUP(E9,$K$2:$M$154,3,FALSE())</f>
        <v>Aaa</v>
      </c>
      <c r="G9" s="226" t="str">
        <f aca="false">VLOOKUP(E9,$O$2:$P$155,2,FALSE())</f>
        <v>AAA</v>
      </c>
      <c r="H9" s="54" t="str">
        <f aca="false">VLOOKUP(E9,$Q$2:$R$161,2,FALSE())</f>
        <v>AAA</v>
      </c>
      <c r="K9" s="227" t="s">
        <v>237</v>
      </c>
      <c r="L9" s="228" t="s">
        <v>115</v>
      </c>
      <c r="M9" s="228" t="s">
        <v>115</v>
      </c>
      <c r="N9" s="228"/>
      <c r="O9" s="9" t="s">
        <v>316</v>
      </c>
      <c r="P9" s="231" t="s">
        <v>377</v>
      </c>
      <c r="Q9" s="9" t="s">
        <v>316</v>
      </c>
      <c r="R9" s="230" t="s">
        <v>375</v>
      </c>
    </row>
    <row r="10" customFormat="false" ht="19.5" hidden="false" customHeight="false" outlineLevel="0" collapsed="false">
      <c r="A10" s="64" t="s">
        <v>316</v>
      </c>
      <c r="B10" s="223" t="str">
        <f aca="false">G10</f>
        <v>AA+</v>
      </c>
      <c r="C10" s="153" t="str">
        <f aca="false">F10</f>
        <v>Aa1</v>
      </c>
      <c r="E10" s="234" t="s">
        <v>316</v>
      </c>
      <c r="F10" s="225" t="str">
        <f aca="false">VLOOKUP(E10,$K$2:$M$154,3,FALSE())</f>
        <v>Aa1</v>
      </c>
      <c r="G10" s="226" t="str">
        <f aca="false">VLOOKUP(E10,$O$2:$P$155,2,FALSE())</f>
        <v>AA+</v>
      </c>
      <c r="H10" s="54" t="str">
        <f aca="false">VLOOKUP(E10,$Q$2:$R$161,2,FALSE())</f>
        <v>AA</v>
      </c>
      <c r="K10" s="235" t="s">
        <v>316</v>
      </c>
      <c r="L10" s="228" t="s">
        <v>112</v>
      </c>
      <c r="M10" s="228" t="s">
        <v>112</v>
      </c>
      <c r="N10" s="228"/>
      <c r="O10" s="9" t="s">
        <v>275</v>
      </c>
      <c r="P10" s="233" t="s">
        <v>127</v>
      </c>
      <c r="Q10" s="9" t="s">
        <v>275</v>
      </c>
      <c r="R10" s="230" t="s">
        <v>386</v>
      </c>
    </row>
    <row r="11" customFormat="false" ht="19.5" hidden="false" customHeight="false" outlineLevel="0" collapsed="false">
      <c r="A11" s="64" t="s">
        <v>275</v>
      </c>
      <c r="B11" s="223" t="str">
        <f aca="false">G11</f>
        <v>NR</v>
      </c>
      <c r="C11" s="153" t="str">
        <f aca="false">F11</f>
        <v>Baa3</v>
      </c>
      <c r="E11" s="224" t="s">
        <v>275</v>
      </c>
      <c r="F11" s="225" t="str">
        <f aca="false">VLOOKUP(E11,$K$2:$M$154,3,FALSE())</f>
        <v>Baa3</v>
      </c>
      <c r="G11" s="226" t="str">
        <f aca="false">VLOOKUP(E11,$O$2:$P$155,2,FALSE())</f>
        <v>NR</v>
      </c>
      <c r="H11" s="54" t="str">
        <f aca="false">VLOOKUP(E11,$Q$2:$R$161,2,FALSE())</f>
        <v>BBB-</v>
      </c>
      <c r="K11" s="227" t="s">
        <v>275</v>
      </c>
      <c r="L11" s="228" t="s">
        <v>124</v>
      </c>
      <c r="M11" s="228" t="s">
        <v>124</v>
      </c>
      <c r="N11" s="228"/>
      <c r="O11" s="9" t="s">
        <v>241</v>
      </c>
      <c r="P11" s="229" t="s">
        <v>383</v>
      </c>
      <c r="Q11" s="9" t="s">
        <v>241</v>
      </c>
      <c r="R11" s="230" t="s">
        <v>383</v>
      </c>
    </row>
    <row r="12" customFormat="false" ht="19.5" hidden="false" customHeight="false" outlineLevel="0" collapsed="false">
      <c r="A12" s="64" t="s">
        <v>241</v>
      </c>
      <c r="B12" s="223" t="str">
        <f aca="false">G12</f>
        <v>BB-</v>
      </c>
      <c r="C12" s="153" t="str">
        <f aca="false">F12</f>
        <v>B1</v>
      </c>
      <c r="E12" s="234" t="s">
        <v>241</v>
      </c>
      <c r="F12" s="225" t="str">
        <f aca="false">VLOOKUP(E12,$K$2:$M$154,3,FALSE())</f>
        <v>B1</v>
      </c>
      <c r="G12" s="226" t="str">
        <f aca="false">VLOOKUP(E12,$O$2:$P$155,2,FALSE())</f>
        <v>BB-</v>
      </c>
      <c r="H12" s="54" t="str">
        <f aca="false">VLOOKUP(E12,$Q$2:$R$161,2,FALSE())</f>
        <v>BB-</v>
      </c>
      <c r="K12" s="235" t="s">
        <v>241</v>
      </c>
      <c r="L12" s="228" t="s">
        <v>116</v>
      </c>
      <c r="M12" s="228" t="s">
        <v>116</v>
      </c>
      <c r="N12" s="228"/>
      <c r="O12" s="9" t="s">
        <v>301</v>
      </c>
      <c r="P12" s="229" t="s">
        <v>379</v>
      </c>
      <c r="Q12" s="9" t="s">
        <v>301</v>
      </c>
      <c r="R12" s="230" t="s">
        <v>381</v>
      </c>
    </row>
    <row r="13" customFormat="false" ht="19.5" hidden="false" customHeight="false" outlineLevel="0" collapsed="false">
      <c r="A13" s="64" t="s">
        <v>301</v>
      </c>
      <c r="B13" s="223" t="str">
        <f aca="false">G13</f>
        <v>B</v>
      </c>
      <c r="C13" s="153" t="str">
        <f aca="false">F13</f>
        <v>B2</v>
      </c>
      <c r="E13" s="224" t="s">
        <v>301</v>
      </c>
      <c r="F13" s="225" t="str">
        <f aca="false">VLOOKUP(E13,$K$2:$M$154,3,FALSE())</f>
        <v>B2</v>
      </c>
      <c r="G13" s="226" t="str">
        <f aca="false">VLOOKUP(E13,$O$2:$P$155,2,FALSE())</f>
        <v>B</v>
      </c>
      <c r="H13" s="54" t="str">
        <f aca="false">VLOOKUP(E13,$Q$2:$R$161,2,FALSE())</f>
        <v>B+</v>
      </c>
      <c r="K13" s="227" t="s">
        <v>580</v>
      </c>
      <c r="L13" s="228" t="s">
        <v>581</v>
      </c>
      <c r="M13" s="228" t="s">
        <v>581</v>
      </c>
      <c r="N13" s="228"/>
      <c r="O13" s="9" t="s">
        <v>213</v>
      </c>
      <c r="P13" s="229" t="s">
        <v>381</v>
      </c>
      <c r="Q13" s="9" t="s">
        <v>213</v>
      </c>
      <c r="R13" s="230" t="s">
        <v>381</v>
      </c>
    </row>
    <row r="14" customFormat="false" ht="19.5" hidden="false" customHeight="false" outlineLevel="0" collapsed="false">
      <c r="A14" s="64" t="s">
        <v>213</v>
      </c>
      <c r="B14" s="223" t="str">
        <f aca="false">G14</f>
        <v>B+</v>
      </c>
      <c r="C14" s="153" t="str">
        <f aca="false">F14</f>
        <v>B2</v>
      </c>
      <c r="E14" s="224" t="s">
        <v>213</v>
      </c>
      <c r="F14" s="225" t="str">
        <f aca="false">VLOOKUP(E14,$K$2:$M$154,3,FALSE())</f>
        <v>B2</v>
      </c>
      <c r="G14" s="226" t="str">
        <f aca="false">VLOOKUP(E14,$O$2:$P$155,2,FALSE())</f>
        <v>B+</v>
      </c>
      <c r="H14" s="54" t="str">
        <f aca="false">VLOOKUP(E14,$Q$2:$R$161,2,FALSE())</f>
        <v>B+</v>
      </c>
      <c r="K14" s="227" t="s">
        <v>301</v>
      </c>
      <c r="L14" s="228" t="s">
        <v>117</v>
      </c>
      <c r="M14" s="228" t="s">
        <v>117</v>
      </c>
      <c r="N14" s="228"/>
      <c r="O14" s="9" t="s">
        <v>242</v>
      </c>
      <c r="P14" s="229" t="s">
        <v>381</v>
      </c>
      <c r="Q14" s="9" t="s">
        <v>242</v>
      </c>
      <c r="R14" s="230" t="s">
        <v>381</v>
      </c>
    </row>
    <row r="15" customFormat="false" ht="19.5" hidden="false" customHeight="false" outlineLevel="0" collapsed="false">
      <c r="A15" s="64" t="s">
        <v>242</v>
      </c>
      <c r="B15" s="223" t="str">
        <f aca="false">G15</f>
        <v>B+</v>
      </c>
      <c r="C15" s="153" t="str">
        <f aca="false">F15</f>
        <v>B2</v>
      </c>
      <c r="E15" s="224" t="s">
        <v>242</v>
      </c>
      <c r="F15" s="225" t="str">
        <f aca="false">VLOOKUP(E15,$K$2:$M$154,3,FALSE())</f>
        <v>B2</v>
      </c>
      <c r="G15" s="226" t="str">
        <f aca="false">VLOOKUP(E15,$O$2:$P$155,2,FALSE())</f>
        <v>B+</v>
      </c>
      <c r="H15" s="54" t="str">
        <f aca="false">VLOOKUP(E15,$Q$2:$R$161,2,FALSE())</f>
        <v>B+</v>
      </c>
      <c r="K15" s="227" t="s">
        <v>582</v>
      </c>
      <c r="L15" s="228" t="s">
        <v>581</v>
      </c>
      <c r="M15" s="228" t="s">
        <v>581</v>
      </c>
      <c r="N15" s="228"/>
      <c r="O15" s="9" t="s">
        <v>276</v>
      </c>
      <c r="P15" s="233" t="s">
        <v>127</v>
      </c>
      <c r="Q15" s="9" t="s">
        <v>276</v>
      </c>
      <c r="R15" s="230" t="s">
        <v>399</v>
      </c>
    </row>
    <row r="16" customFormat="false" ht="19.5" hidden="false" customHeight="false" outlineLevel="0" collapsed="false">
      <c r="A16" s="64" t="s">
        <v>276</v>
      </c>
      <c r="B16" s="223" t="str">
        <f aca="false">G16</f>
        <v>NR</v>
      </c>
      <c r="C16" s="153" t="str">
        <f aca="false">F16</f>
        <v>C</v>
      </c>
      <c r="E16" s="224" t="s">
        <v>276</v>
      </c>
      <c r="F16" s="225" t="str">
        <f aca="false">VLOOKUP(E16,$K$2:$M$154,3,FALSE())</f>
        <v>C</v>
      </c>
      <c r="G16" s="226" t="str">
        <f aca="false">VLOOKUP(E16,$O$2:$P$155,2,FALSE())</f>
        <v>NR</v>
      </c>
      <c r="H16" s="54" t="str">
        <f aca="false">VLOOKUP(E16,$Q$2:$R$161,2,FALSE())</f>
        <v>CCC</v>
      </c>
      <c r="K16" s="227" t="s">
        <v>213</v>
      </c>
      <c r="L16" s="228" t="s">
        <v>117</v>
      </c>
      <c r="M16" s="228" t="s">
        <v>117</v>
      </c>
      <c r="N16" s="228"/>
      <c r="O16" s="9" t="s">
        <v>317</v>
      </c>
      <c r="P16" s="231" t="s">
        <v>375</v>
      </c>
      <c r="Q16" s="9" t="s">
        <v>317</v>
      </c>
      <c r="R16" s="230" t="s">
        <v>374</v>
      </c>
    </row>
    <row r="17" customFormat="false" ht="19.5" hidden="false" customHeight="false" outlineLevel="0" collapsed="false">
      <c r="A17" s="64" t="s">
        <v>317</v>
      </c>
      <c r="B17" s="223" t="str">
        <f aca="false">G17</f>
        <v>AA</v>
      </c>
      <c r="C17" s="153" t="str">
        <f aca="false">F17</f>
        <v>Aa3</v>
      </c>
      <c r="E17" s="224" t="s">
        <v>317</v>
      </c>
      <c r="F17" s="225" t="str">
        <f aca="false">VLOOKUP(E17,$K$2:$M$154,3,FALSE())</f>
        <v>Aa3</v>
      </c>
      <c r="G17" s="226" t="str">
        <f aca="false">VLOOKUP(E17,$O$2:$P$155,2,FALSE())</f>
        <v>AA</v>
      </c>
      <c r="H17" s="54" t="str">
        <f aca="false">VLOOKUP(E17,$Q$2:$R$161,2,FALSE())</f>
        <v>A+</v>
      </c>
      <c r="K17" s="227" t="s">
        <v>242</v>
      </c>
      <c r="L17" s="228" t="s">
        <v>117</v>
      </c>
      <c r="M17" s="228" t="s">
        <v>117</v>
      </c>
      <c r="N17" s="228"/>
      <c r="O17" s="9" t="s">
        <v>255</v>
      </c>
      <c r="P17" s="229" t="s">
        <v>380</v>
      </c>
      <c r="Q17" s="9" t="s">
        <v>255</v>
      </c>
      <c r="R17" s="230" t="s">
        <v>127</v>
      </c>
    </row>
    <row r="18" customFormat="false" ht="19.5" hidden="false" customHeight="false" outlineLevel="0" collapsed="false">
      <c r="A18" s="64" t="s">
        <v>255</v>
      </c>
      <c r="B18" s="223" t="str">
        <f aca="false">G18</f>
        <v>B-</v>
      </c>
      <c r="C18" s="153" t="str">
        <f aca="false">F18</f>
        <v>Caa1</v>
      </c>
      <c r="E18" s="224" t="s">
        <v>255</v>
      </c>
      <c r="F18" s="225" t="str">
        <f aca="false">VLOOKUP(E18,$K$2:$M$154,3,FALSE())</f>
        <v>Caa1</v>
      </c>
      <c r="G18" s="226" t="str">
        <f aca="false">VLOOKUP(E18,$O$2:$P$155,2,FALSE())</f>
        <v>B-</v>
      </c>
      <c r="H18" s="54" t="str">
        <f aca="false">VLOOKUP(E18,$Q$2:$R$161,2,FALSE())</f>
        <v>NR</v>
      </c>
      <c r="K18" s="227" t="s">
        <v>276</v>
      </c>
      <c r="L18" s="228" t="s">
        <v>125</v>
      </c>
      <c r="M18" s="228" t="s">
        <v>125</v>
      </c>
      <c r="N18" s="228"/>
      <c r="O18" s="9" t="s">
        <v>184</v>
      </c>
      <c r="P18" s="229" t="s">
        <v>383</v>
      </c>
      <c r="Q18" s="9" t="s">
        <v>184</v>
      </c>
      <c r="R18" s="230" t="s">
        <v>381</v>
      </c>
    </row>
    <row r="19" customFormat="false" ht="19.5" hidden="false" customHeight="false" outlineLevel="0" collapsed="false">
      <c r="A19" s="64" t="s">
        <v>184</v>
      </c>
      <c r="B19" s="223" t="str">
        <f aca="false">G19</f>
        <v>BB-</v>
      </c>
      <c r="C19" s="153" t="str">
        <f aca="false">F19</f>
        <v>B1</v>
      </c>
      <c r="E19" s="224" t="s">
        <v>184</v>
      </c>
      <c r="F19" s="225" t="str">
        <f aca="false">VLOOKUP(E19,$K$2:$M$154,3,FALSE())</f>
        <v>B1</v>
      </c>
      <c r="G19" s="226" t="str">
        <f aca="false">VLOOKUP(E19,$O$2:$P$155,2,FALSE())</f>
        <v>BB-</v>
      </c>
      <c r="H19" s="54" t="str">
        <f aca="false">VLOOKUP(E19,$Q$2:$R$161,2,FALSE())</f>
        <v>B+</v>
      </c>
      <c r="K19" s="227" t="s">
        <v>317</v>
      </c>
      <c r="L19" s="228" t="s">
        <v>114</v>
      </c>
      <c r="M19" s="228" t="s">
        <v>114</v>
      </c>
      <c r="N19" s="228"/>
      <c r="O19" s="9" t="s">
        <v>243</v>
      </c>
      <c r="P19" s="231" t="s">
        <v>374</v>
      </c>
      <c r="Q19" s="9" t="s">
        <v>243</v>
      </c>
      <c r="R19" s="230" t="s">
        <v>127</v>
      </c>
    </row>
    <row r="20" customFormat="false" ht="19.5" hidden="false" customHeight="false" outlineLevel="0" collapsed="false">
      <c r="A20" s="64" t="s">
        <v>243</v>
      </c>
      <c r="B20" s="223" t="str">
        <f aca="false">G20</f>
        <v>A+</v>
      </c>
      <c r="C20" s="153" t="str">
        <f aca="false">F20</f>
        <v>A2</v>
      </c>
      <c r="E20" s="224" t="s">
        <v>243</v>
      </c>
      <c r="F20" s="225" t="str">
        <f aca="false">VLOOKUP(E20,$K$2:$M$154,3,FALSE())</f>
        <v>A2</v>
      </c>
      <c r="G20" s="226" t="str">
        <f aca="false">VLOOKUP(E20,$O$2:$P$155,2,FALSE())</f>
        <v>A+</v>
      </c>
      <c r="H20" s="54" t="str">
        <f aca="false">VLOOKUP(E20,$Q$2:$R$161,2,FALSE())</f>
        <v>NR</v>
      </c>
      <c r="K20" s="227" t="s">
        <v>255</v>
      </c>
      <c r="L20" s="228" t="s">
        <v>133</v>
      </c>
      <c r="M20" s="228" t="s">
        <v>133</v>
      </c>
      <c r="N20" s="228"/>
      <c r="O20" s="9" t="s">
        <v>256</v>
      </c>
      <c r="P20" s="233" t="s">
        <v>400</v>
      </c>
      <c r="Q20" s="9" t="s">
        <v>256</v>
      </c>
      <c r="R20" s="230" t="s">
        <v>399</v>
      </c>
    </row>
    <row r="21" customFormat="false" ht="19.5" hidden="false" customHeight="false" outlineLevel="0" collapsed="false">
      <c r="A21" s="64" t="s">
        <v>256</v>
      </c>
      <c r="B21" s="223" t="str">
        <f aca="false">G21</f>
        <v>CCC-</v>
      </c>
      <c r="C21" s="153" t="str">
        <f aca="false">F21</f>
        <v>Ca</v>
      </c>
      <c r="E21" s="224" t="s">
        <v>256</v>
      </c>
      <c r="F21" s="225" t="str">
        <f aca="false">VLOOKUP(E21,$K$2:$M$154,3,FALSE())</f>
        <v>Ca</v>
      </c>
      <c r="G21" s="226" t="str">
        <f aca="false">VLOOKUP(E21,$O$2:$P$155,2,FALSE())</f>
        <v>CCC-</v>
      </c>
      <c r="H21" s="54" t="str">
        <f aca="false">VLOOKUP(E21,$Q$2:$R$161,2,FALSE())</f>
        <v>CCC</v>
      </c>
      <c r="K21" s="227" t="s">
        <v>184</v>
      </c>
      <c r="L21" s="228" t="s">
        <v>116</v>
      </c>
      <c r="M21" s="228" t="s">
        <v>116</v>
      </c>
      <c r="N21" s="228"/>
      <c r="O21" s="9" t="s">
        <v>277</v>
      </c>
      <c r="P21" s="229" t="s">
        <v>381</v>
      </c>
      <c r="Q21" s="9" t="s">
        <v>277</v>
      </c>
      <c r="R21" s="230" t="s">
        <v>127</v>
      </c>
    </row>
    <row r="22" customFormat="false" ht="19.5" hidden="false" customHeight="false" outlineLevel="0" collapsed="false">
      <c r="A22" s="64" t="s">
        <v>277</v>
      </c>
      <c r="B22" s="223" t="str">
        <f aca="false">G22</f>
        <v>B+</v>
      </c>
      <c r="C22" s="153" t="str">
        <f aca="false">F22</f>
        <v>B3</v>
      </c>
      <c r="E22" s="224" t="s">
        <v>277</v>
      </c>
      <c r="F22" s="225" t="str">
        <f aca="false">VLOOKUP(E22,$K$2:$M$154,3,FALSE())</f>
        <v>B3</v>
      </c>
      <c r="G22" s="226" t="str">
        <f aca="false">VLOOKUP(E22,$O$2:$P$155,2,FALSE())</f>
        <v>B+</v>
      </c>
      <c r="H22" s="54" t="str">
        <f aca="false">VLOOKUP(E22,$Q$2:$R$161,2,FALSE())</f>
        <v>NR</v>
      </c>
      <c r="K22" s="227" t="s">
        <v>243</v>
      </c>
      <c r="L22" s="228" t="s">
        <v>110</v>
      </c>
      <c r="M22" s="228" t="s">
        <v>110</v>
      </c>
      <c r="N22" s="228"/>
      <c r="O22" s="9" t="s">
        <v>185</v>
      </c>
      <c r="P22" s="229" t="s">
        <v>385</v>
      </c>
      <c r="Q22" s="9" t="s">
        <v>185</v>
      </c>
      <c r="R22" s="230" t="s">
        <v>127</v>
      </c>
    </row>
    <row r="23" customFormat="false" ht="19.5" hidden="false" customHeight="false" outlineLevel="0" collapsed="false">
      <c r="A23" s="64" t="s">
        <v>185</v>
      </c>
      <c r="B23" s="223" t="str">
        <f aca="false">G23</f>
        <v>BBB</v>
      </c>
      <c r="C23" s="153" t="str">
        <f aca="false">F23</f>
        <v>Baa1</v>
      </c>
      <c r="E23" s="224" t="s">
        <v>185</v>
      </c>
      <c r="F23" s="225" t="str">
        <f aca="false">VLOOKUP(E23,$K$2:$M$154,3,FALSE())</f>
        <v>Baa1</v>
      </c>
      <c r="G23" s="226" t="str">
        <f aca="false">VLOOKUP(E23,$O$2:$P$155,2,FALSE())</f>
        <v>BBB</v>
      </c>
      <c r="H23" s="54" t="str">
        <f aca="false">VLOOKUP(E23,$Q$2:$R$161,2,FALSE())</f>
        <v>NR</v>
      </c>
      <c r="K23" s="227" t="s">
        <v>256</v>
      </c>
      <c r="L23" s="228" t="s">
        <v>126</v>
      </c>
      <c r="M23" s="228" t="s">
        <v>126</v>
      </c>
      <c r="N23" s="228"/>
      <c r="O23" s="9" t="s">
        <v>257</v>
      </c>
      <c r="P23" s="229" t="s">
        <v>382</v>
      </c>
      <c r="Q23" s="9" t="s">
        <v>257</v>
      </c>
      <c r="R23" s="230" t="s">
        <v>382</v>
      </c>
    </row>
    <row r="24" customFormat="false" ht="19.5" hidden="false" customHeight="false" outlineLevel="0" collapsed="false">
      <c r="A24" s="64" t="s">
        <v>257</v>
      </c>
      <c r="B24" s="223" t="str">
        <f aca="false">G24</f>
        <v>BB</v>
      </c>
      <c r="C24" s="153" t="str">
        <f aca="false">F24</f>
        <v>Ba1</v>
      </c>
      <c r="E24" s="224" t="s">
        <v>257</v>
      </c>
      <c r="F24" s="225" t="str">
        <f aca="false">VLOOKUP(E24,$K$2:$M$154,3,FALSE())</f>
        <v>Ba1</v>
      </c>
      <c r="G24" s="226" t="str">
        <f aca="false">VLOOKUP(E24,$O$2:$P$155,2,FALSE())</f>
        <v>BB</v>
      </c>
      <c r="H24" s="54" t="str">
        <f aca="false">VLOOKUP(E24,$Q$2:$R$161,2,FALSE())</f>
        <v>BB</v>
      </c>
      <c r="K24" s="227" t="s">
        <v>277</v>
      </c>
      <c r="L24" s="228" t="s">
        <v>118</v>
      </c>
      <c r="M24" s="228" t="s">
        <v>118</v>
      </c>
      <c r="N24" s="228"/>
      <c r="O24" s="9" t="s">
        <v>278</v>
      </c>
      <c r="P24" s="229" t="s">
        <v>387</v>
      </c>
      <c r="Q24" s="9" t="s">
        <v>278</v>
      </c>
      <c r="R24" s="230" t="s">
        <v>387</v>
      </c>
    </row>
    <row r="25" customFormat="false" ht="19.5" hidden="false" customHeight="false" outlineLevel="0" collapsed="false">
      <c r="A25" s="64" t="s">
        <v>278</v>
      </c>
      <c r="B25" s="223" t="str">
        <f aca="false">G25</f>
        <v>BBB+</v>
      </c>
      <c r="C25" s="153" t="str">
        <f aca="false">F25</f>
        <v>Baa1</v>
      </c>
      <c r="E25" s="224" t="s">
        <v>278</v>
      </c>
      <c r="F25" s="225" t="str">
        <f aca="false">VLOOKUP(E25,$K$2:$M$154,3,FALSE())</f>
        <v>Baa1</v>
      </c>
      <c r="G25" s="226" t="str">
        <f aca="false">VLOOKUP(E25,$O$2:$P$155,2,FALSE())</f>
        <v>BBB+</v>
      </c>
      <c r="H25" s="54" t="str">
        <f aca="false">VLOOKUP(E25,$Q$2:$R$161,2,FALSE())</f>
        <v>BBB+</v>
      </c>
      <c r="K25" s="227" t="s">
        <v>185</v>
      </c>
      <c r="L25" s="228" t="s">
        <v>122</v>
      </c>
      <c r="M25" s="228" t="s">
        <v>122</v>
      </c>
      <c r="N25" s="228"/>
      <c r="O25" s="9" t="s">
        <v>186</v>
      </c>
      <c r="P25" s="233" t="s">
        <v>401</v>
      </c>
      <c r="Q25" s="9" t="s">
        <v>186</v>
      </c>
      <c r="R25" s="230" t="s">
        <v>127</v>
      </c>
    </row>
    <row r="26" customFormat="false" ht="19.5" hidden="false" customHeight="false" outlineLevel="0" collapsed="false">
      <c r="A26" s="64" t="s">
        <v>186</v>
      </c>
      <c r="B26" s="223" t="str">
        <f aca="false">G26</f>
        <v>CCC+</v>
      </c>
      <c r="C26" s="153" t="str">
        <f aca="false">F26</f>
        <v>NR</v>
      </c>
      <c r="E26" s="232" t="s">
        <v>186</v>
      </c>
      <c r="F26" s="225" t="s">
        <v>127</v>
      </c>
      <c r="G26" s="226" t="str">
        <f aca="false">VLOOKUP(E26,$O$2:$P$155,2,FALSE())</f>
        <v>CCC+</v>
      </c>
      <c r="H26" s="54" t="str">
        <f aca="false">VLOOKUP(E26,$Q$2:$R$161,2,FALSE())</f>
        <v>NR</v>
      </c>
      <c r="K26" s="227" t="s">
        <v>257</v>
      </c>
      <c r="L26" s="228" t="s">
        <v>119</v>
      </c>
      <c r="M26" s="228" t="s">
        <v>119</v>
      </c>
      <c r="N26" s="228"/>
      <c r="O26" s="9" t="s">
        <v>214</v>
      </c>
      <c r="P26" s="231" t="s">
        <v>583</v>
      </c>
      <c r="Q26" s="9" t="s">
        <v>214</v>
      </c>
      <c r="R26" s="230" t="s">
        <v>127</v>
      </c>
    </row>
    <row r="27" customFormat="false" ht="19.5" hidden="false" customHeight="false" outlineLevel="0" collapsed="false">
      <c r="A27" s="64" t="s">
        <v>214</v>
      </c>
      <c r="B27" s="223" t="str">
        <f aca="false">G27</f>
        <v>N/A</v>
      </c>
      <c r="C27" s="153" t="str">
        <f aca="false">F27</f>
        <v>B2</v>
      </c>
      <c r="E27" s="224" t="s">
        <v>214</v>
      </c>
      <c r="F27" s="225" t="str">
        <f aca="false">VLOOKUP(E27,$K$2:$M$154,3,FALSE())</f>
        <v>B2</v>
      </c>
      <c r="G27" s="226" t="str">
        <f aca="false">VLOOKUP(E27,$O$2:$P$155,2,FALSE())</f>
        <v>N/A</v>
      </c>
      <c r="H27" s="54" t="str">
        <f aca="false">VLOOKUP(E27,$Q$2:$R$161,2,FALSE())</f>
        <v>NR</v>
      </c>
      <c r="K27" s="227" t="s">
        <v>278</v>
      </c>
      <c r="L27" s="228" t="s">
        <v>122</v>
      </c>
      <c r="M27" s="228" t="s">
        <v>122</v>
      </c>
      <c r="N27" s="228"/>
      <c r="O27" s="9" t="s">
        <v>187</v>
      </c>
      <c r="P27" s="229" t="s">
        <v>380</v>
      </c>
      <c r="Q27" s="9" t="s">
        <v>187</v>
      </c>
      <c r="R27" s="230" t="s">
        <v>379</v>
      </c>
    </row>
    <row r="28" customFormat="false" ht="19.5" hidden="false" customHeight="false" outlineLevel="0" collapsed="false">
      <c r="A28" s="64" t="s">
        <v>187</v>
      </c>
      <c r="B28" s="223" t="str">
        <f aca="false">G28</f>
        <v>B-</v>
      </c>
      <c r="C28" s="153" t="str">
        <f aca="false">F28</f>
        <v>Caa1</v>
      </c>
      <c r="E28" s="224" t="s">
        <v>187</v>
      </c>
      <c r="F28" s="225" t="str">
        <f aca="false">VLOOKUP(E28,$K$2:$M$154,3,FALSE())</f>
        <v>Caa1</v>
      </c>
      <c r="G28" s="226" t="str">
        <f aca="false">VLOOKUP(E28,$O$2:$P$155,2,FALSE())</f>
        <v>B-</v>
      </c>
      <c r="H28" s="54" t="str">
        <f aca="false">VLOOKUP(E28,$Q$2:$R$161,2,FALSE())</f>
        <v>B</v>
      </c>
      <c r="K28" s="227" t="s">
        <v>214</v>
      </c>
      <c r="L28" s="228" t="s">
        <v>117</v>
      </c>
      <c r="M28" s="228" t="s">
        <v>117</v>
      </c>
      <c r="N28" s="228"/>
      <c r="O28" s="9" t="s">
        <v>313</v>
      </c>
      <c r="P28" s="231" t="s">
        <v>378</v>
      </c>
      <c r="Q28" s="9" t="s">
        <v>313</v>
      </c>
      <c r="R28" s="230" t="s">
        <v>377</v>
      </c>
    </row>
    <row r="29" customFormat="false" ht="19.5" hidden="false" customHeight="false" outlineLevel="0" collapsed="false">
      <c r="A29" s="64" t="s">
        <v>313</v>
      </c>
      <c r="B29" s="223" t="str">
        <f aca="false">G29</f>
        <v>AAA</v>
      </c>
      <c r="C29" s="153" t="str">
        <f aca="false">F29</f>
        <v>Aaa</v>
      </c>
      <c r="E29" s="224" t="s">
        <v>313</v>
      </c>
      <c r="F29" s="225" t="str">
        <f aca="false">VLOOKUP(E29,$K$2:$M$154,3,FALSE())</f>
        <v>Aaa</v>
      </c>
      <c r="G29" s="226" t="str">
        <f aca="false">VLOOKUP(E29,$O$2:$P$155,2,FALSE())</f>
        <v>AAA</v>
      </c>
      <c r="H29" s="54" t="str">
        <f aca="false">VLOOKUP(E29,$Q$2:$R$161,2,FALSE())</f>
        <v>AA+</v>
      </c>
      <c r="K29" s="227" t="s">
        <v>187</v>
      </c>
      <c r="L29" s="228" t="s">
        <v>133</v>
      </c>
      <c r="M29" s="228" t="s">
        <v>133</v>
      </c>
      <c r="N29" s="228"/>
      <c r="O29" s="9" t="s">
        <v>188</v>
      </c>
      <c r="P29" s="229" t="s">
        <v>379</v>
      </c>
      <c r="Q29" s="9" t="s">
        <v>188</v>
      </c>
      <c r="R29" s="230" t="s">
        <v>379</v>
      </c>
    </row>
    <row r="30" customFormat="false" ht="19.5" hidden="false" customHeight="false" outlineLevel="0" collapsed="false">
      <c r="A30" s="64" t="s">
        <v>188</v>
      </c>
      <c r="B30" s="223" t="str">
        <f aca="false">G30</f>
        <v>B</v>
      </c>
      <c r="C30" s="153" t="str">
        <f aca="false">F30</f>
        <v>NR</v>
      </c>
      <c r="E30" s="232" t="s">
        <v>188</v>
      </c>
      <c r="F30" s="225" t="s">
        <v>127</v>
      </c>
      <c r="G30" s="226" t="str">
        <f aca="false">VLOOKUP(E30,$O$2:$P$155,2,FALSE())</f>
        <v>B</v>
      </c>
      <c r="H30" s="54" t="str">
        <f aca="false">VLOOKUP(E30,$Q$2:$R$161,2,FALSE())</f>
        <v>B</v>
      </c>
      <c r="K30" s="227" t="s">
        <v>313</v>
      </c>
      <c r="L30" s="228" t="s">
        <v>115</v>
      </c>
      <c r="M30" s="228" t="s">
        <v>115</v>
      </c>
      <c r="N30" s="228"/>
      <c r="O30" s="9" t="s">
        <v>244</v>
      </c>
      <c r="P30" s="233"/>
      <c r="Q30" s="9" t="s">
        <v>450</v>
      </c>
      <c r="R30" s="230" t="s">
        <v>380</v>
      </c>
    </row>
    <row r="31" customFormat="false" ht="19.5" hidden="false" customHeight="false" outlineLevel="0" collapsed="false">
      <c r="A31" s="64" t="s">
        <v>244</v>
      </c>
      <c r="B31" s="223" t="n">
        <f aca="false">G31</f>
        <v>0</v>
      </c>
      <c r="C31" s="153" t="str">
        <f aca="false">F31</f>
        <v>Aa3</v>
      </c>
      <c r="E31" s="224" t="s">
        <v>244</v>
      </c>
      <c r="F31" s="225" t="str">
        <f aca="false">VLOOKUP(E31,$K$2:$M$154,3,FALSE())</f>
        <v>Aa3</v>
      </c>
      <c r="G31" s="226" t="n">
        <f aca="false">VLOOKUP(E31,$O$2:$P$155,2,FALSE())</f>
        <v>0</v>
      </c>
      <c r="H31" s="54" t="e">
        <f aca="false">VLOOKUP(E31,$Q$2:$R$161,2,FALSE())</f>
        <v>#N/A</v>
      </c>
      <c r="K31" s="227" t="s">
        <v>244</v>
      </c>
      <c r="L31" s="228" t="s">
        <v>114</v>
      </c>
      <c r="M31" s="228" t="s">
        <v>114</v>
      </c>
      <c r="N31" s="228"/>
      <c r="O31" s="9" t="s">
        <v>450</v>
      </c>
      <c r="P31" s="229" t="s">
        <v>380</v>
      </c>
      <c r="Q31" s="9" t="s">
        <v>258</v>
      </c>
      <c r="R31" s="230" t="s">
        <v>373</v>
      </c>
    </row>
    <row r="32" customFormat="false" ht="19.5" hidden="false" customHeight="false" outlineLevel="0" collapsed="false">
      <c r="A32" s="64" t="s">
        <v>258</v>
      </c>
      <c r="B32" s="223" t="str">
        <f aca="false">G32</f>
        <v>A</v>
      </c>
      <c r="C32" s="153" t="str">
        <f aca="false">F32</f>
        <v>A2</v>
      </c>
      <c r="E32" s="224" t="s">
        <v>258</v>
      </c>
      <c r="F32" s="225" t="str">
        <f aca="false">VLOOKUP(E32,$K$2:$M$154,3,FALSE())</f>
        <v>A2</v>
      </c>
      <c r="G32" s="226" t="str">
        <f aca="false">VLOOKUP(E32,$O$2:$P$155,2,FALSE())</f>
        <v>A</v>
      </c>
      <c r="H32" s="54" t="str">
        <f aca="false">VLOOKUP(E32,$Q$2:$R$161,2,FALSE())</f>
        <v>A-</v>
      </c>
      <c r="K32" s="227" t="s">
        <v>584</v>
      </c>
      <c r="L32" s="228" t="s">
        <v>581</v>
      </c>
      <c r="M32" s="228" t="s">
        <v>581</v>
      </c>
      <c r="N32" s="228"/>
      <c r="O32" s="9" t="s">
        <v>258</v>
      </c>
      <c r="P32" s="231" t="s">
        <v>372</v>
      </c>
      <c r="Q32" s="9" t="s">
        <v>215</v>
      </c>
      <c r="R32" s="230" t="s">
        <v>372</v>
      </c>
    </row>
    <row r="33" customFormat="false" ht="19.5" hidden="false" customHeight="false" outlineLevel="0" collapsed="false">
      <c r="A33" s="64" t="s">
        <v>215</v>
      </c>
      <c r="B33" s="223" t="str">
        <f aca="false">G33</f>
        <v>A+</v>
      </c>
      <c r="C33" s="153" t="str">
        <f aca="false">F33</f>
        <v>A1</v>
      </c>
      <c r="E33" s="224" t="s">
        <v>215</v>
      </c>
      <c r="F33" s="225" t="str">
        <f aca="false">VLOOKUP(E33,$K$2:$M$154,3,FALSE())</f>
        <v>A1</v>
      </c>
      <c r="G33" s="226" t="str">
        <f aca="false">VLOOKUP(E33,$O$2:$P$155,2,FALSE())</f>
        <v>A+</v>
      </c>
      <c r="H33" s="54" t="str">
        <f aca="false">VLOOKUP(E33,$Q$2:$R$161,2,FALSE())</f>
        <v>A</v>
      </c>
      <c r="K33" s="227" t="s">
        <v>258</v>
      </c>
      <c r="L33" s="228" t="s">
        <v>110</v>
      </c>
      <c r="M33" s="228" t="s">
        <v>110</v>
      </c>
      <c r="N33" s="228"/>
      <c r="O33" s="9" t="s">
        <v>215</v>
      </c>
      <c r="P33" s="231" t="s">
        <v>374</v>
      </c>
      <c r="Q33" s="9" t="s">
        <v>259</v>
      </c>
      <c r="R33" s="230" t="s">
        <v>382</v>
      </c>
    </row>
    <row r="34" customFormat="false" ht="19.5" hidden="false" customHeight="false" outlineLevel="0" collapsed="false">
      <c r="A34" s="64" t="s">
        <v>259</v>
      </c>
      <c r="B34" s="223" t="str">
        <f aca="false">G34</f>
        <v>BB</v>
      </c>
      <c r="C34" s="153" t="str">
        <f aca="false">F34</f>
        <v>Baa3</v>
      </c>
      <c r="E34" s="224" t="s">
        <v>259</v>
      </c>
      <c r="F34" s="225" t="str">
        <f aca="false">VLOOKUP(E34,$K$2:$M$154,3,FALSE())</f>
        <v>Baa3</v>
      </c>
      <c r="G34" s="226" t="str">
        <f aca="false">VLOOKUP(E34,$O$2:$P$155,2,FALSE())</f>
        <v>BB</v>
      </c>
      <c r="H34" s="54" t="str">
        <f aca="false">VLOOKUP(E34,$Q$2:$R$161,2,FALSE())</f>
        <v>BB</v>
      </c>
      <c r="K34" s="227" t="s">
        <v>215</v>
      </c>
      <c r="L34" s="228" t="s">
        <v>109</v>
      </c>
      <c r="M34" s="228" t="s">
        <v>109</v>
      </c>
      <c r="N34" s="228"/>
      <c r="O34" s="9" t="s">
        <v>259</v>
      </c>
      <c r="P34" s="229" t="s">
        <v>382</v>
      </c>
      <c r="Q34" s="9" t="s">
        <v>260</v>
      </c>
      <c r="R34" s="230" t="s">
        <v>382</v>
      </c>
    </row>
    <row r="35" customFormat="false" ht="19.5" hidden="false" customHeight="false" outlineLevel="0" collapsed="false">
      <c r="A35" s="64" t="s">
        <v>189</v>
      </c>
      <c r="B35" s="223" t="e">
        <f aca="false">G35</f>
        <v>#N/A</v>
      </c>
      <c r="C35" s="153" t="str">
        <f aca="false">F35</f>
        <v>B3</v>
      </c>
      <c r="E35" s="64" t="s">
        <v>189</v>
      </c>
      <c r="F35" s="225" t="s">
        <v>118</v>
      </c>
      <c r="G35" s="226" t="e">
        <f aca="false">VLOOKUP(E35,$O$2:$P$155,2,FALSE())</f>
        <v>#N/A</v>
      </c>
      <c r="H35" s="54" t="e">
        <f aca="false">VLOOKUP(E35,$Q$2:$R$161,2,FALSE())</f>
        <v>#N/A</v>
      </c>
      <c r="K35" s="227" t="s">
        <v>259</v>
      </c>
      <c r="L35" s="228" t="s">
        <v>124</v>
      </c>
      <c r="M35" s="228" t="s">
        <v>124</v>
      </c>
      <c r="N35" s="228"/>
      <c r="O35" s="9" t="s">
        <v>585</v>
      </c>
      <c r="P35" s="229" t="s">
        <v>380</v>
      </c>
      <c r="Q35" s="9" t="s">
        <v>279</v>
      </c>
      <c r="R35" s="230" t="s">
        <v>373</v>
      </c>
    </row>
    <row r="36" customFormat="false" ht="19.5" hidden="false" customHeight="false" outlineLevel="0" collapsed="false">
      <c r="A36" s="64" t="s">
        <v>190</v>
      </c>
      <c r="B36" s="223" t="str">
        <f aca="false">G36</f>
        <v>CCC+</v>
      </c>
      <c r="C36" s="153" t="str">
        <f aca="false">F36</f>
        <v>Caa2</v>
      </c>
      <c r="E36" s="64" t="s">
        <v>190</v>
      </c>
      <c r="F36" s="225" t="s">
        <v>134</v>
      </c>
      <c r="G36" s="226" t="s">
        <v>401</v>
      </c>
      <c r="H36" s="54" t="e">
        <f aca="false">VLOOKUP(E36,$Q$2:$R$161,2,FALSE())</f>
        <v>#N/A</v>
      </c>
      <c r="K36" s="227" t="s">
        <v>260</v>
      </c>
      <c r="L36" s="228" t="s">
        <v>120</v>
      </c>
      <c r="M36" s="228" t="s">
        <v>120</v>
      </c>
      <c r="N36" s="228"/>
      <c r="O36" s="9" t="s">
        <v>260</v>
      </c>
      <c r="P36" s="229" t="s">
        <v>382</v>
      </c>
      <c r="Q36" s="9" t="s">
        <v>245</v>
      </c>
      <c r="R36" s="230" t="s">
        <v>127</v>
      </c>
    </row>
    <row r="37" customFormat="false" ht="19.5" hidden="false" customHeight="false" outlineLevel="0" collapsed="false">
      <c r="A37" s="64" t="s">
        <v>238</v>
      </c>
      <c r="B37" s="223" t="e">
        <f aca="false">G37</f>
        <v>#N/A</v>
      </c>
      <c r="C37" s="153" t="str">
        <f aca="false">F37</f>
        <v>B1</v>
      </c>
      <c r="E37" s="236" t="s">
        <v>238</v>
      </c>
      <c r="F37" s="237" t="s">
        <v>116</v>
      </c>
      <c r="G37" s="226" t="e">
        <f aca="false">VLOOKUP(E37,$O$2:$P$155,2,FALSE())</f>
        <v>#N/A</v>
      </c>
      <c r="H37" s="54" t="e">
        <f aca="false">VLOOKUP(E37,$Q$2:$R$161,2,FALSE())</f>
        <v>#N/A</v>
      </c>
      <c r="K37" s="227" t="s">
        <v>455</v>
      </c>
      <c r="L37" s="228" t="s">
        <v>120</v>
      </c>
      <c r="M37" s="228" t="s">
        <v>120</v>
      </c>
      <c r="N37" s="228"/>
      <c r="O37" s="9" t="s">
        <v>279</v>
      </c>
      <c r="P37" s="231" t="s">
        <v>373</v>
      </c>
      <c r="Q37" s="9" t="s">
        <v>318</v>
      </c>
      <c r="R37" s="230" t="s">
        <v>373</v>
      </c>
    </row>
    <row r="38" customFormat="false" ht="19.5" hidden="false" customHeight="false" outlineLevel="0" collapsed="false">
      <c r="A38" s="64" t="s">
        <v>260</v>
      </c>
      <c r="B38" s="223" t="str">
        <f aca="false">G38</f>
        <v>BB</v>
      </c>
      <c r="C38" s="153" t="str">
        <f aca="false">F38</f>
        <v>Ba2</v>
      </c>
      <c r="E38" s="224" t="s">
        <v>260</v>
      </c>
      <c r="F38" s="225" t="str">
        <f aca="false">VLOOKUP(E38,$K$2:$M$154,3,FALSE())</f>
        <v>Ba2</v>
      </c>
      <c r="G38" s="226" t="str">
        <f aca="false">VLOOKUP(E38,$O$2:$P$155,2,FALSE())</f>
        <v>BB</v>
      </c>
      <c r="H38" s="54" t="str">
        <f aca="false">VLOOKUP(E38,$Q$2:$R$161,2,FALSE())</f>
        <v>BB</v>
      </c>
      <c r="K38" s="227" t="s">
        <v>279</v>
      </c>
      <c r="L38" s="228" t="s">
        <v>111</v>
      </c>
      <c r="M38" s="228" t="s">
        <v>111</v>
      </c>
      <c r="N38" s="238"/>
      <c r="O38" s="9" t="s">
        <v>318</v>
      </c>
      <c r="P38" s="231" t="s">
        <v>373</v>
      </c>
      <c r="Q38" s="9" t="s">
        <v>456</v>
      </c>
      <c r="R38" s="230" t="s">
        <v>376</v>
      </c>
    </row>
    <row r="39" customFormat="false" ht="19.5" hidden="false" customHeight="false" outlineLevel="0" collapsed="false">
      <c r="A39" s="64" t="s">
        <v>191</v>
      </c>
      <c r="B39" s="223" t="e">
        <f aca="false">G39</f>
        <v>#N/A</v>
      </c>
      <c r="C39" s="153" t="str">
        <f aca="false">F39</f>
        <v>Ba2</v>
      </c>
      <c r="E39" s="224" t="s">
        <v>455</v>
      </c>
      <c r="F39" s="225" t="str">
        <f aca="false">VLOOKUP(E39,$K$2:$M$154,3,FALSE())</f>
        <v>Ba2</v>
      </c>
      <c r="G39" s="226" t="e">
        <f aca="false">VLOOKUP(E39,$O$2:$P$155,2,FALSE())</f>
        <v>#N/A</v>
      </c>
      <c r="H39" s="54" t="e">
        <f aca="false">VLOOKUP(E39,$Q$2:$R$161,2,FALSE())</f>
        <v>#N/A</v>
      </c>
      <c r="K39" s="239" t="s">
        <v>245</v>
      </c>
      <c r="L39" s="238" t="s">
        <v>586</v>
      </c>
      <c r="M39" s="238" t="s">
        <v>586</v>
      </c>
      <c r="N39" s="228"/>
      <c r="O39" s="9" t="s">
        <v>280</v>
      </c>
      <c r="P39" s="231" t="s">
        <v>376</v>
      </c>
      <c r="Q39" s="9" t="s">
        <v>587</v>
      </c>
      <c r="R39" s="230" t="s">
        <v>127</v>
      </c>
    </row>
    <row r="40" customFormat="false" ht="19.5" hidden="false" customHeight="false" outlineLevel="0" collapsed="false">
      <c r="A40" s="64" t="s">
        <v>279</v>
      </c>
      <c r="B40" s="223" t="str">
        <f aca="false">G40</f>
        <v>A-</v>
      </c>
      <c r="C40" s="153" t="str">
        <f aca="false">F40</f>
        <v>A3</v>
      </c>
      <c r="E40" s="224" t="s">
        <v>279</v>
      </c>
      <c r="F40" s="225" t="str">
        <f aca="false">VLOOKUP(E40,$K$2:$M$154,3,FALSE())</f>
        <v>A3</v>
      </c>
      <c r="G40" s="226" t="str">
        <f aca="false">VLOOKUP(E40,$O$2:$P$155,2,FALSE())</f>
        <v>A-</v>
      </c>
      <c r="H40" s="54" t="str">
        <f aca="false">VLOOKUP(E40,$Q$2:$R$161,2,FALSE())</f>
        <v>A-</v>
      </c>
      <c r="K40" s="227" t="s">
        <v>318</v>
      </c>
      <c r="L40" s="228" t="s">
        <v>111</v>
      </c>
      <c r="M40" s="228" t="s">
        <v>111</v>
      </c>
      <c r="N40" s="228"/>
      <c r="O40" s="9" t="s">
        <v>319</v>
      </c>
      <c r="P40" s="231" t="s">
        <v>378</v>
      </c>
      <c r="Q40" s="9" t="s">
        <v>319</v>
      </c>
      <c r="R40" s="230" t="s">
        <v>378</v>
      </c>
    </row>
    <row r="41" customFormat="false" ht="19.5" hidden="false" customHeight="false" outlineLevel="0" collapsed="false">
      <c r="A41" s="64" t="s">
        <v>245</v>
      </c>
      <c r="B41" s="223" t="e">
        <f aca="false">G41</f>
        <v>#N/A</v>
      </c>
      <c r="C41" s="153" t="str">
        <f aca="false">F41</f>
        <v>Ca</v>
      </c>
      <c r="E41" s="224" t="s">
        <v>245</v>
      </c>
      <c r="F41" s="225" t="s">
        <v>126</v>
      </c>
      <c r="G41" s="226" t="e">
        <f aca="false">VLOOKUP(E41,$O$2:$P$155,2,FALSE())</f>
        <v>#N/A</v>
      </c>
      <c r="H41" s="54" t="str">
        <f aca="false">VLOOKUP(E41,$Q$2:$R$161,2,FALSE())</f>
        <v>NR</v>
      </c>
      <c r="K41" s="227" t="s">
        <v>280</v>
      </c>
      <c r="L41" s="228" t="s">
        <v>114</v>
      </c>
      <c r="M41" s="228" t="s">
        <v>114</v>
      </c>
      <c r="N41" s="228"/>
      <c r="O41" s="9" t="s">
        <v>247</v>
      </c>
      <c r="P41" s="229" t="s">
        <v>382</v>
      </c>
      <c r="Q41" s="9" t="s">
        <v>247</v>
      </c>
      <c r="R41" s="230" t="s">
        <v>383</v>
      </c>
    </row>
    <row r="42" customFormat="false" ht="19.5" hidden="false" customHeight="false" outlineLevel="0" collapsed="false">
      <c r="A42" s="64" t="s">
        <v>246</v>
      </c>
      <c r="B42" s="223" t="s">
        <v>386</v>
      </c>
      <c r="C42" s="153" t="str">
        <f aca="false">F42</f>
        <v>NR</v>
      </c>
      <c r="E42" s="236" t="s">
        <v>246</v>
      </c>
      <c r="F42" s="225" t="s">
        <v>127</v>
      </c>
      <c r="G42" s="226" t="e">
        <f aca="false">VLOOKUP(E42,$O$2:$P$155,2,FALSE())</f>
        <v>#N/A</v>
      </c>
      <c r="H42" s="54" t="e">
        <f aca="false">VLOOKUP(E42,$Q$2:$R$161,2,FALSE())</f>
        <v>#N/A</v>
      </c>
      <c r="K42" s="227" t="s">
        <v>587</v>
      </c>
      <c r="L42" s="228" t="s">
        <v>118</v>
      </c>
      <c r="M42" s="228" t="s">
        <v>118</v>
      </c>
      <c r="N42" s="228"/>
      <c r="O42" s="9" t="s">
        <v>261</v>
      </c>
      <c r="P42" s="229" t="s">
        <v>380</v>
      </c>
      <c r="Q42" s="9" t="s">
        <v>261</v>
      </c>
      <c r="R42" s="230" t="s">
        <v>401</v>
      </c>
    </row>
    <row r="43" customFormat="false" ht="19.5" hidden="false" customHeight="false" outlineLevel="0" collapsed="false">
      <c r="A43" s="64" t="s">
        <v>318</v>
      </c>
      <c r="B43" s="223" t="str">
        <f aca="false">G43</f>
        <v>A-</v>
      </c>
      <c r="C43" s="153" t="str">
        <f aca="false">F43</f>
        <v>A3</v>
      </c>
      <c r="E43" s="224" t="s">
        <v>318</v>
      </c>
      <c r="F43" s="225" t="str">
        <f aca="false">VLOOKUP(E43,$K$2:$M$154,3,FALSE())</f>
        <v>A3</v>
      </c>
      <c r="G43" s="226" t="str">
        <f aca="false">VLOOKUP(E43,$O$2:$P$155,2,FALSE())</f>
        <v>A-</v>
      </c>
      <c r="H43" s="54" t="str">
        <f aca="false">VLOOKUP(E43,$Q$2:$R$161,2,FALSE())</f>
        <v>A-</v>
      </c>
      <c r="K43" s="227" t="s">
        <v>319</v>
      </c>
      <c r="L43" s="228" t="s">
        <v>115</v>
      </c>
      <c r="M43" s="228" t="s">
        <v>115</v>
      </c>
      <c r="N43" s="238"/>
      <c r="O43" s="9" t="s">
        <v>192</v>
      </c>
      <c r="P43" s="229" t="s">
        <v>379</v>
      </c>
      <c r="Q43" s="9" t="s">
        <v>192</v>
      </c>
      <c r="R43" s="230" t="s">
        <v>379</v>
      </c>
    </row>
    <row r="44" customFormat="false" ht="19.5" hidden="false" customHeight="false" outlineLevel="0" collapsed="false">
      <c r="A44" s="64" t="s">
        <v>280</v>
      </c>
      <c r="B44" s="223" t="str">
        <f aca="false">G44</f>
        <v>AA-</v>
      </c>
      <c r="C44" s="153" t="str">
        <f aca="false">F44</f>
        <v>Aa3</v>
      </c>
      <c r="E44" s="224" t="s">
        <v>280</v>
      </c>
      <c r="F44" s="225" t="str">
        <f aca="false">VLOOKUP(E44,$K$2:$M$154,3,FALSE())</f>
        <v>Aa3</v>
      </c>
      <c r="G44" s="226" t="str">
        <f aca="false">VLOOKUP(E44,$O$2:$P$155,2,FALSE())</f>
        <v>AA-</v>
      </c>
      <c r="H44" s="54" t="e">
        <f aca="false">VLOOKUP(E44,$Q$2:$R$161,2,FALSE())</f>
        <v>#N/A</v>
      </c>
      <c r="K44" s="240" t="s">
        <v>247</v>
      </c>
      <c r="L44" s="238" t="s">
        <v>120</v>
      </c>
      <c r="M44" s="238" t="s">
        <v>120</v>
      </c>
      <c r="N44" s="228"/>
      <c r="O44" s="9" t="s">
        <v>262</v>
      </c>
      <c r="P44" s="229" t="s">
        <v>380</v>
      </c>
      <c r="Q44" s="9" t="s">
        <v>262</v>
      </c>
      <c r="R44" s="230" t="s">
        <v>380</v>
      </c>
    </row>
    <row r="45" customFormat="false" ht="19.5" hidden="false" customHeight="false" outlineLevel="0" collapsed="false">
      <c r="A45" s="64" t="s">
        <v>319</v>
      </c>
      <c r="B45" s="223" t="str">
        <f aca="false">G45</f>
        <v>AAA</v>
      </c>
      <c r="C45" s="153" t="str">
        <f aca="false">F45</f>
        <v>Aaa</v>
      </c>
      <c r="E45" s="224" t="s">
        <v>319</v>
      </c>
      <c r="F45" s="225" t="str">
        <f aca="false">VLOOKUP(E45,$K$2:$M$154,3,FALSE())</f>
        <v>Aaa</v>
      </c>
      <c r="G45" s="226" t="str">
        <f aca="false">VLOOKUP(E45,$O$2:$P$155,2,FALSE())</f>
        <v>AAA</v>
      </c>
      <c r="H45" s="54" t="str">
        <f aca="false">VLOOKUP(E45,$Q$2:$R$161,2,FALSE())</f>
        <v>AAA</v>
      </c>
      <c r="K45" s="227" t="s">
        <v>261</v>
      </c>
      <c r="L45" s="228" t="s">
        <v>133</v>
      </c>
      <c r="M45" s="228" t="s">
        <v>581</v>
      </c>
      <c r="N45" s="228"/>
      <c r="O45" s="9" t="s">
        <v>281</v>
      </c>
      <c r="P45" s="233" t="s">
        <v>127</v>
      </c>
      <c r="Q45" s="9" t="s">
        <v>281</v>
      </c>
      <c r="R45" s="230" t="s">
        <v>374</v>
      </c>
    </row>
    <row r="46" customFormat="false" ht="19.5" hidden="false" customHeight="false" outlineLevel="0" collapsed="false">
      <c r="A46" s="64" t="s">
        <v>247</v>
      </c>
      <c r="B46" s="223" t="str">
        <f aca="false">G46</f>
        <v>BB</v>
      </c>
      <c r="C46" s="153" t="str">
        <f aca="false">F46</f>
        <v>Ba2</v>
      </c>
      <c r="E46" s="234" t="s">
        <v>247</v>
      </c>
      <c r="F46" s="225" t="str">
        <f aca="false">VLOOKUP(E46,$K$2:$M$154,3,FALSE())</f>
        <v>Ba2</v>
      </c>
      <c r="G46" s="226" t="str">
        <f aca="false">VLOOKUP(E46,$O$2:$P$155,2,FALSE())</f>
        <v>BB</v>
      </c>
      <c r="H46" s="54" t="str">
        <f aca="false">VLOOKUP(E46,$Q$2:$R$161,2,FALSE())</f>
        <v>BB-</v>
      </c>
      <c r="K46" s="227" t="s">
        <v>192</v>
      </c>
      <c r="L46" s="228" t="s">
        <v>133</v>
      </c>
      <c r="M46" s="228" t="s">
        <v>133</v>
      </c>
      <c r="N46" s="228"/>
      <c r="O46" s="9" t="s">
        <v>193</v>
      </c>
      <c r="P46" s="233" t="s">
        <v>588</v>
      </c>
      <c r="Q46" s="9" t="s">
        <v>193</v>
      </c>
      <c r="R46" s="230" t="s">
        <v>589</v>
      </c>
    </row>
    <row r="47" customFormat="false" ht="19.5" hidden="false" customHeight="false" outlineLevel="0" collapsed="false">
      <c r="A47" s="64" t="s">
        <v>261</v>
      </c>
      <c r="B47" s="223" t="str">
        <f aca="false">G47</f>
        <v>B-</v>
      </c>
      <c r="C47" s="153" t="str">
        <f aca="false">F47</f>
        <v>Caa3</v>
      </c>
      <c r="E47" s="224" t="s">
        <v>261</v>
      </c>
      <c r="F47" s="225" t="s">
        <v>135</v>
      </c>
      <c r="G47" s="226" t="str">
        <f aca="false">VLOOKUP(E47,$O$2:$P$155,2,FALSE())</f>
        <v>B-</v>
      </c>
      <c r="H47" s="54" t="str">
        <f aca="false">VLOOKUP(E47,$Q$2:$R$161,2,FALSE())</f>
        <v>CCC+</v>
      </c>
      <c r="K47" s="227" t="s">
        <v>262</v>
      </c>
      <c r="L47" s="228" t="s">
        <v>118</v>
      </c>
      <c r="M47" s="228" t="s">
        <v>581</v>
      </c>
      <c r="N47" s="228"/>
      <c r="O47" s="9" t="s">
        <v>471</v>
      </c>
      <c r="P47" s="231" t="s">
        <v>377</v>
      </c>
      <c r="Q47" s="9" t="s">
        <v>216</v>
      </c>
      <c r="R47" s="230" t="s">
        <v>127</v>
      </c>
    </row>
    <row r="48" customFormat="false" ht="19.5" hidden="false" customHeight="false" outlineLevel="0" collapsed="false">
      <c r="A48" s="64" t="s">
        <v>192</v>
      </c>
      <c r="B48" s="223" t="str">
        <f aca="false">G48</f>
        <v>B</v>
      </c>
      <c r="C48" s="153" t="str">
        <f aca="false">F48</f>
        <v>Caa1</v>
      </c>
      <c r="E48" s="224" t="s">
        <v>192</v>
      </c>
      <c r="F48" s="225" t="str">
        <f aca="false">VLOOKUP(E48,$K$2:$M$154,3,FALSE())</f>
        <v>Caa1</v>
      </c>
      <c r="G48" s="226" t="str">
        <f aca="false">VLOOKUP(E48,$O$2:$P$155,2,FALSE())</f>
        <v>B</v>
      </c>
      <c r="H48" s="54" t="str">
        <f aca="false">VLOOKUP(E48,$Q$2:$R$161,2,FALSE())</f>
        <v>B</v>
      </c>
      <c r="K48" s="227" t="s">
        <v>281</v>
      </c>
      <c r="L48" s="228" t="s">
        <v>109</v>
      </c>
      <c r="M48" s="228" t="s">
        <v>109</v>
      </c>
      <c r="N48" s="238"/>
      <c r="O48" s="9" t="s">
        <v>216</v>
      </c>
      <c r="P48" s="229" t="s">
        <v>381</v>
      </c>
      <c r="Q48" s="9" t="s">
        <v>320</v>
      </c>
      <c r="R48" s="230" t="s">
        <v>375</v>
      </c>
    </row>
    <row r="49" customFormat="false" ht="19.5" hidden="false" customHeight="false" outlineLevel="0" collapsed="false">
      <c r="A49" s="64" t="s">
        <v>262</v>
      </c>
      <c r="B49" s="223" t="str">
        <f aca="false">G49</f>
        <v>B-</v>
      </c>
      <c r="C49" s="153" t="s">
        <v>127</v>
      </c>
      <c r="E49" s="224" t="s">
        <v>262</v>
      </c>
      <c r="F49" s="225" t="str">
        <f aca="false">VLOOKUP(E49,$K$2:$M$154,3,FALSE())</f>
        <v>-</v>
      </c>
      <c r="G49" s="226" t="str">
        <f aca="false">VLOOKUP(E49,$O$2:$P$155,2,FALSE())</f>
        <v>B-</v>
      </c>
      <c r="H49" s="54" t="str">
        <f aca="false">VLOOKUP(E49,$Q$2:$R$161,2,FALSE())</f>
        <v>B-</v>
      </c>
      <c r="K49" s="239" t="s">
        <v>590</v>
      </c>
      <c r="L49" s="238" t="s">
        <v>117</v>
      </c>
      <c r="M49" s="238" t="s">
        <v>117</v>
      </c>
      <c r="N49" s="228"/>
      <c r="O49" s="9" t="s">
        <v>320</v>
      </c>
      <c r="P49" s="231" t="s">
        <v>377</v>
      </c>
      <c r="Q49" s="9" t="s">
        <v>321</v>
      </c>
      <c r="R49" s="230" t="s">
        <v>374</v>
      </c>
    </row>
    <row r="50" customFormat="false" ht="19.5" hidden="false" customHeight="false" outlineLevel="0" collapsed="false">
      <c r="A50" s="64" t="s">
        <v>281</v>
      </c>
      <c r="B50" s="223" t="str">
        <f aca="false">G50</f>
        <v>NR</v>
      </c>
      <c r="C50" s="153" t="str">
        <f aca="false">F50</f>
        <v>A1</v>
      </c>
      <c r="E50" s="224" t="s">
        <v>281</v>
      </c>
      <c r="F50" s="225" t="str">
        <f aca="false">VLOOKUP(E50,$K$2:$M$154,3,FALSE())</f>
        <v>A1</v>
      </c>
      <c r="G50" s="226" t="str">
        <f aca="false">VLOOKUP(E50,$O$2:$P$155,2,FALSE())</f>
        <v>NR</v>
      </c>
      <c r="H50" s="54" t="str">
        <f aca="false">VLOOKUP(E50,$Q$2:$R$161,2,FALSE())</f>
        <v>A+</v>
      </c>
      <c r="K50" s="227" t="s">
        <v>193</v>
      </c>
      <c r="L50" s="228" t="s">
        <v>135</v>
      </c>
      <c r="M50" s="228" t="s">
        <v>134</v>
      </c>
      <c r="N50" s="228"/>
      <c r="O50" s="9" t="s">
        <v>321</v>
      </c>
      <c r="P50" s="231" t="s">
        <v>374</v>
      </c>
      <c r="Q50" s="9" t="s">
        <v>194</v>
      </c>
      <c r="R50" s="230" t="s">
        <v>400</v>
      </c>
    </row>
    <row r="51" customFormat="false" ht="19.5" hidden="false" customHeight="false" outlineLevel="0" collapsed="false">
      <c r="A51" s="64" t="s">
        <v>193</v>
      </c>
      <c r="B51" s="223" t="str">
        <f aca="false">G51</f>
        <v>SD</v>
      </c>
      <c r="C51" s="153" t="str">
        <f aca="false">F51</f>
        <v>Caa2</v>
      </c>
      <c r="E51" s="224" t="s">
        <v>193</v>
      </c>
      <c r="F51" s="225" t="str">
        <f aca="false">VLOOKUP(E51,$K$2:$M$154,3,FALSE())</f>
        <v>Caa2</v>
      </c>
      <c r="G51" s="226" t="str">
        <f aca="false">VLOOKUP(E51,$O$2:$P$155,2,FALSE())</f>
        <v>SD</v>
      </c>
      <c r="H51" s="54" t="str">
        <f aca="false">VLOOKUP(E51,$Q$2:$R$161,2,FALSE())</f>
        <v>RD</v>
      </c>
      <c r="K51" s="227" t="s">
        <v>216</v>
      </c>
      <c r="L51" s="228" t="s">
        <v>116</v>
      </c>
      <c r="M51" s="228" t="s">
        <v>116</v>
      </c>
      <c r="N51" s="228"/>
      <c r="O51" s="9" t="s">
        <v>194</v>
      </c>
      <c r="P51" s="231" t="s">
        <v>583</v>
      </c>
      <c r="Q51" s="9" t="s">
        <v>520</v>
      </c>
      <c r="R51" s="230" t="s">
        <v>399</v>
      </c>
    </row>
    <row r="52" customFormat="false" ht="19.5" hidden="false" customHeight="false" outlineLevel="0" collapsed="false">
      <c r="A52" s="64" t="s">
        <v>216</v>
      </c>
      <c r="B52" s="223" t="str">
        <f aca="false">G52</f>
        <v>B+</v>
      </c>
      <c r="C52" s="153" t="str">
        <f aca="false">F52</f>
        <v>B1</v>
      </c>
      <c r="E52" s="224" t="s">
        <v>216</v>
      </c>
      <c r="F52" s="225" t="str">
        <f aca="false">VLOOKUP(E52,$K$2:$M$154,3,FALSE())</f>
        <v>B1</v>
      </c>
      <c r="G52" s="226" t="str">
        <f aca="false">VLOOKUP(E52,$O$2:$P$155,2,FALSE())</f>
        <v>B+</v>
      </c>
      <c r="H52" s="54" t="str">
        <f aca="false">VLOOKUP(E52,$Q$2:$R$161,2,FALSE())</f>
        <v>NR</v>
      </c>
      <c r="K52" s="227" t="s">
        <v>320</v>
      </c>
      <c r="L52" s="228" t="s">
        <v>112</v>
      </c>
      <c r="M52" s="228" t="s">
        <v>112</v>
      </c>
      <c r="N52" s="228"/>
      <c r="O52" s="9" t="s">
        <v>282</v>
      </c>
      <c r="P52" s="229" t="s">
        <v>382</v>
      </c>
      <c r="Q52" s="9" t="s">
        <v>282</v>
      </c>
      <c r="R52" s="230" t="s">
        <v>382</v>
      </c>
    </row>
    <row r="53" customFormat="false" ht="19.5" hidden="false" customHeight="false" outlineLevel="0" collapsed="false">
      <c r="A53" s="64" t="s">
        <v>320</v>
      </c>
      <c r="B53" s="223" t="str">
        <f aca="false">G53</f>
        <v>AA+</v>
      </c>
      <c r="C53" s="153" t="str">
        <f aca="false">F53</f>
        <v>Aa1</v>
      </c>
      <c r="E53" s="224" t="s">
        <v>320</v>
      </c>
      <c r="F53" s="225" t="str">
        <f aca="false">VLOOKUP(E53,$K$2:$M$154,3,FALSE())</f>
        <v>Aa1</v>
      </c>
      <c r="G53" s="226" t="str">
        <f aca="false">VLOOKUP(E53,$O$2:$P$155,2,FALSE())</f>
        <v>AA+</v>
      </c>
      <c r="H53" s="54" t="str">
        <f aca="false">VLOOKUP(E53,$Q$2:$R$161,2,FALSE())</f>
        <v>AA</v>
      </c>
      <c r="K53" s="227" t="s">
        <v>321</v>
      </c>
      <c r="L53" s="228" t="s">
        <v>114</v>
      </c>
      <c r="M53" s="228" t="s">
        <v>114</v>
      </c>
      <c r="N53" s="228"/>
      <c r="O53" s="9" t="s">
        <v>322</v>
      </c>
      <c r="P53" s="231" t="s">
        <v>378</v>
      </c>
      <c r="Q53" s="9" t="s">
        <v>322</v>
      </c>
      <c r="R53" s="230" t="s">
        <v>378</v>
      </c>
    </row>
    <row r="54" customFormat="false" ht="19.5" hidden="false" customHeight="false" outlineLevel="0" collapsed="false">
      <c r="A54" s="64" t="s">
        <v>321</v>
      </c>
      <c r="B54" s="223" t="str">
        <f aca="false">G54</f>
        <v>A+</v>
      </c>
      <c r="C54" s="153" t="str">
        <f aca="false">F54</f>
        <v>Aa3</v>
      </c>
      <c r="E54" s="224" t="s">
        <v>321</v>
      </c>
      <c r="F54" s="225" t="str">
        <f aca="false">VLOOKUP(E54,$K$2:$M$154,3,FALSE())</f>
        <v>Aa3</v>
      </c>
      <c r="G54" s="226" t="str">
        <f aca="false">VLOOKUP(E54,$O$2:$P$155,2,FALSE())</f>
        <v>A+</v>
      </c>
      <c r="H54" s="54" t="str">
        <f aca="false">VLOOKUP(E54,$Q$2:$R$161,2,FALSE())</f>
        <v>A+</v>
      </c>
      <c r="K54" s="227" t="s">
        <v>194</v>
      </c>
      <c r="L54" s="228" t="s">
        <v>134</v>
      </c>
      <c r="M54" s="228" t="s">
        <v>134</v>
      </c>
      <c r="N54" s="228"/>
      <c r="O54" s="9" t="s">
        <v>195</v>
      </c>
      <c r="P54" s="229" t="s">
        <v>380</v>
      </c>
      <c r="Q54" s="9" t="s">
        <v>195</v>
      </c>
      <c r="R54" s="230" t="s">
        <v>380</v>
      </c>
    </row>
    <row r="55" customFormat="false" ht="19.5" hidden="false" customHeight="false" outlineLevel="0" collapsed="false">
      <c r="A55" s="64" t="s">
        <v>194</v>
      </c>
      <c r="B55" s="223" t="str">
        <f aca="false">G55</f>
        <v>N/A</v>
      </c>
      <c r="C55" s="153" t="str">
        <f aca="false">F55</f>
        <v>Caa2</v>
      </c>
      <c r="E55" s="224" t="s">
        <v>194</v>
      </c>
      <c r="F55" s="225" t="str">
        <f aca="false">VLOOKUP(E55,$K$2:$M$154,3,FALSE())</f>
        <v>Caa2</v>
      </c>
      <c r="G55" s="226" t="str">
        <f aca="false">VLOOKUP(E55,$O$2:$P$155,2,FALSE())</f>
        <v>N/A</v>
      </c>
      <c r="H55" s="54" t="str">
        <f aca="false">VLOOKUP(E55,$Q$2:$R$161,2,FALSE())</f>
        <v>CCC-</v>
      </c>
      <c r="K55" s="227" t="s">
        <v>282</v>
      </c>
      <c r="L55" s="228" t="s">
        <v>120</v>
      </c>
      <c r="M55" s="228" t="s">
        <v>120</v>
      </c>
      <c r="N55" s="228"/>
      <c r="O55" s="9" t="s">
        <v>323</v>
      </c>
      <c r="P55" s="229" t="s">
        <v>385</v>
      </c>
      <c r="Q55" s="9" t="s">
        <v>323</v>
      </c>
      <c r="R55" s="230" t="s">
        <v>385</v>
      </c>
    </row>
    <row r="56" customFormat="false" ht="19.5" hidden="false" customHeight="false" outlineLevel="0" collapsed="false">
      <c r="A56" s="64" t="s">
        <v>282</v>
      </c>
      <c r="B56" s="223" t="str">
        <f aca="false">G56</f>
        <v>BB</v>
      </c>
      <c r="C56" s="153" t="str">
        <f aca="false">F56</f>
        <v>Ba2</v>
      </c>
      <c r="E56" s="224" t="s">
        <v>282</v>
      </c>
      <c r="F56" s="225" t="str">
        <f aca="false">VLOOKUP(E56,$K$2:$M$154,3,FALSE())</f>
        <v>Ba2</v>
      </c>
      <c r="G56" s="226" t="str">
        <f aca="false">VLOOKUP(E56,$O$2:$P$155,2,FALSE())</f>
        <v>BB</v>
      </c>
      <c r="H56" s="54" t="str">
        <f aca="false">VLOOKUP(E56,$Q$2:$R$161,2,FALSE())</f>
        <v>BB</v>
      </c>
      <c r="K56" s="227" t="s">
        <v>322</v>
      </c>
      <c r="L56" s="228" t="s">
        <v>115</v>
      </c>
      <c r="M56" s="228" t="s">
        <v>115</v>
      </c>
      <c r="N56" s="228"/>
      <c r="O56" s="9" t="s">
        <v>263</v>
      </c>
      <c r="P56" s="229" t="s">
        <v>384</v>
      </c>
      <c r="Q56" s="9" t="s">
        <v>478</v>
      </c>
      <c r="R56" s="230" t="s">
        <v>127</v>
      </c>
    </row>
    <row r="57" customFormat="false" ht="19.5" hidden="false" customHeight="false" outlineLevel="0" collapsed="false">
      <c r="A57" s="64" t="s">
        <v>322</v>
      </c>
      <c r="B57" s="223" t="str">
        <f aca="false">G57</f>
        <v>AAA</v>
      </c>
      <c r="C57" s="153" t="str">
        <f aca="false">F57</f>
        <v>Aaa</v>
      </c>
      <c r="E57" s="224" t="s">
        <v>322</v>
      </c>
      <c r="F57" s="225" t="str">
        <f aca="false">VLOOKUP(E57,$K$2:$M$154,3,FALSE())</f>
        <v>Aaa</v>
      </c>
      <c r="G57" s="226" t="str">
        <f aca="false">VLOOKUP(E57,$O$2:$P$155,2,FALSE())</f>
        <v>AAA</v>
      </c>
      <c r="H57" s="54" t="str">
        <f aca="false">VLOOKUP(E57,$Q$2:$R$161,2,FALSE())</f>
        <v>AAA</v>
      </c>
      <c r="K57" s="227" t="s">
        <v>195</v>
      </c>
      <c r="L57" s="228" t="s">
        <v>133</v>
      </c>
      <c r="M57" s="228" t="s">
        <v>133</v>
      </c>
      <c r="N57" s="228"/>
      <c r="O57" s="9" t="s">
        <v>264</v>
      </c>
      <c r="P57" s="229" t="s">
        <v>383</v>
      </c>
      <c r="Q57" s="9" t="s">
        <v>263</v>
      </c>
      <c r="R57" s="230" t="s">
        <v>384</v>
      </c>
    </row>
    <row r="58" customFormat="false" ht="19.5" hidden="false" customHeight="false" outlineLevel="0" collapsed="false">
      <c r="A58" s="64" t="s">
        <v>195</v>
      </c>
      <c r="B58" s="223" t="str">
        <f aca="false">G58</f>
        <v>B-</v>
      </c>
      <c r="C58" s="153" t="str">
        <f aca="false">F58</f>
        <v>Caa1</v>
      </c>
      <c r="E58" s="224" t="s">
        <v>195</v>
      </c>
      <c r="F58" s="225" t="str">
        <f aca="false">VLOOKUP(E58,$K$2:$M$154,3,FALSE())</f>
        <v>Caa1</v>
      </c>
      <c r="G58" s="226" t="str">
        <f aca="false">VLOOKUP(E58,$O$2:$P$155,2,FALSE())</f>
        <v>B-</v>
      </c>
      <c r="H58" s="54" t="str">
        <f aca="false">VLOOKUP(E58,$Q$2:$R$161,2,FALSE())</f>
        <v>B-</v>
      </c>
      <c r="K58" s="227" t="s">
        <v>323</v>
      </c>
      <c r="L58" s="228" t="s">
        <v>124</v>
      </c>
      <c r="M58" s="228" t="s">
        <v>124</v>
      </c>
      <c r="N58" s="228"/>
      <c r="O58" s="9" t="s">
        <v>217</v>
      </c>
      <c r="P58" s="231" t="s">
        <v>377</v>
      </c>
      <c r="Q58" s="9" t="s">
        <v>480</v>
      </c>
      <c r="R58" s="230" t="s">
        <v>127</v>
      </c>
    </row>
    <row r="59" customFormat="false" ht="19.5" hidden="false" customHeight="false" outlineLevel="0" collapsed="false">
      <c r="A59" s="64" t="s">
        <v>323</v>
      </c>
      <c r="B59" s="223" t="str">
        <f aca="false">G59</f>
        <v>BBB</v>
      </c>
      <c r="C59" s="153" t="str">
        <f aca="false">F59</f>
        <v>Baa3</v>
      </c>
      <c r="E59" s="224" t="s">
        <v>323</v>
      </c>
      <c r="F59" s="225" t="str">
        <f aca="false">VLOOKUP(E59,$K$2:$M$154,3,FALSE())</f>
        <v>Baa3</v>
      </c>
      <c r="G59" s="226" t="str">
        <f aca="false">VLOOKUP(E59,$O$2:$P$155,2,FALSE())</f>
        <v>BBB</v>
      </c>
      <c r="H59" s="54" t="str">
        <f aca="false">VLOOKUP(E59,$Q$2:$R$161,2,FALSE())</f>
        <v>BBB</v>
      </c>
      <c r="K59" s="227" t="s">
        <v>263</v>
      </c>
      <c r="L59" s="228" t="s">
        <v>119</v>
      </c>
      <c r="M59" s="228" t="s">
        <v>119</v>
      </c>
      <c r="N59" s="228"/>
      <c r="O59" s="9" t="s">
        <v>283</v>
      </c>
      <c r="P59" s="229" t="s">
        <v>386</v>
      </c>
      <c r="Q59" s="9" t="s">
        <v>264</v>
      </c>
      <c r="R59" s="230" t="s">
        <v>379</v>
      </c>
    </row>
    <row r="60" customFormat="false" ht="19.5" hidden="false" customHeight="false" outlineLevel="0" collapsed="false">
      <c r="A60" s="64" t="s">
        <v>263</v>
      </c>
      <c r="B60" s="223" t="str">
        <f aca="false">G60</f>
        <v>BB+</v>
      </c>
      <c r="C60" s="153" t="str">
        <f aca="false">F60</f>
        <v>Ba1</v>
      </c>
      <c r="E60" s="224" t="s">
        <v>263</v>
      </c>
      <c r="F60" s="225" t="str">
        <f aca="false">VLOOKUP(E60,$K$2:$M$154,3,FALSE())</f>
        <v>Ba1</v>
      </c>
      <c r="G60" s="226" t="str">
        <f aca="false">VLOOKUP(E60,$O$2:$P$155,2,FALSE())</f>
        <v>BB+</v>
      </c>
      <c r="H60" s="54" t="str">
        <f aca="false">VLOOKUP(E60,$Q$2:$R$161,2,FALSE())</f>
        <v>BB+</v>
      </c>
      <c r="K60" s="227" t="s">
        <v>591</v>
      </c>
      <c r="L60" s="228" t="s">
        <v>581</v>
      </c>
      <c r="M60" s="228" t="s">
        <v>581</v>
      </c>
      <c r="N60" s="228"/>
      <c r="O60" s="9" t="s">
        <v>325</v>
      </c>
      <c r="P60" s="231" t="s">
        <v>374</v>
      </c>
      <c r="Q60" s="9" t="s">
        <v>217</v>
      </c>
      <c r="R60" s="230" t="s">
        <v>376</v>
      </c>
    </row>
    <row r="61" customFormat="false" ht="19.5" hidden="false" customHeight="false" outlineLevel="0" collapsed="false">
      <c r="A61" s="64" t="s">
        <v>324</v>
      </c>
      <c r="B61" s="223" t="s">
        <v>374</v>
      </c>
      <c r="C61" s="153" t="s">
        <v>127</v>
      </c>
      <c r="E61" s="227" t="s">
        <v>591</v>
      </c>
      <c r="F61" s="225" t="str">
        <f aca="false">VLOOKUP(E61,$K$2:$M$154,3,FALSE())</f>
        <v>-</v>
      </c>
      <c r="G61" s="226" t="e">
        <f aca="false">VLOOKUP(E61,$O$2:$P$155,2,FALSE())</f>
        <v>#N/A</v>
      </c>
      <c r="H61" s="54" t="e">
        <f aca="false">VLOOKUP(E61,$Q$2:$R$161,2,FALSE())</f>
        <v>#N/A</v>
      </c>
      <c r="K61" s="227" t="s">
        <v>264</v>
      </c>
      <c r="L61" s="228" t="s">
        <v>116</v>
      </c>
      <c r="M61" s="228" t="s">
        <v>116</v>
      </c>
      <c r="N61" s="228"/>
      <c r="O61" s="9" t="s">
        <v>218</v>
      </c>
      <c r="P61" s="229" t="s">
        <v>385</v>
      </c>
      <c r="Q61" s="9" t="s">
        <v>283</v>
      </c>
      <c r="R61" s="230" t="s">
        <v>385</v>
      </c>
    </row>
    <row r="62" customFormat="false" ht="19.5" hidden="false" customHeight="false" outlineLevel="0" collapsed="false">
      <c r="A62" s="64" t="s">
        <v>264</v>
      </c>
      <c r="B62" s="223" t="str">
        <f aca="false">G62</f>
        <v>BB-</v>
      </c>
      <c r="C62" s="153" t="str">
        <f aca="false">F62</f>
        <v>B1</v>
      </c>
      <c r="E62" s="224" t="s">
        <v>264</v>
      </c>
      <c r="F62" s="225" t="str">
        <f aca="false">VLOOKUP(E62,$K$2:$M$154,3,FALSE())</f>
        <v>B1</v>
      </c>
      <c r="G62" s="226" t="str">
        <f aca="false">VLOOKUP(E62,$O$2:$P$155,2,FALSE())</f>
        <v>BB-</v>
      </c>
      <c r="H62" s="54" t="str">
        <f aca="false">VLOOKUP(E62,$Q$2:$R$161,2,FALSE())</f>
        <v>B</v>
      </c>
      <c r="K62" s="227" t="s">
        <v>486</v>
      </c>
      <c r="L62" s="228" t="s">
        <v>114</v>
      </c>
      <c r="M62" s="228" t="s">
        <v>114</v>
      </c>
      <c r="N62" s="228"/>
      <c r="O62" s="9" t="s">
        <v>219</v>
      </c>
      <c r="P62" s="229" t="s">
        <v>385</v>
      </c>
      <c r="Q62" s="9" t="s">
        <v>325</v>
      </c>
      <c r="R62" s="230" t="s">
        <v>372</v>
      </c>
    </row>
    <row r="63" customFormat="false" ht="19.5" hidden="false" customHeight="false" outlineLevel="0" collapsed="false">
      <c r="A63" s="64" t="s">
        <v>217</v>
      </c>
      <c r="B63" s="223" t="str">
        <f aca="false">G63</f>
        <v>AA+</v>
      </c>
      <c r="C63" s="153" t="str">
        <f aca="false">F63</f>
        <v>Aa3</v>
      </c>
      <c r="E63" s="224" t="s">
        <v>217</v>
      </c>
      <c r="F63" s="225" t="s">
        <v>114</v>
      </c>
      <c r="G63" s="226" t="str">
        <f aca="false">VLOOKUP(E63,$O$2:$P$155,2,FALSE())</f>
        <v>AA+</v>
      </c>
      <c r="H63" s="54" t="str">
        <f aca="false">VLOOKUP(E63,$Q$2:$R$161,2,FALSE())</f>
        <v>AA-</v>
      </c>
      <c r="K63" s="227" t="s">
        <v>283</v>
      </c>
      <c r="L63" s="228" t="s">
        <v>123</v>
      </c>
      <c r="M63" s="228" t="s">
        <v>123</v>
      </c>
      <c r="N63" s="228"/>
      <c r="O63" s="9" t="s">
        <v>302</v>
      </c>
      <c r="P63" s="229" t="s">
        <v>380</v>
      </c>
      <c r="Q63" s="9" t="s">
        <v>218</v>
      </c>
      <c r="R63" s="230" t="s">
        <v>386</v>
      </c>
    </row>
    <row r="64" customFormat="false" ht="19.5" hidden="false" customHeight="false" outlineLevel="0" collapsed="false">
      <c r="A64" s="64" t="s">
        <v>283</v>
      </c>
      <c r="B64" s="223" t="str">
        <f aca="false">G64</f>
        <v>BBB-</v>
      </c>
      <c r="C64" s="153" t="str">
        <f aca="false">F64</f>
        <v>Baa2</v>
      </c>
      <c r="E64" s="224" t="s">
        <v>283</v>
      </c>
      <c r="F64" s="225" t="str">
        <f aca="false">VLOOKUP(E64,$K$2:$M$154,3,FALSE())</f>
        <v>Baa2</v>
      </c>
      <c r="G64" s="226" t="str">
        <f aca="false">VLOOKUP(E64,$O$2:$P$155,2,FALSE())</f>
        <v>BBB-</v>
      </c>
      <c r="H64" s="54" t="str">
        <f aca="false">VLOOKUP(E64,$Q$2:$R$161,2,FALSE())</f>
        <v>BBB</v>
      </c>
      <c r="K64" s="227" t="s">
        <v>325</v>
      </c>
      <c r="L64" s="228" t="s">
        <v>109</v>
      </c>
      <c r="M64" s="228" t="s">
        <v>109</v>
      </c>
      <c r="N64" s="228"/>
      <c r="O64" s="9" t="s">
        <v>326</v>
      </c>
      <c r="P64" s="231" t="s">
        <v>375</v>
      </c>
      <c r="Q64" s="9" t="s">
        <v>219</v>
      </c>
      <c r="R64" s="230" t="s">
        <v>385</v>
      </c>
    </row>
    <row r="65" customFormat="false" ht="19.5" hidden="false" customHeight="false" outlineLevel="0" collapsed="false">
      <c r="A65" s="64" t="s">
        <v>325</v>
      </c>
      <c r="B65" s="223" t="str">
        <f aca="false">G65</f>
        <v>A+</v>
      </c>
      <c r="C65" s="153" t="str">
        <f aca="false">F65</f>
        <v>A1</v>
      </c>
      <c r="E65" s="224" t="s">
        <v>325</v>
      </c>
      <c r="F65" s="225" t="str">
        <f aca="false">VLOOKUP(E65,$K$2:$M$154,3,FALSE())</f>
        <v>A1</v>
      </c>
      <c r="G65" s="226" t="str">
        <f aca="false">VLOOKUP(E65,$O$2:$P$155,2,FALSE())</f>
        <v>A+</v>
      </c>
      <c r="H65" s="54" t="str">
        <f aca="false">VLOOKUP(E65,$Q$2:$R$161,2,FALSE())</f>
        <v>A</v>
      </c>
      <c r="K65" s="227" t="s">
        <v>218</v>
      </c>
      <c r="L65" s="228" t="s">
        <v>124</v>
      </c>
      <c r="M65" s="228" t="s">
        <v>124</v>
      </c>
      <c r="N65" s="228"/>
      <c r="O65" s="9" t="s">
        <v>327</v>
      </c>
      <c r="P65" s="231" t="s">
        <v>583</v>
      </c>
      <c r="Q65" s="9" t="s">
        <v>523</v>
      </c>
      <c r="R65" s="230" t="s">
        <v>381</v>
      </c>
    </row>
    <row r="66" customFormat="false" ht="19.5" hidden="false" customHeight="false" outlineLevel="0" collapsed="false">
      <c r="A66" s="64" t="s">
        <v>218</v>
      </c>
      <c r="B66" s="223" t="str">
        <f aca="false">G66</f>
        <v>BBB</v>
      </c>
      <c r="C66" s="153" t="str">
        <f aca="false">F66</f>
        <v>Baa3</v>
      </c>
      <c r="E66" s="224" t="s">
        <v>218</v>
      </c>
      <c r="F66" s="225" t="str">
        <f aca="false">VLOOKUP(E66,$K$2:$M$154,3,FALSE())</f>
        <v>Baa3</v>
      </c>
      <c r="G66" s="226" t="str">
        <f aca="false">VLOOKUP(E66,$O$2:$P$155,2,FALSE())</f>
        <v>BBB</v>
      </c>
      <c r="H66" s="54" t="str">
        <f aca="false">VLOOKUP(E66,$Q$2:$R$161,2,FALSE())</f>
        <v>BBB-</v>
      </c>
      <c r="K66" s="227" t="s">
        <v>219</v>
      </c>
      <c r="L66" s="228" t="s">
        <v>123</v>
      </c>
      <c r="M66" s="228" t="s">
        <v>123</v>
      </c>
      <c r="N66" s="228"/>
      <c r="O66" s="9" t="s">
        <v>303</v>
      </c>
      <c r="P66" s="231" t="s">
        <v>372</v>
      </c>
      <c r="Q66" s="9" t="s">
        <v>302</v>
      </c>
      <c r="R66" s="230" t="s">
        <v>380</v>
      </c>
    </row>
    <row r="67" customFormat="false" ht="19.5" hidden="false" customHeight="false" outlineLevel="0" collapsed="false">
      <c r="A67" s="64" t="s">
        <v>219</v>
      </c>
      <c r="B67" s="223" t="str">
        <f aca="false">G67</f>
        <v>BBB</v>
      </c>
      <c r="C67" s="153" t="str">
        <f aca="false">F67</f>
        <v>Baa2</v>
      </c>
      <c r="E67" s="224" t="s">
        <v>219</v>
      </c>
      <c r="F67" s="225" t="str">
        <f aca="false">VLOOKUP(E67,$K$2:$M$154,3,FALSE())</f>
        <v>Baa2</v>
      </c>
      <c r="G67" s="226" t="str">
        <f aca="false">VLOOKUP(E67,$O$2:$P$155,2,FALSE())</f>
        <v>BBB</v>
      </c>
      <c r="H67" s="54" t="str">
        <f aca="false">VLOOKUP(E67,$Q$2:$R$161,2,FALSE())</f>
        <v>BBB</v>
      </c>
      <c r="K67" s="227" t="s">
        <v>302</v>
      </c>
      <c r="L67" s="228" t="s">
        <v>133</v>
      </c>
      <c r="M67" s="228" t="s">
        <v>133</v>
      </c>
      <c r="N67" s="228"/>
      <c r="O67" s="9" t="s">
        <v>328</v>
      </c>
      <c r="P67" s="229" t="s">
        <v>387</v>
      </c>
      <c r="Q67" s="9" t="s">
        <v>326</v>
      </c>
      <c r="R67" s="230" t="s">
        <v>375</v>
      </c>
    </row>
    <row r="68" customFormat="false" ht="19.5" hidden="false" customHeight="false" outlineLevel="0" collapsed="false">
      <c r="A68" s="64" t="s">
        <v>302</v>
      </c>
      <c r="B68" s="223" t="str">
        <f aca="false">G68</f>
        <v>B-</v>
      </c>
      <c r="C68" s="153" t="str">
        <f aca="false">F68</f>
        <v>Caa1</v>
      </c>
      <c r="E68" s="224" t="s">
        <v>302</v>
      </c>
      <c r="F68" s="225" t="str">
        <f aca="false">VLOOKUP(E68,$K$2:$M$154,3,FALSE())</f>
        <v>Caa1</v>
      </c>
      <c r="G68" s="226" t="str">
        <f aca="false">VLOOKUP(E68,$O$2:$P$155,2,FALSE())</f>
        <v>B-</v>
      </c>
      <c r="H68" s="54" t="str">
        <f aca="false">VLOOKUP(E68,$Q$2:$R$161,2,FALSE())</f>
        <v>B-</v>
      </c>
      <c r="K68" s="227" t="s">
        <v>326</v>
      </c>
      <c r="L68" s="228" t="s">
        <v>114</v>
      </c>
      <c r="M68" s="228" t="s">
        <v>114</v>
      </c>
      <c r="N68" s="228"/>
      <c r="O68" s="9" t="s">
        <v>592</v>
      </c>
      <c r="P68" s="229" t="s">
        <v>382</v>
      </c>
      <c r="Q68" s="9" t="s">
        <v>303</v>
      </c>
      <c r="R68" s="230" t="s">
        <v>372</v>
      </c>
    </row>
    <row r="69" customFormat="false" ht="19.5" hidden="false" customHeight="false" outlineLevel="0" collapsed="false">
      <c r="A69" s="64" t="s">
        <v>326</v>
      </c>
      <c r="B69" s="223" t="str">
        <f aca="false">G69</f>
        <v>AA</v>
      </c>
      <c r="C69" s="153" t="str">
        <f aca="false">F69</f>
        <v>Aa3</v>
      </c>
      <c r="E69" s="224" t="s">
        <v>326</v>
      </c>
      <c r="F69" s="225" t="str">
        <f aca="false">VLOOKUP(E69,$K$2:$M$154,3,FALSE())</f>
        <v>Aa3</v>
      </c>
      <c r="G69" s="226" t="str">
        <f aca="false">VLOOKUP(E69,$O$2:$P$155,2,FALSE())</f>
        <v>AA</v>
      </c>
      <c r="H69" s="54" t="str">
        <f aca="false">VLOOKUP(E69,$Q$2:$R$161,2,FALSE())</f>
        <v>AA</v>
      </c>
      <c r="K69" s="227" t="s">
        <v>327</v>
      </c>
      <c r="L69" s="228" t="s">
        <v>114</v>
      </c>
      <c r="M69" s="228" t="s">
        <v>114</v>
      </c>
      <c r="N69" s="228"/>
      <c r="O69" s="9" t="s">
        <v>248</v>
      </c>
      <c r="P69" s="229" t="s">
        <v>382</v>
      </c>
      <c r="Q69" s="9" t="s">
        <v>328</v>
      </c>
      <c r="R69" s="230" t="s">
        <v>387</v>
      </c>
    </row>
    <row r="70" customFormat="false" ht="19.5" hidden="false" customHeight="false" outlineLevel="0" collapsed="false">
      <c r="A70" s="64" t="s">
        <v>327</v>
      </c>
      <c r="B70" s="223" t="str">
        <f aca="false">G70</f>
        <v>NR</v>
      </c>
      <c r="C70" s="153" t="str">
        <f aca="false">F70</f>
        <v>Aa3</v>
      </c>
      <c r="E70" s="224" t="s">
        <v>327</v>
      </c>
      <c r="F70" s="225" t="str">
        <f aca="false">VLOOKUP(E70,$K$2:$M$154,3,FALSE())</f>
        <v>Aa3</v>
      </c>
      <c r="G70" s="226" t="s">
        <v>127</v>
      </c>
      <c r="H70" s="54" t="e">
        <f aca="false">VLOOKUP(E70,$Q$2:$R$161,2,FALSE())</f>
        <v>#N/A</v>
      </c>
      <c r="K70" s="227" t="s">
        <v>303</v>
      </c>
      <c r="L70" s="228" t="s">
        <v>122</v>
      </c>
      <c r="M70" s="228" t="s">
        <v>122</v>
      </c>
      <c r="N70" s="228"/>
      <c r="O70" s="9" t="s">
        <v>220</v>
      </c>
      <c r="P70" s="231" t="s">
        <v>374</v>
      </c>
      <c r="Q70" s="9" t="s">
        <v>592</v>
      </c>
      <c r="R70" s="230" t="s">
        <v>382</v>
      </c>
    </row>
    <row r="71" customFormat="false" ht="19.5" hidden="false" customHeight="false" outlineLevel="0" collapsed="false">
      <c r="A71" s="64" t="s">
        <v>303</v>
      </c>
      <c r="B71" s="223" t="str">
        <f aca="false">G71</f>
        <v>A</v>
      </c>
      <c r="C71" s="153" t="str">
        <f aca="false">F71</f>
        <v>Baa1</v>
      </c>
      <c r="E71" s="224" t="s">
        <v>303</v>
      </c>
      <c r="F71" s="225" t="str">
        <f aca="false">VLOOKUP(E71,$K$2:$M$154,3,FALSE())</f>
        <v>Baa1</v>
      </c>
      <c r="G71" s="226" t="str">
        <f aca="false">VLOOKUP(E71,$O$2:$P$155,2,FALSE())</f>
        <v>A</v>
      </c>
      <c r="H71" s="54" t="str">
        <f aca="false">VLOOKUP(E71,$Q$2:$R$161,2,FALSE())</f>
        <v>A</v>
      </c>
      <c r="K71" s="227" t="s">
        <v>328</v>
      </c>
      <c r="L71" s="228" t="s">
        <v>123</v>
      </c>
      <c r="M71" s="228" t="s">
        <v>123</v>
      </c>
      <c r="N71" s="228"/>
      <c r="O71" s="9" t="s">
        <v>304</v>
      </c>
      <c r="P71" s="229" t="s">
        <v>383</v>
      </c>
      <c r="Q71" s="9" t="s">
        <v>248</v>
      </c>
      <c r="R71" s="230" t="s">
        <v>383</v>
      </c>
    </row>
    <row r="72" customFormat="false" ht="19.5" hidden="false" customHeight="false" outlineLevel="0" collapsed="false">
      <c r="A72" s="64" t="s">
        <v>328</v>
      </c>
      <c r="B72" s="223" t="str">
        <f aca="false">G72</f>
        <v>BBB+</v>
      </c>
      <c r="C72" s="153" t="str">
        <f aca="false">F72</f>
        <v>Baa2</v>
      </c>
      <c r="E72" s="224" t="s">
        <v>328</v>
      </c>
      <c r="F72" s="225" t="str">
        <f aca="false">VLOOKUP(E72,$K$2:$M$154,3,FALSE())</f>
        <v>Baa2</v>
      </c>
      <c r="G72" s="226" t="str">
        <f aca="false">VLOOKUP(E72,$O$2:$P$155,2,FALSE())</f>
        <v>BBB+</v>
      </c>
      <c r="H72" s="54" t="str">
        <f aca="false">VLOOKUP(E72,$Q$2:$R$161,2,FALSE())</f>
        <v>BBB+</v>
      </c>
      <c r="K72" s="227" t="s">
        <v>248</v>
      </c>
      <c r="L72" s="228" t="s">
        <v>121</v>
      </c>
      <c r="M72" s="228" t="s">
        <v>121</v>
      </c>
      <c r="N72" s="228"/>
      <c r="O72" s="9" t="s">
        <v>284</v>
      </c>
      <c r="P72" s="229" t="s">
        <v>386</v>
      </c>
      <c r="Q72" s="9" t="s">
        <v>220</v>
      </c>
      <c r="R72" s="230" t="s">
        <v>372</v>
      </c>
    </row>
    <row r="73" customFormat="false" ht="19.5" hidden="false" customHeight="false" outlineLevel="0" collapsed="false">
      <c r="A73" s="64" t="s">
        <v>248</v>
      </c>
      <c r="B73" s="223" t="str">
        <f aca="false">G73</f>
        <v>BB</v>
      </c>
      <c r="C73" s="153" t="str">
        <f aca="false">F73</f>
        <v>Ba3</v>
      </c>
      <c r="E73" s="224" t="s">
        <v>248</v>
      </c>
      <c r="F73" s="225" t="str">
        <f aca="false">VLOOKUP(E73,$K$2:$M$154,3,FALSE())</f>
        <v>Ba3</v>
      </c>
      <c r="G73" s="226" t="str">
        <f aca="false">VLOOKUP(E73,$O$2:$P$155,2,FALSE())</f>
        <v>BB</v>
      </c>
      <c r="H73" s="54" t="str">
        <f aca="false">VLOOKUP(E73,$Q$2:$R$161,2,FALSE())</f>
        <v>BB-</v>
      </c>
      <c r="K73" s="227" t="s">
        <v>220</v>
      </c>
      <c r="L73" s="228" t="s">
        <v>109</v>
      </c>
      <c r="M73" s="228" t="s">
        <v>109</v>
      </c>
      <c r="N73" s="228"/>
      <c r="O73" s="9" t="s">
        <v>196</v>
      </c>
      <c r="P73" s="229" t="s">
        <v>379</v>
      </c>
      <c r="Q73" s="9" t="s">
        <v>304</v>
      </c>
      <c r="R73" s="230" t="s">
        <v>383</v>
      </c>
    </row>
    <row r="74" customFormat="false" ht="19.5" hidden="false" customHeight="false" outlineLevel="0" collapsed="false">
      <c r="A74" s="64" t="s">
        <v>220</v>
      </c>
      <c r="B74" s="223" t="str">
        <f aca="false">G74</f>
        <v>A+</v>
      </c>
      <c r="C74" s="153" t="str">
        <f aca="false">F74</f>
        <v>A1</v>
      </c>
      <c r="E74" s="224" t="s">
        <v>220</v>
      </c>
      <c r="F74" s="225" t="str">
        <f aca="false">VLOOKUP(E74,$K$2:$M$154,3,FALSE())</f>
        <v>A1</v>
      </c>
      <c r="G74" s="226" t="str">
        <f aca="false">VLOOKUP(E74,$O$2:$P$155,2,FALSE())</f>
        <v>A+</v>
      </c>
      <c r="H74" s="54" t="str">
        <f aca="false">VLOOKUP(E74,$Q$2:$R$161,2,FALSE())</f>
        <v>A</v>
      </c>
      <c r="K74" s="227" t="s">
        <v>593</v>
      </c>
      <c r="L74" s="228" t="s">
        <v>581</v>
      </c>
      <c r="M74" s="228" t="s">
        <v>581</v>
      </c>
      <c r="N74" s="228"/>
      <c r="O74" s="9" t="s">
        <v>305</v>
      </c>
      <c r="P74" s="231" t="s">
        <v>376</v>
      </c>
      <c r="Q74" s="9" t="s">
        <v>284</v>
      </c>
      <c r="R74" s="230" t="s">
        <v>385</v>
      </c>
    </row>
    <row r="75" customFormat="false" ht="19.5" hidden="false" customHeight="false" outlineLevel="0" collapsed="false">
      <c r="A75" s="64" t="s">
        <v>329</v>
      </c>
      <c r="B75" s="223" t="s">
        <v>376</v>
      </c>
      <c r="C75" s="153" t="s">
        <v>127</v>
      </c>
      <c r="E75" s="224" t="s">
        <v>593</v>
      </c>
      <c r="F75" s="225" t="str">
        <f aca="false">VLOOKUP(E75,$K$2:$M$154,3,FALSE())</f>
        <v>-</v>
      </c>
      <c r="G75" s="226" t="e">
        <f aca="false">VLOOKUP(E75,$O$2:$P$155,2,FALSE())</f>
        <v>#N/A</v>
      </c>
      <c r="H75" s="54" t="e">
        <f aca="false">VLOOKUP(E75,$Q$2:$R$161,2,FALSE())</f>
        <v>#N/A</v>
      </c>
      <c r="K75" s="227" t="s">
        <v>304</v>
      </c>
      <c r="L75" s="228" t="s">
        <v>121</v>
      </c>
      <c r="M75" s="228" t="s">
        <v>121</v>
      </c>
      <c r="N75" s="228"/>
      <c r="O75" s="9" t="s">
        <v>285</v>
      </c>
      <c r="P75" s="229" t="s">
        <v>381</v>
      </c>
      <c r="Q75" s="9" t="s">
        <v>196</v>
      </c>
      <c r="R75" s="230" t="s">
        <v>380</v>
      </c>
    </row>
    <row r="76" customFormat="false" ht="19.5" hidden="false" customHeight="false" outlineLevel="0" collapsed="false">
      <c r="A76" s="64" t="s">
        <v>304</v>
      </c>
      <c r="B76" s="223" t="str">
        <f aca="false">G76</f>
        <v>BB-</v>
      </c>
      <c r="C76" s="153" t="str">
        <f aca="false">F76</f>
        <v>Ba3</v>
      </c>
      <c r="E76" s="224" t="s">
        <v>304</v>
      </c>
      <c r="F76" s="225" t="str">
        <f aca="false">VLOOKUP(E76,$K$2:$M$154,3,FALSE())</f>
        <v>Ba3</v>
      </c>
      <c r="G76" s="226" t="str">
        <f aca="false">VLOOKUP(E76,$O$2:$P$155,2,FALSE())</f>
        <v>BB-</v>
      </c>
      <c r="H76" s="54" t="str">
        <f aca="false">VLOOKUP(E76,$Q$2:$R$161,2,FALSE())</f>
        <v>BB-</v>
      </c>
      <c r="K76" s="227" t="s">
        <v>284</v>
      </c>
      <c r="L76" s="228" t="s">
        <v>122</v>
      </c>
      <c r="M76" s="228" t="s">
        <v>122</v>
      </c>
      <c r="N76" s="228"/>
      <c r="O76" s="9" t="s">
        <v>222</v>
      </c>
      <c r="P76" s="233" t="s">
        <v>401</v>
      </c>
      <c r="Q76" s="9" t="s">
        <v>305</v>
      </c>
      <c r="R76" s="230" t="s">
        <v>376</v>
      </c>
    </row>
    <row r="77" customFormat="false" ht="19.5" hidden="false" customHeight="false" outlineLevel="0" collapsed="false">
      <c r="A77" s="64" t="s">
        <v>284</v>
      </c>
      <c r="B77" s="223" t="str">
        <f aca="false">G77</f>
        <v>BBB-</v>
      </c>
      <c r="C77" s="153" t="str">
        <f aca="false">F77</f>
        <v>Baa1</v>
      </c>
      <c r="E77" s="224" t="s">
        <v>284</v>
      </c>
      <c r="F77" s="225" t="str">
        <f aca="false">VLOOKUP(E77,$K$2:$M$154,3,FALSE())</f>
        <v>Baa1</v>
      </c>
      <c r="G77" s="226" t="str">
        <f aca="false">VLOOKUP(E77,$O$2:$P$155,2,FALSE())</f>
        <v>BBB-</v>
      </c>
      <c r="H77" s="54" t="str">
        <f aca="false">VLOOKUP(E77,$Q$2:$R$161,2,FALSE())</f>
        <v>BBB</v>
      </c>
      <c r="K77" s="227" t="s">
        <v>196</v>
      </c>
      <c r="L77" s="228" t="s">
        <v>118</v>
      </c>
      <c r="M77" s="228" t="s">
        <v>118</v>
      </c>
      <c r="N77" s="228"/>
      <c r="O77" s="9" t="s">
        <v>286</v>
      </c>
      <c r="P77" s="231" t="s">
        <v>372</v>
      </c>
      <c r="Q77" s="9" t="s">
        <v>285</v>
      </c>
      <c r="R77" s="230" t="s">
        <v>379</v>
      </c>
    </row>
    <row r="78" customFormat="false" ht="19.5" hidden="false" customHeight="false" outlineLevel="0" collapsed="false">
      <c r="A78" s="64" t="s">
        <v>196</v>
      </c>
      <c r="B78" s="223" t="str">
        <f aca="false">G78</f>
        <v>B</v>
      </c>
      <c r="C78" s="153" t="str">
        <f aca="false">F78</f>
        <v>B3</v>
      </c>
      <c r="E78" s="224" t="s">
        <v>196</v>
      </c>
      <c r="F78" s="225" t="str">
        <f aca="false">VLOOKUP(E78,$K$2:$M$154,3,FALSE())</f>
        <v>B3</v>
      </c>
      <c r="G78" s="226" t="str">
        <f aca="false">VLOOKUP(E78,$O$2:$P$155,2,FALSE())</f>
        <v>B</v>
      </c>
      <c r="H78" s="54" t="str">
        <f aca="false">VLOOKUP(E78,$Q$2:$R$161,2,FALSE())</f>
        <v>B-</v>
      </c>
      <c r="K78" s="227" t="s">
        <v>221</v>
      </c>
      <c r="L78" s="228" t="s">
        <v>113</v>
      </c>
      <c r="M78" s="228" t="s">
        <v>113</v>
      </c>
      <c r="N78" s="228"/>
      <c r="O78" s="9" t="s">
        <v>306</v>
      </c>
      <c r="P78" s="233" t="s">
        <v>588</v>
      </c>
      <c r="Q78" s="9" t="s">
        <v>222</v>
      </c>
      <c r="R78" s="230" t="s">
        <v>401</v>
      </c>
    </row>
    <row r="79" customFormat="false" ht="19.5" hidden="false" customHeight="false" outlineLevel="0" collapsed="false">
      <c r="A79" s="64" t="s">
        <v>221</v>
      </c>
      <c r="B79" s="223" t="str">
        <f aca="false">G79</f>
        <v>AA</v>
      </c>
      <c r="C79" s="153" t="str">
        <f aca="false">F79</f>
        <v>Aa2</v>
      </c>
      <c r="E79" s="224" t="s">
        <v>221</v>
      </c>
      <c r="F79" s="225" t="str">
        <f aca="false">VLOOKUP(E79,$K$2:$M$154,3,FALSE())</f>
        <v>Aa2</v>
      </c>
      <c r="G79" s="226" t="s">
        <v>375</v>
      </c>
      <c r="H79" s="54" t="e">
        <f aca="false">VLOOKUP(E79,$Q$2:$R$161,2,FALSE())</f>
        <v>#N/A</v>
      </c>
      <c r="K79" s="227" t="s">
        <v>305</v>
      </c>
      <c r="L79" s="228" t="s">
        <v>109</v>
      </c>
      <c r="M79" s="228" t="s">
        <v>109</v>
      </c>
      <c r="N79" s="228"/>
      <c r="O79" s="9" t="s">
        <v>503</v>
      </c>
      <c r="P79" s="233"/>
      <c r="Q79" s="9" t="s">
        <v>286</v>
      </c>
      <c r="R79" s="230" t="s">
        <v>373</v>
      </c>
    </row>
    <row r="80" customFormat="false" ht="19.5" hidden="false" customHeight="false" outlineLevel="0" collapsed="false">
      <c r="A80" s="64" t="s">
        <v>305</v>
      </c>
      <c r="B80" s="223" t="str">
        <f aca="false">G80</f>
        <v>AA-</v>
      </c>
      <c r="C80" s="153" t="str">
        <f aca="false">F80</f>
        <v>A1</v>
      </c>
      <c r="E80" s="224" t="s">
        <v>305</v>
      </c>
      <c r="F80" s="225" t="str">
        <f aca="false">VLOOKUP(E80,$K$2:$M$154,3,FALSE())</f>
        <v>A1</v>
      </c>
      <c r="G80" s="226" t="str">
        <f aca="false">VLOOKUP(E80,$O$2:$P$155,2,FALSE())</f>
        <v>AA-</v>
      </c>
      <c r="H80" s="54" t="str">
        <f aca="false">VLOOKUP(E80,$Q$2:$R$161,2,FALSE())</f>
        <v>AA-</v>
      </c>
      <c r="K80" s="227" t="s">
        <v>497</v>
      </c>
      <c r="L80" s="228" t="s">
        <v>118</v>
      </c>
      <c r="M80" s="228" t="s">
        <v>118</v>
      </c>
      <c r="N80" s="228"/>
      <c r="O80" s="9" t="s">
        <v>330</v>
      </c>
      <c r="P80" s="231" t="s">
        <v>378</v>
      </c>
      <c r="Q80" s="9" t="s">
        <v>306</v>
      </c>
      <c r="R80" s="230" t="s">
        <v>127</v>
      </c>
    </row>
    <row r="81" customFormat="false" ht="19.5" hidden="false" customHeight="false" outlineLevel="0" collapsed="false">
      <c r="A81" s="0" t="s">
        <v>285</v>
      </c>
      <c r="B81" s="223" t="e">
        <f aca="false">G81</f>
        <v>#N/A</v>
      </c>
      <c r="C81" s="153" t="str">
        <f aca="false">F81</f>
        <v>B3</v>
      </c>
      <c r="E81" s="224" t="s">
        <v>497</v>
      </c>
      <c r="F81" s="225" t="str">
        <f aca="false">VLOOKUP(E81,$K$2:$M$154,3,FALSE())</f>
        <v>B3</v>
      </c>
      <c r="G81" s="226" t="e">
        <f aca="false">VLOOKUP(E81,$O$2:$P$155,2,FALSE())</f>
        <v>#N/A</v>
      </c>
      <c r="H81" s="54" t="e">
        <f aca="false">VLOOKUP(E81,$Q$2:$R$161,2,FALSE())</f>
        <v>#N/A</v>
      </c>
      <c r="K81" s="227" t="s">
        <v>222</v>
      </c>
      <c r="L81" s="228" t="s">
        <v>134</v>
      </c>
      <c r="M81" s="228" t="s">
        <v>134</v>
      </c>
      <c r="N81" s="228"/>
      <c r="O81" s="9" t="s">
        <v>287</v>
      </c>
      <c r="P81" s="231" t="s">
        <v>372</v>
      </c>
      <c r="Q81" s="9" t="s">
        <v>503</v>
      </c>
      <c r="R81" s="230" t="s">
        <v>379</v>
      </c>
    </row>
    <row r="82" customFormat="false" ht="19.5" hidden="false" customHeight="false" outlineLevel="0" collapsed="false">
      <c r="A82" s="0" t="str">
        <f aca="false">E82</f>
        <v>Laos</v>
      </c>
      <c r="B82" s="223" t="str">
        <f aca="false">G82</f>
        <v>CCC+</v>
      </c>
      <c r="C82" s="153" t="str">
        <f aca="false">F82</f>
        <v>Caa2</v>
      </c>
      <c r="E82" s="224" t="s">
        <v>222</v>
      </c>
      <c r="F82" s="225" t="str">
        <f aca="false">VLOOKUP(E82,$K$2:$M$154,3,FALSE())</f>
        <v>Caa2</v>
      </c>
      <c r="G82" s="226" t="str">
        <f aca="false">VLOOKUP(E82,$O$2:$P$155,2,FALSE())</f>
        <v>CCC+</v>
      </c>
      <c r="H82" s="54" t="str">
        <f aca="false">VLOOKUP(E82,$Q$2:$R$161,2,FALSE())</f>
        <v>CCC+</v>
      </c>
      <c r="K82" s="227" t="s">
        <v>286</v>
      </c>
      <c r="L82" s="228" t="s">
        <v>111</v>
      </c>
      <c r="M82" s="228" t="s">
        <v>111</v>
      </c>
      <c r="N82" s="228"/>
      <c r="O82" s="9" t="s">
        <v>331</v>
      </c>
      <c r="P82" s="231" t="s">
        <v>378</v>
      </c>
      <c r="Q82" s="9" t="s">
        <v>505</v>
      </c>
      <c r="R82" s="230" t="s">
        <v>379</v>
      </c>
    </row>
    <row r="83" customFormat="false" ht="19.5" hidden="false" customHeight="false" outlineLevel="0" collapsed="false">
      <c r="A83" s="64" t="s">
        <v>286</v>
      </c>
      <c r="B83" s="223" t="str">
        <f aca="false">G83</f>
        <v>A</v>
      </c>
      <c r="C83" s="153" t="str">
        <f aca="false">F83</f>
        <v>A3</v>
      </c>
      <c r="E83" s="224" t="s">
        <v>286</v>
      </c>
      <c r="F83" s="225" t="str">
        <f aca="false">VLOOKUP(E83,$K$2:$M$154,3,FALSE())</f>
        <v>A3</v>
      </c>
      <c r="G83" s="226" t="str">
        <f aca="false">VLOOKUP(E83,$O$2:$P$155,2,FALSE())</f>
        <v>A</v>
      </c>
      <c r="H83" s="54" t="str">
        <f aca="false">VLOOKUP(E83,$Q$2:$R$161,2,FALSE())</f>
        <v>A-</v>
      </c>
      <c r="K83" s="227" t="s">
        <v>306</v>
      </c>
      <c r="L83" s="228" t="s">
        <v>125</v>
      </c>
      <c r="M83" s="228" t="s">
        <v>125</v>
      </c>
      <c r="N83" s="228"/>
      <c r="O83" s="9" t="s">
        <v>594</v>
      </c>
      <c r="P83" s="233"/>
      <c r="Q83" s="9" t="s">
        <v>330</v>
      </c>
      <c r="R83" s="230" t="s">
        <v>127</v>
      </c>
    </row>
    <row r="84" customFormat="false" ht="19.5" hidden="false" customHeight="false" outlineLevel="0" collapsed="false">
      <c r="A84" s="64" t="s">
        <v>306</v>
      </c>
      <c r="B84" s="223" t="str">
        <f aca="false">G84</f>
        <v>SD</v>
      </c>
      <c r="C84" s="153" t="str">
        <f aca="false">F84</f>
        <v>C</v>
      </c>
      <c r="E84" s="224" t="s">
        <v>306</v>
      </c>
      <c r="F84" s="225" t="str">
        <f aca="false">VLOOKUP(E84,$K$2:$M$154,3,FALSE())</f>
        <v>C</v>
      </c>
      <c r="G84" s="226" t="str">
        <f aca="false">VLOOKUP(E84,$O$2:$P$155,2,FALSE())</f>
        <v>SD</v>
      </c>
      <c r="H84" s="54" t="str">
        <f aca="false">VLOOKUP(E84,$Q$2:$R$161,2,FALSE())</f>
        <v>NR</v>
      </c>
      <c r="K84" s="227" t="s">
        <v>330</v>
      </c>
      <c r="L84" s="228" t="s">
        <v>581</v>
      </c>
      <c r="M84" s="228" t="s">
        <v>581</v>
      </c>
      <c r="N84" s="228"/>
      <c r="O84" s="9" t="s">
        <v>288</v>
      </c>
      <c r="P84" s="229" t="s">
        <v>383</v>
      </c>
      <c r="Q84" s="9" t="s">
        <v>287</v>
      </c>
      <c r="R84" s="230" t="s">
        <v>372</v>
      </c>
    </row>
    <row r="85" customFormat="false" ht="19.5" hidden="false" customHeight="false" outlineLevel="0" collapsed="false">
      <c r="A85" s="64" t="s">
        <v>330</v>
      </c>
      <c r="B85" s="223" t="str">
        <f aca="false">G85</f>
        <v>AAA</v>
      </c>
      <c r="C85" s="153" t="str">
        <f aca="false">F85</f>
        <v>NR</v>
      </c>
      <c r="E85" s="224" t="s">
        <v>330</v>
      </c>
      <c r="F85" s="225" t="s">
        <v>127</v>
      </c>
      <c r="G85" s="226" t="str">
        <f aca="false">VLOOKUP(E85,$O$2:$P$155,2,FALSE())</f>
        <v>AAA</v>
      </c>
      <c r="H85" s="54" t="str">
        <f aca="false">VLOOKUP(E85,$Q$2:$R$161,2,FALSE())</f>
        <v>NR</v>
      </c>
      <c r="K85" s="227" t="s">
        <v>287</v>
      </c>
      <c r="L85" s="228" t="s">
        <v>110</v>
      </c>
      <c r="M85" s="228" t="s">
        <v>110</v>
      </c>
      <c r="N85" s="228"/>
      <c r="O85" s="9" t="s">
        <v>510</v>
      </c>
      <c r="P85" s="229" t="s">
        <v>380</v>
      </c>
      <c r="Q85" s="9" t="s">
        <v>331</v>
      </c>
      <c r="R85" s="230" t="s">
        <v>378</v>
      </c>
    </row>
    <row r="86" customFormat="false" ht="19.5" hidden="false" customHeight="false" outlineLevel="0" collapsed="false">
      <c r="A86" s="64" t="s">
        <v>287</v>
      </c>
      <c r="B86" s="223" t="str">
        <f aca="false">G86</f>
        <v>A</v>
      </c>
      <c r="C86" s="153" t="str">
        <f aca="false">F86</f>
        <v>A2</v>
      </c>
      <c r="E86" s="224" t="s">
        <v>287</v>
      </c>
      <c r="F86" s="225" t="str">
        <f aca="false">VLOOKUP(E86,$K$2:$M$154,3,FALSE())</f>
        <v>A2</v>
      </c>
      <c r="G86" s="226" t="str">
        <f aca="false">VLOOKUP(E86,$O$2:$P$155,2,FALSE())</f>
        <v>A</v>
      </c>
      <c r="H86" s="54" t="str">
        <f aca="false">VLOOKUP(E86,$Q$2:$R$161,2,FALSE())</f>
        <v>A</v>
      </c>
      <c r="K86" s="227" t="s">
        <v>331</v>
      </c>
      <c r="L86" s="228" t="s">
        <v>115</v>
      </c>
      <c r="M86" s="228" t="s">
        <v>115</v>
      </c>
      <c r="N86" s="228"/>
      <c r="O86" s="9" t="s">
        <v>224</v>
      </c>
      <c r="P86" s="231" t="s">
        <v>373</v>
      </c>
      <c r="Q86" s="9" t="s">
        <v>223</v>
      </c>
      <c r="R86" s="230" t="s">
        <v>375</v>
      </c>
    </row>
    <row r="87" customFormat="false" ht="19.5" hidden="false" customHeight="false" outlineLevel="0" collapsed="false">
      <c r="A87" s="64" t="s">
        <v>331</v>
      </c>
      <c r="B87" s="223" t="str">
        <f aca="false">G87</f>
        <v>AAA</v>
      </c>
      <c r="C87" s="153" t="str">
        <f aca="false">F87</f>
        <v>Aaa</v>
      </c>
      <c r="E87" s="224" t="s">
        <v>331</v>
      </c>
      <c r="F87" s="225" t="str">
        <f aca="false">VLOOKUP(E87,$K$2:$M$154,3,FALSE())</f>
        <v>Aaa</v>
      </c>
      <c r="G87" s="226" t="str">
        <f aca="false">VLOOKUP(E87,$O$2:$P$155,2,FALSE())</f>
        <v>AAA</v>
      </c>
      <c r="H87" s="54" t="str">
        <f aca="false">VLOOKUP(E87,$Q$2:$R$161,2,FALSE())</f>
        <v>AAA</v>
      </c>
      <c r="K87" s="227" t="s">
        <v>509</v>
      </c>
      <c r="L87" s="228" t="s">
        <v>114</v>
      </c>
      <c r="M87" s="228" t="s">
        <v>114</v>
      </c>
      <c r="N87" s="228"/>
      <c r="O87" s="9" t="s">
        <v>225</v>
      </c>
      <c r="P87" s="233"/>
      <c r="Q87" s="9" t="s">
        <v>510</v>
      </c>
      <c r="R87" s="230" t="s">
        <v>127</v>
      </c>
    </row>
    <row r="88" customFormat="false" ht="19.5" hidden="false" customHeight="false" outlineLevel="0" collapsed="false">
      <c r="A88" s="64" t="s">
        <v>223</v>
      </c>
      <c r="B88" s="223" t="str">
        <f aca="false">G88</f>
        <v>NR</v>
      </c>
      <c r="C88" s="153" t="str">
        <f aca="false">F88</f>
        <v>Aa3</v>
      </c>
      <c r="E88" s="224" t="s">
        <v>223</v>
      </c>
      <c r="F88" s="225" t="s">
        <v>114</v>
      </c>
      <c r="G88" s="226" t="s">
        <v>127</v>
      </c>
      <c r="H88" s="54" t="str">
        <f aca="false">VLOOKUP(E88,$Q$2:$R$161,2,FALSE())</f>
        <v>AA</v>
      </c>
      <c r="K88" s="227" t="s">
        <v>224</v>
      </c>
      <c r="L88" s="228" t="s">
        <v>111</v>
      </c>
      <c r="M88" s="228" t="s">
        <v>111</v>
      </c>
      <c r="N88" s="228"/>
      <c r="O88" s="9" t="s">
        <v>197</v>
      </c>
      <c r="P88" s="233"/>
      <c r="Q88" s="9" t="s">
        <v>511</v>
      </c>
      <c r="R88" s="230" t="s">
        <v>380</v>
      </c>
    </row>
    <row r="89" customFormat="false" ht="19.5" hidden="false" customHeight="false" outlineLevel="0" collapsed="false">
      <c r="A89" s="64" t="s">
        <v>288</v>
      </c>
      <c r="B89" s="223" t="str">
        <f aca="false">G89</f>
        <v>BB-</v>
      </c>
      <c r="C89" s="153" t="str">
        <f aca="false">F89</f>
        <v>NR</v>
      </c>
      <c r="E89" s="232" t="s">
        <v>288</v>
      </c>
      <c r="F89" s="225" t="s">
        <v>127</v>
      </c>
      <c r="G89" s="226" t="str">
        <f aca="false">VLOOKUP(E89,$O$2:$P$155,2,FALSE())</f>
        <v>BB-</v>
      </c>
      <c r="H89" s="54" t="e">
        <f aca="false">VLOOKUP(E89,$Q$2:$R$161,2,FALSE())</f>
        <v>#N/A</v>
      </c>
      <c r="K89" s="227" t="s">
        <v>225</v>
      </c>
      <c r="L89" s="228" t="s">
        <v>134</v>
      </c>
      <c r="M89" s="228" t="s">
        <v>134</v>
      </c>
      <c r="N89" s="228"/>
      <c r="O89" s="9" t="s">
        <v>332</v>
      </c>
      <c r="P89" s="231" t="s">
        <v>373</v>
      </c>
      <c r="Q89" s="9" t="s">
        <v>224</v>
      </c>
      <c r="R89" s="230" t="s">
        <v>387</v>
      </c>
    </row>
    <row r="90" customFormat="false" ht="19.5" hidden="false" customHeight="false" outlineLevel="0" collapsed="false">
      <c r="A90" s="64" t="s">
        <v>224</v>
      </c>
      <c r="B90" s="223" t="str">
        <f aca="false">G90</f>
        <v>A-</v>
      </c>
      <c r="C90" s="153" t="str">
        <f aca="false">F90</f>
        <v>A3</v>
      </c>
      <c r="E90" s="224" t="s">
        <v>224</v>
      </c>
      <c r="F90" s="225" t="str">
        <f aca="false">VLOOKUP(E90,$K$2:$M$154,3,FALSE())</f>
        <v>A3</v>
      </c>
      <c r="G90" s="226" t="str">
        <f aca="false">VLOOKUP(E90,$O$2:$P$155,2,FALSE())</f>
        <v>A-</v>
      </c>
      <c r="H90" s="54" t="str">
        <f aca="false">VLOOKUP(E90,$Q$2:$R$161,2,FALSE())</f>
        <v>BBB+</v>
      </c>
      <c r="K90" s="227" t="s">
        <v>197</v>
      </c>
      <c r="L90" s="228" t="s">
        <v>134</v>
      </c>
      <c r="M90" s="228" t="s">
        <v>134</v>
      </c>
      <c r="N90" s="228"/>
      <c r="O90" s="9" t="s">
        <v>198</v>
      </c>
      <c r="P90" s="229" t="s">
        <v>386</v>
      </c>
      <c r="Q90" s="9" t="s">
        <v>225</v>
      </c>
      <c r="R90" s="230" t="s">
        <v>393</v>
      </c>
    </row>
    <row r="91" customFormat="false" ht="19.5" hidden="false" customHeight="false" outlineLevel="0" collapsed="false">
      <c r="A91" s="64" t="s">
        <v>225</v>
      </c>
      <c r="B91" s="223" t="str">
        <f aca="false">G91</f>
        <v>NR</v>
      </c>
      <c r="C91" s="153" t="str">
        <f aca="false">F91</f>
        <v>Caa2</v>
      </c>
      <c r="E91" s="224" t="s">
        <v>225</v>
      </c>
      <c r="F91" s="225" t="str">
        <f aca="false">VLOOKUP(E91,$K$2:$M$154,3,FALSE())</f>
        <v>Caa2</v>
      </c>
      <c r="G91" s="226" t="s">
        <v>127</v>
      </c>
      <c r="H91" s="54" t="str">
        <f aca="false">VLOOKUP(E91,$Q$2:$R$161,2,FALSE())</f>
        <v>CC</v>
      </c>
      <c r="K91" s="227" t="s">
        <v>332</v>
      </c>
      <c r="L91" s="228" t="s">
        <v>110</v>
      </c>
      <c r="M91" s="228" t="s">
        <v>110</v>
      </c>
      <c r="N91" s="228"/>
      <c r="O91" s="9" t="s">
        <v>265</v>
      </c>
      <c r="P91" s="229" t="s">
        <v>385</v>
      </c>
      <c r="Q91" s="9" t="s">
        <v>197</v>
      </c>
      <c r="R91" s="230" t="s">
        <v>380</v>
      </c>
    </row>
    <row r="92" customFormat="false" ht="19.5" hidden="false" customHeight="false" outlineLevel="0" collapsed="false">
      <c r="A92" s="241" t="s">
        <v>197</v>
      </c>
      <c r="B92" s="223" t="str">
        <f aca="false">G92</f>
        <v>NR</v>
      </c>
      <c r="C92" s="153" t="str">
        <f aca="false">F92</f>
        <v>Caa2</v>
      </c>
      <c r="E92" s="224" t="s">
        <v>197</v>
      </c>
      <c r="F92" s="225" t="str">
        <f aca="false">VLOOKUP(E92,$K$2:$M$154,3,FALSE())</f>
        <v>Caa2</v>
      </c>
      <c r="G92" s="226" t="s">
        <v>127</v>
      </c>
      <c r="H92" s="54" t="str">
        <f aca="false">VLOOKUP(E92,$Q$2:$R$161,2,FALSE())</f>
        <v>B-</v>
      </c>
      <c r="K92" s="227" t="s">
        <v>198</v>
      </c>
      <c r="L92" s="228" t="s">
        <v>124</v>
      </c>
      <c r="M92" s="228" t="s">
        <v>124</v>
      </c>
      <c r="N92" s="228"/>
      <c r="O92" s="9" t="s">
        <v>289</v>
      </c>
      <c r="P92" s="229" t="s">
        <v>383</v>
      </c>
      <c r="Q92" s="9" t="s">
        <v>332</v>
      </c>
      <c r="R92" s="230" t="s">
        <v>374</v>
      </c>
    </row>
    <row r="93" customFormat="false" ht="19.5" hidden="false" customHeight="false" outlineLevel="0" collapsed="false">
      <c r="A93" s="64" t="s">
        <v>332</v>
      </c>
      <c r="B93" s="223" t="str">
        <f aca="false">G93</f>
        <v>A-</v>
      </c>
      <c r="C93" s="153" t="str">
        <f aca="false">F93</f>
        <v>A2</v>
      </c>
      <c r="E93" s="224" t="s">
        <v>332</v>
      </c>
      <c r="F93" s="225" t="str">
        <f aca="false">VLOOKUP(E93,$K$2:$M$154,3,FALSE())</f>
        <v>A2</v>
      </c>
      <c r="G93" s="226" t="str">
        <f aca="false">VLOOKUP(E93,$O$2:$P$155,2,FALSE())</f>
        <v>A-</v>
      </c>
      <c r="H93" s="54" t="str">
        <f aca="false">VLOOKUP(E93,$Q$2:$R$161,2,FALSE())</f>
        <v>A+</v>
      </c>
      <c r="K93" s="227" t="s">
        <v>265</v>
      </c>
      <c r="L93" s="228" t="s">
        <v>123</v>
      </c>
      <c r="M93" s="228" t="s">
        <v>123</v>
      </c>
      <c r="N93" s="228"/>
      <c r="O93" s="9" t="s">
        <v>226</v>
      </c>
      <c r="P93" s="229" t="s">
        <v>383</v>
      </c>
      <c r="Q93" s="9" t="s">
        <v>198</v>
      </c>
      <c r="R93" s="230" t="s">
        <v>127</v>
      </c>
    </row>
    <row r="94" customFormat="false" ht="19.5" hidden="false" customHeight="false" outlineLevel="0" collapsed="false">
      <c r="A94" s="64" t="s">
        <v>198</v>
      </c>
      <c r="B94" s="223" t="str">
        <f aca="false">G94</f>
        <v>BBB-</v>
      </c>
      <c r="C94" s="153" t="str">
        <f aca="false">F94</f>
        <v>Baa3</v>
      </c>
      <c r="E94" s="224" t="s">
        <v>198</v>
      </c>
      <c r="F94" s="225" t="str">
        <f aca="false">VLOOKUP(E94,$K$2:$M$154,3,FALSE())</f>
        <v>Baa3</v>
      </c>
      <c r="G94" s="226" t="str">
        <f aca="false">VLOOKUP(E94,$O$2:$P$155,2,FALSE())</f>
        <v>BBB-</v>
      </c>
      <c r="H94" s="54" t="str">
        <f aca="false">VLOOKUP(E94,$Q$2:$R$161,2,FALSE())</f>
        <v>NR</v>
      </c>
      <c r="K94" s="227" t="s">
        <v>289</v>
      </c>
      <c r="L94" s="228" t="s">
        <v>118</v>
      </c>
      <c r="M94" s="228" t="s">
        <v>118</v>
      </c>
      <c r="N94" s="228"/>
      <c r="O94" s="9" t="s">
        <v>290</v>
      </c>
      <c r="P94" s="229" t="s">
        <v>381</v>
      </c>
      <c r="Q94" s="9" t="s">
        <v>265</v>
      </c>
      <c r="R94" s="230" t="s">
        <v>386</v>
      </c>
    </row>
    <row r="95" customFormat="false" ht="19.5" hidden="false" customHeight="false" outlineLevel="0" collapsed="false">
      <c r="A95" s="64" t="s">
        <v>265</v>
      </c>
      <c r="B95" s="223" t="str">
        <f aca="false">G95</f>
        <v>BBB</v>
      </c>
      <c r="C95" s="153" t="str">
        <f aca="false">F95</f>
        <v>Baa2</v>
      </c>
      <c r="E95" s="224" t="s">
        <v>265</v>
      </c>
      <c r="F95" s="225" t="str">
        <f aca="false">VLOOKUP(E95,$K$2:$M$154,3,FALSE())</f>
        <v>Baa2</v>
      </c>
      <c r="G95" s="226" t="str">
        <f aca="false">VLOOKUP(E95,$O$2:$P$155,2,FALSE())</f>
        <v>BBB</v>
      </c>
      <c r="H95" s="54" t="str">
        <f aca="false">VLOOKUP(E95,$Q$2:$R$161,2,FALSE())</f>
        <v>BBB-</v>
      </c>
      <c r="K95" s="227" t="s">
        <v>226</v>
      </c>
      <c r="L95" s="228" t="s">
        <v>116</v>
      </c>
      <c r="M95" s="228" t="s">
        <v>116</v>
      </c>
      <c r="N95" s="228"/>
      <c r="O95" s="9" t="s">
        <v>249</v>
      </c>
      <c r="P95" s="229" t="s">
        <v>386</v>
      </c>
      <c r="Q95" s="9" t="s">
        <v>289</v>
      </c>
      <c r="R95" s="230" t="s">
        <v>381</v>
      </c>
    </row>
    <row r="96" customFormat="false" ht="19.5" hidden="false" customHeight="false" outlineLevel="0" collapsed="false">
      <c r="A96" s="64" t="s">
        <v>289</v>
      </c>
      <c r="B96" s="223" t="str">
        <f aca="false">G96</f>
        <v>BB-</v>
      </c>
      <c r="C96" s="153" t="str">
        <f aca="false">F96</f>
        <v>B3</v>
      </c>
      <c r="E96" s="224" t="s">
        <v>289</v>
      </c>
      <c r="F96" s="225" t="str">
        <f aca="false">VLOOKUP(E96,$K$2:$M$154,3,FALSE())</f>
        <v>B3</v>
      </c>
      <c r="G96" s="226" t="str">
        <f aca="false">VLOOKUP(E96,$O$2:$P$155,2,FALSE())</f>
        <v>BB-</v>
      </c>
      <c r="H96" s="54" t="str">
        <f aca="false">VLOOKUP(E96,$Q$2:$R$161,2,FALSE())</f>
        <v>B+</v>
      </c>
      <c r="K96" s="227" t="s">
        <v>290</v>
      </c>
      <c r="L96" s="228" t="s">
        <v>121</v>
      </c>
      <c r="M96" s="228" t="s">
        <v>581</v>
      </c>
      <c r="N96" s="228"/>
      <c r="O96" s="9" t="s">
        <v>199</v>
      </c>
      <c r="P96" s="229" t="s">
        <v>386</v>
      </c>
      <c r="Q96" s="9" t="s">
        <v>226</v>
      </c>
      <c r="R96" s="230" t="s">
        <v>381</v>
      </c>
    </row>
    <row r="97" customFormat="false" ht="19.5" hidden="false" customHeight="false" outlineLevel="0" collapsed="false">
      <c r="A97" s="64" t="s">
        <v>226</v>
      </c>
      <c r="B97" s="223" t="str">
        <f aca="false">G97</f>
        <v>BB-</v>
      </c>
      <c r="C97" s="153" t="str">
        <f aca="false">F97</f>
        <v>B1</v>
      </c>
      <c r="E97" s="224" t="s">
        <v>226</v>
      </c>
      <c r="F97" s="225" t="str">
        <f aca="false">VLOOKUP(E97,$K$2:$M$154,3,FALSE())</f>
        <v>B1</v>
      </c>
      <c r="G97" s="226" t="str">
        <f aca="false">VLOOKUP(E97,$O$2:$P$155,2,FALSE())</f>
        <v>BB-</v>
      </c>
      <c r="H97" s="54" t="str">
        <f aca="false">VLOOKUP(E97,$Q$2:$R$161,2,FALSE())</f>
        <v>B+</v>
      </c>
      <c r="K97" s="227" t="s">
        <v>199</v>
      </c>
      <c r="L97" s="228" t="s">
        <v>119</v>
      </c>
      <c r="M97" s="228" t="s">
        <v>119</v>
      </c>
      <c r="N97" s="228"/>
      <c r="O97" s="9" t="s">
        <v>200</v>
      </c>
      <c r="P97" s="233" t="s">
        <v>401</v>
      </c>
      <c r="Q97" s="9" t="s">
        <v>290</v>
      </c>
      <c r="R97" s="230" t="s">
        <v>127</v>
      </c>
    </row>
    <row r="98" customFormat="false" ht="19.5" hidden="false" customHeight="false" outlineLevel="0" collapsed="false">
      <c r="A98" s="64" t="s">
        <v>290</v>
      </c>
      <c r="B98" s="223" t="str">
        <f aca="false">G98</f>
        <v>B+</v>
      </c>
      <c r="C98" s="153" t="str">
        <f aca="false">F98</f>
        <v>B1</v>
      </c>
      <c r="E98" s="224" t="s">
        <v>290</v>
      </c>
      <c r="F98" s="225" t="s">
        <v>116</v>
      </c>
      <c r="G98" s="226" t="str">
        <f aca="false">VLOOKUP(E98,$O$2:$P$155,2,FALSE())</f>
        <v>B+</v>
      </c>
      <c r="H98" s="54" t="str">
        <f aca="false">VLOOKUP(E98,$Q$2:$R$161,2,FALSE())</f>
        <v>NR</v>
      </c>
      <c r="K98" s="235" t="s">
        <v>200</v>
      </c>
      <c r="L98" s="228" t="s">
        <v>134</v>
      </c>
      <c r="M98" s="228" t="s">
        <v>135</v>
      </c>
      <c r="N98" s="228"/>
      <c r="O98" s="9" t="s">
        <v>201</v>
      </c>
      <c r="P98" s="233"/>
      <c r="Q98" s="9" t="s">
        <v>249</v>
      </c>
      <c r="R98" s="230" t="s">
        <v>127</v>
      </c>
    </row>
    <row r="99" customFormat="false" ht="19.5" hidden="false" customHeight="false" outlineLevel="0" collapsed="false">
      <c r="A99" s="64" t="s">
        <v>249</v>
      </c>
      <c r="B99" s="223" t="str">
        <f aca="false">G99</f>
        <v>BBB-</v>
      </c>
      <c r="C99" s="153" t="str">
        <f aca="false">F99</f>
        <v>NR</v>
      </c>
      <c r="E99" s="232" t="s">
        <v>249</v>
      </c>
      <c r="F99" s="225" t="s">
        <v>127</v>
      </c>
      <c r="G99" s="226" t="str">
        <f aca="false">VLOOKUP(E99,$O$2:$P$155,2,FALSE())</f>
        <v>BBB-</v>
      </c>
      <c r="H99" s="54" t="str">
        <f aca="false">VLOOKUP(E99,$Q$2:$R$161,2,FALSE())</f>
        <v>NR</v>
      </c>
      <c r="K99" s="227" t="s">
        <v>201</v>
      </c>
      <c r="L99" s="228" t="s">
        <v>116</v>
      </c>
      <c r="M99" s="228" t="s">
        <v>116</v>
      </c>
      <c r="N99" s="228"/>
      <c r="O99" s="9" t="s">
        <v>333</v>
      </c>
      <c r="P99" s="231" t="s">
        <v>378</v>
      </c>
      <c r="Q99" s="9" t="s">
        <v>199</v>
      </c>
      <c r="R99" s="230" t="s">
        <v>384</v>
      </c>
    </row>
    <row r="100" customFormat="false" ht="19.5" hidden="false" customHeight="false" outlineLevel="0" collapsed="false">
      <c r="A100" s="64" t="s">
        <v>199</v>
      </c>
      <c r="B100" s="223" t="str">
        <f aca="false">G100</f>
        <v>BBB-</v>
      </c>
      <c r="C100" s="153" t="str">
        <f aca="false">F100</f>
        <v>Ba1</v>
      </c>
      <c r="E100" s="224" t="s">
        <v>199</v>
      </c>
      <c r="F100" s="225" t="str">
        <f aca="false">VLOOKUP(E100,$K$2:$M$154,3,FALSE())</f>
        <v>Ba1</v>
      </c>
      <c r="G100" s="226" t="str">
        <f aca="false">VLOOKUP(E100,$O$2:$P$155,2,FALSE())</f>
        <v>BBB-</v>
      </c>
      <c r="H100" s="54" t="str">
        <f aca="false">VLOOKUP(E100,$Q$2:$R$161,2,FALSE())</f>
        <v>BB+</v>
      </c>
      <c r="K100" s="227" t="s">
        <v>333</v>
      </c>
      <c r="L100" s="228" t="s">
        <v>115</v>
      </c>
      <c r="M100" s="228" t="s">
        <v>115</v>
      </c>
      <c r="N100" s="228"/>
      <c r="O100" s="9" t="s">
        <v>239</v>
      </c>
      <c r="P100" s="231" t="s">
        <v>377</v>
      </c>
      <c r="Q100" s="9" t="s">
        <v>200</v>
      </c>
      <c r="R100" s="230" t="s">
        <v>399</v>
      </c>
    </row>
    <row r="101" customFormat="false" ht="19.5" hidden="false" customHeight="false" outlineLevel="0" collapsed="false">
      <c r="A101" s="64" t="s">
        <v>200</v>
      </c>
      <c r="B101" s="223" t="str">
        <f aca="false">G101</f>
        <v>CCC+</v>
      </c>
      <c r="C101" s="153" t="str">
        <f aca="false">F101</f>
        <v>Caa3</v>
      </c>
      <c r="E101" s="234" t="s">
        <v>200</v>
      </c>
      <c r="F101" s="225" t="str">
        <f aca="false">VLOOKUP(E101,$K$2:$M$154,3,FALSE())</f>
        <v>Caa3</v>
      </c>
      <c r="G101" s="226" t="str">
        <f aca="false">VLOOKUP(E101,$O$2:$P$155,2,FALSE())</f>
        <v>CCC+</v>
      </c>
      <c r="H101" s="54" t="str">
        <f aca="false">VLOOKUP(E101,$Q$2:$R$161,2,FALSE())</f>
        <v>CCC</v>
      </c>
      <c r="K101" s="227" t="s">
        <v>239</v>
      </c>
      <c r="L101" s="228" t="s">
        <v>115</v>
      </c>
      <c r="M101" s="228" t="s">
        <v>115</v>
      </c>
      <c r="N101" s="228"/>
      <c r="O101" s="9" t="s">
        <v>266</v>
      </c>
      <c r="P101" s="229" t="s">
        <v>381</v>
      </c>
      <c r="Q101" s="9" t="s">
        <v>201</v>
      </c>
      <c r="R101" s="230" t="s">
        <v>383</v>
      </c>
    </row>
    <row r="102" customFormat="false" ht="19.5" hidden="false" customHeight="false" outlineLevel="0" collapsed="false">
      <c r="A102" s="64" t="s">
        <v>201</v>
      </c>
      <c r="B102" s="223" t="n">
        <f aca="false">G102</f>
        <v>0</v>
      </c>
      <c r="C102" s="153" t="str">
        <f aca="false">F102</f>
        <v>B1</v>
      </c>
      <c r="E102" s="224" t="s">
        <v>201</v>
      </c>
      <c r="F102" s="225" t="str">
        <f aca="false">VLOOKUP(E102,$K$2:$M$154,3,FALSE())</f>
        <v>B1</v>
      </c>
      <c r="G102" s="226" t="n">
        <f aca="false">VLOOKUP(E102,$O$2:$P$155,2,FALSE())</f>
        <v>0</v>
      </c>
      <c r="H102" s="54" t="str">
        <f aca="false">VLOOKUP(E102,$Q$2:$R$161,2,FALSE())</f>
        <v>BB-</v>
      </c>
      <c r="K102" s="227" t="s">
        <v>266</v>
      </c>
      <c r="L102" s="228" t="s">
        <v>117</v>
      </c>
      <c r="M102" s="228" t="s">
        <v>117</v>
      </c>
      <c r="N102" s="228"/>
      <c r="O102" s="9" t="s">
        <v>202</v>
      </c>
      <c r="P102" s="233"/>
      <c r="Q102" s="9" t="s">
        <v>227</v>
      </c>
      <c r="R102" s="230" t="s">
        <v>383</v>
      </c>
    </row>
    <row r="103" customFormat="false" ht="19.5" hidden="false" customHeight="false" outlineLevel="0" collapsed="false">
      <c r="A103" s="64" t="s">
        <v>227</v>
      </c>
      <c r="B103" s="223" t="str">
        <f aca="false">G103</f>
        <v>NR</v>
      </c>
      <c r="C103" s="153" t="str">
        <f aca="false">F103</f>
        <v>NR</v>
      </c>
      <c r="E103" s="224" t="s">
        <v>227</v>
      </c>
      <c r="F103" s="225" t="s">
        <v>127</v>
      </c>
      <c r="G103" s="226" t="s">
        <v>127</v>
      </c>
      <c r="H103" s="54" t="str">
        <f aca="false">VLOOKUP(E103,$Q$2:$R$161,2,FALSE())</f>
        <v>BB-</v>
      </c>
      <c r="K103" s="227" t="s">
        <v>202</v>
      </c>
      <c r="L103" s="228" t="s">
        <v>135</v>
      </c>
      <c r="M103" s="228" t="s">
        <v>135</v>
      </c>
      <c r="N103" s="228"/>
      <c r="O103" s="9" t="s">
        <v>203</v>
      </c>
      <c r="P103" s="229" t="s">
        <v>380</v>
      </c>
      <c r="Q103" s="9" t="s">
        <v>333</v>
      </c>
      <c r="R103" s="230" t="s">
        <v>378</v>
      </c>
    </row>
    <row r="104" customFormat="false" ht="19.5" hidden="false" customHeight="false" outlineLevel="0" collapsed="false">
      <c r="A104" s="64" t="s">
        <v>333</v>
      </c>
      <c r="B104" s="223" t="str">
        <f aca="false">G104</f>
        <v>AAA</v>
      </c>
      <c r="C104" s="153" t="str">
        <f aca="false">F104</f>
        <v>Aaa</v>
      </c>
      <c r="E104" s="224" t="s">
        <v>333</v>
      </c>
      <c r="F104" s="225" t="str">
        <f aca="false">VLOOKUP(E104,$K$2:$M$154,3,FALSE())</f>
        <v>Aaa</v>
      </c>
      <c r="G104" s="226" t="str">
        <f aca="false">VLOOKUP(E104,$O$2:$P$155,2,FALSE())</f>
        <v>AAA</v>
      </c>
      <c r="H104" s="54" t="str">
        <f aca="false">VLOOKUP(E104,$Q$2:$R$161,2,FALSE())</f>
        <v>AAA</v>
      </c>
      <c r="K104" s="227" t="s">
        <v>203</v>
      </c>
      <c r="L104" s="228" t="s">
        <v>118</v>
      </c>
      <c r="M104" s="228" t="s">
        <v>118</v>
      </c>
      <c r="N104" s="228"/>
      <c r="O104" s="9" t="s">
        <v>334</v>
      </c>
      <c r="P104" s="231" t="s">
        <v>378</v>
      </c>
      <c r="Q104" s="9" t="s">
        <v>239</v>
      </c>
      <c r="R104" s="230" t="s">
        <v>377</v>
      </c>
    </row>
    <row r="105" customFormat="false" ht="19.5" hidden="false" customHeight="false" outlineLevel="0" collapsed="false">
      <c r="A105" s="64" t="s">
        <v>239</v>
      </c>
      <c r="B105" s="223" t="str">
        <f aca="false">G105</f>
        <v>AA+</v>
      </c>
      <c r="C105" s="153" t="str">
        <f aca="false">F105</f>
        <v>Aaa</v>
      </c>
      <c r="E105" s="224" t="s">
        <v>239</v>
      </c>
      <c r="F105" s="225" t="str">
        <f aca="false">VLOOKUP(E105,$K$2:$M$154,3,FALSE())</f>
        <v>Aaa</v>
      </c>
      <c r="G105" s="226" t="str">
        <f aca="false">VLOOKUP(E105,$O$2:$P$155,2,FALSE())</f>
        <v>AA+</v>
      </c>
      <c r="H105" s="54" t="str">
        <f aca="false">VLOOKUP(E105,$Q$2:$R$161,2,FALSE())</f>
        <v>AA+</v>
      </c>
      <c r="K105" s="227" t="s">
        <v>334</v>
      </c>
      <c r="L105" s="228" t="s">
        <v>115</v>
      </c>
      <c r="M105" s="228" t="s">
        <v>115</v>
      </c>
      <c r="N105" s="228"/>
      <c r="O105" s="9" t="s">
        <v>307</v>
      </c>
      <c r="P105" s="229" t="s">
        <v>386</v>
      </c>
      <c r="Q105" s="9" t="s">
        <v>266</v>
      </c>
      <c r="R105" s="230" t="s">
        <v>379</v>
      </c>
    </row>
    <row r="106" customFormat="false" ht="19.5" hidden="false" customHeight="false" outlineLevel="0" collapsed="false">
      <c r="A106" s="64" t="s">
        <v>266</v>
      </c>
      <c r="B106" s="223" t="str">
        <f aca="false">G106</f>
        <v>B+</v>
      </c>
      <c r="C106" s="153" t="str">
        <f aca="false">F106</f>
        <v>B2</v>
      </c>
      <c r="E106" s="224" t="s">
        <v>266</v>
      </c>
      <c r="F106" s="225" t="str">
        <f aca="false">VLOOKUP(E106,$K$2:$M$154,3,FALSE())</f>
        <v>B2</v>
      </c>
      <c r="G106" s="226" t="str">
        <f aca="false">VLOOKUP(E106,$O$2:$P$155,2,FALSE())</f>
        <v>B+</v>
      </c>
      <c r="H106" s="54" t="str">
        <f aca="false">VLOOKUP(E106,$Q$2:$R$161,2,FALSE())</f>
        <v>B</v>
      </c>
      <c r="K106" s="227" t="s">
        <v>307</v>
      </c>
      <c r="L106" s="228" t="s">
        <v>124</v>
      </c>
      <c r="M106" s="228" t="s">
        <v>124</v>
      </c>
      <c r="N106" s="228"/>
      <c r="O106" s="9" t="s">
        <v>228</v>
      </c>
      <c r="P106" s="229" t="s">
        <v>380</v>
      </c>
      <c r="Q106" s="9" t="s">
        <v>202</v>
      </c>
      <c r="R106" s="230" t="s">
        <v>127</v>
      </c>
    </row>
    <row r="107" customFormat="false" ht="19.5" hidden="false" customHeight="false" outlineLevel="0" collapsed="false">
      <c r="A107" s="227" t="s">
        <v>202</v>
      </c>
      <c r="B107" s="223" t="n">
        <f aca="false">G107</f>
        <v>0</v>
      </c>
      <c r="C107" s="153" t="str">
        <f aca="false">F107</f>
        <v>Caa3</v>
      </c>
      <c r="E107" s="224" t="s">
        <v>202</v>
      </c>
      <c r="F107" s="225" t="str">
        <f aca="false">VLOOKUP(E107,$K$2:$M$154,3,FALSE())</f>
        <v>Caa3</v>
      </c>
      <c r="G107" s="226" t="n">
        <f aca="false">VLOOKUP(E107,$O$2:$P$155,2,FALSE())</f>
        <v>0</v>
      </c>
      <c r="H107" s="54" t="str">
        <f aca="false">VLOOKUP(E107,$Q$2:$R$161,2,FALSE())</f>
        <v>NR</v>
      </c>
      <c r="K107" s="227" t="s">
        <v>228</v>
      </c>
      <c r="L107" s="228" t="s">
        <v>133</v>
      </c>
      <c r="M107" s="228" t="s">
        <v>133</v>
      </c>
      <c r="N107" s="228"/>
      <c r="O107" s="9" t="s">
        <v>267</v>
      </c>
      <c r="P107" s="229" t="s">
        <v>386</v>
      </c>
      <c r="Q107" s="9" t="s">
        <v>203</v>
      </c>
      <c r="R107" s="230" t="s">
        <v>379</v>
      </c>
    </row>
    <row r="108" customFormat="false" ht="19.5" hidden="false" customHeight="false" outlineLevel="0" collapsed="false">
      <c r="A108" s="64" t="s">
        <v>203</v>
      </c>
      <c r="B108" s="223" t="str">
        <f aca="false">G108</f>
        <v>B-</v>
      </c>
      <c r="C108" s="153" t="str">
        <f aca="false">F108</f>
        <v>B3</v>
      </c>
      <c r="E108" s="224" t="s">
        <v>203</v>
      </c>
      <c r="F108" s="225" t="str">
        <f aca="false">VLOOKUP(E108,$K$2:$M$154,3,FALSE())</f>
        <v>B3</v>
      </c>
      <c r="G108" s="226" t="str">
        <f aca="false">VLOOKUP(E108,$O$2:$P$155,2,FALSE())</f>
        <v>B-</v>
      </c>
      <c r="H108" s="54" t="str">
        <f aca="false">VLOOKUP(E108,$Q$2:$R$161,2,FALSE())</f>
        <v>B</v>
      </c>
      <c r="K108" s="227" t="s">
        <v>267</v>
      </c>
      <c r="L108" s="228" t="s">
        <v>124</v>
      </c>
      <c r="M108" s="228" t="s">
        <v>581</v>
      </c>
      <c r="N108" s="228"/>
      <c r="O108" s="9" t="s">
        <v>229</v>
      </c>
      <c r="P108" s="229" t="s">
        <v>380</v>
      </c>
      <c r="Q108" s="9" t="s">
        <v>533</v>
      </c>
      <c r="R108" s="230" t="s">
        <v>384</v>
      </c>
    </row>
    <row r="109" customFormat="false" ht="19.5" hidden="false" customHeight="false" outlineLevel="0" collapsed="false">
      <c r="A109" s="64" t="s">
        <v>334</v>
      </c>
      <c r="B109" s="223" t="str">
        <f aca="false">G109</f>
        <v>AAA</v>
      </c>
      <c r="C109" s="153" t="str">
        <f aca="false">F109</f>
        <v>Aaa</v>
      </c>
      <c r="E109" s="224" t="s">
        <v>334</v>
      </c>
      <c r="F109" s="225" t="str">
        <f aca="false">VLOOKUP(E109,$K$2:$M$154,3,FALSE())</f>
        <v>Aaa</v>
      </c>
      <c r="G109" s="226" t="str">
        <f aca="false">VLOOKUP(E109,$O$2:$P$155,2,FALSE())</f>
        <v>AAA</v>
      </c>
      <c r="H109" s="54" t="str">
        <f aca="false">VLOOKUP(E109,$Q$2:$R$161,2,FALSE())</f>
        <v>AAA</v>
      </c>
      <c r="K109" s="227" t="s">
        <v>595</v>
      </c>
      <c r="L109" s="228" t="s">
        <v>581</v>
      </c>
      <c r="M109" s="228" t="s">
        <v>581</v>
      </c>
      <c r="N109" s="228"/>
      <c r="O109" s="9" t="s">
        <v>268</v>
      </c>
      <c r="P109" s="229" t="s">
        <v>386</v>
      </c>
      <c r="Q109" s="9" t="s">
        <v>334</v>
      </c>
      <c r="R109" s="230" t="s">
        <v>378</v>
      </c>
    </row>
    <row r="110" customFormat="false" ht="19.5" hidden="false" customHeight="false" outlineLevel="0" collapsed="false">
      <c r="A110" s="64" t="s">
        <v>307</v>
      </c>
      <c r="B110" s="223" t="str">
        <f aca="false">G110</f>
        <v>BBB-</v>
      </c>
      <c r="C110" s="153" t="str">
        <f aca="false">F110</f>
        <v>Baa3</v>
      </c>
      <c r="E110" s="224" t="s">
        <v>307</v>
      </c>
      <c r="F110" s="225" t="str">
        <f aca="false">VLOOKUP(E110,$K$2:$M$154,3,FALSE())</f>
        <v>Baa3</v>
      </c>
      <c r="G110" s="226" t="str">
        <f aca="false">VLOOKUP(E110,$O$2:$P$155,2,FALSE())</f>
        <v>BBB-</v>
      </c>
      <c r="H110" s="54" t="str">
        <f aca="false">VLOOKUP(E110,$Q$2:$R$161,2,FALSE())</f>
        <v>BBB-</v>
      </c>
      <c r="K110" s="227" t="s">
        <v>229</v>
      </c>
      <c r="L110" s="228" t="s">
        <v>117</v>
      </c>
      <c r="M110" s="228" t="s">
        <v>117</v>
      </c>
      <c r="N110" s="228"/>
      <c r="O110" s="9" t="s">
        <v>269</v>
      </c>
      <c r="P110" s="229" t="s">
        <v>386</v>
      </c>
      <c r="Q110" s="9" t="s">
        <v>307</v>
      </c>
      <c r="R110" s="230" t="s">
        <v>386</v>
      </c>
    </row>
    <row r="111" customFormat="false" ht="19.5" hidden="false" customHeight="false" outlineLevel="0" collapsed="false">
      <c r="A111" s="64" t="s">
        <v>228</v>
      </c>
      <c r="B111" s="223" t="str">
        <f aca="false">G111</f>
        <v>B-</v>
      </c>
      <c r="C111" s="153" t="str">
        <f aca="false">F111</f>
        <v>Caa1</v>
      </c>
      <c r="E111" s="224" t="s">
        <v>228</v>
      </c>
      <c r="F111" s="225" t="str">
        <f aca="false">VLOOKUP(E111,$K$2:$M$154,3,FALSE())</f>
        <v>Caa1</v>
      </c>
      <c r="G111" s="226" t="str">
        <f aca="false">VLOOKUP(E111,$O$2:$P$155,2,FALSE())</f>
        <v>B-</v>
      </c>
      <c r="H111" s="54" t="str">
        <f aca="false">VLOOKUP(E111,$Q$2:$R$161,2,FALSE())</f>
        <v>B-</v>
      </c>
      <c r="K111" s="227" t="s">
        <v>268</v>
      </c>
      <c r="L111" s="228" t="s">
        <v>124</v>
      </c>
      <c r="M111" s="228" t="s">
        <v>124</v>
      </c>
      <c r="N111" s="228"/>
      <c r="O111" s="9" t="s">
        <v>230</v>
      </c>
      <c r="P111" s="229" t="s">
        <v>387</v>
      </c>
      <c r="Q111" s="9" t="s">
        <v>228</v>
      </c>
      <c r="R111" s="230" t="s">
        <v>380</v>
      </c>
    </row>
    <row r="112" customFormat="false" ht="19.5" hidden="false" customHeight="false" outlineLevel="0" collapsed="false">
      <c r="A112" s="64" t="s">
        <v>267</v>
      </c>
      <c r="B112" s="223" t="str">
        <f aca="false">G112</f>
        <v>BBB-</v>
      </c>
      <c r="C112" s="153" t="str">
        <f aca="false">F112</f>
        <v>Baa3</v>
      </c>
      <c r="E112" s="224" t="s">
        <v>267</v>
      </c>
      <c r="F112" s="225" t="s">
        <v>124</v>
      </c>
      <c r="G112" s="226" t="str">
        <f aca="false">VLOOKUP(E112,$O$2:$P$155,2,FALSE())</f>
        <v>BBB-</v>
      </c>
      <c r="H112" s="54" t="str">
        <f aca="false">VLOOKUP(E112,$Q$2:$R$161,2,FALSE())</f>
        <v>BB+</v>
      </c>
      <c r="K112" s="227" t="s">
        <v>269</v>
      </c>
      <c r="L112" s="228" t="s">
        <v>122</v>
      </c>
      <c r="M112" s="228" t="s">
        <v>122</v>
      </c>
      <c r="N112" s="228"/>
      <c r="O112" s="9" t="s">
        <v>291</v>
      </c>
      <c r="P112" s="231" t="s">
        <v>373</v>
      </c>
      <c r="Q112" s="9" t="s">
        <v>267</v>
      </c>
      <c r="R112" s="230" t="s">
        <v>384</v>
      </c>
    </row>
    <row r="113" customFormat="false" ht="19.5" hidden="false" customHeight="false" outlineLevel="0" collapsed="false">
      <c r="A113" s="64" t="s">
        <v>229</v>
      </c>
      <c r="B113" s="223" t="str">
        <f aca="false">G113</f>
        <v>B-</v>
      </c>
      <c r="C113" s="153" t="str">
        <f aca="false">F113</f>
        <v>B2</v>
      </c>
      <c r="E113" s="224" t="s">
        <v>229</v>
      </c>
      <c r="F113" s="225" t="str">
        <f aca="false">VLOOKUP(E113,$K$2:$M$154,3,FALSE())</f>
        <v>B2</v>
      </c>
      <c r="G113" s="226" t="str">
        <f aca="false">VLOOKUP(E113,$O$2:$P$155,2,FALSE())</f>
        <v>B-</v>
      </c>
      <c r="H113" s="54" t="str">
        <f aca="false">VLOOKUP(E113,$Q$2:$R$161,2,FALSE())</f>
        <v>B+</v>
      </c>
      <c r="K113" s="227" t="s">
        <v>230</v>
      </c>
      <c r="L113" s="228" t="s">
        <v>123</v>
      </c>
      <c r="M113" s="228" t="s">
        <v>123</v>
      </c>
      <c r="N113" s="228"/>
      <c r="O113" s="9" t="s">
        <v>335</v>
      </c>
      <c r="P113" s="231" t="s">
        <v>374</v>
      </c>
      <c r="Q113" s="9" t="s">
        <v>229</v>
      </c>
      <c r="R113" s="230" t="s">
        <v>381</v>
      </c>
    </row>
    <row r="114" customFormat="false" ht="19.5" hidden="false" customHeight="false" outlineLevel="0" collapsed="false">
      <c r="A114" s="64" t="s">
        <v>268</v>
      </c>
      <c r="B114" s="223" t="str">
        <f aca="false">G114</f>
        <v>BBB-</v>
      </c>
      <c r="C114" s="153" t="str">
        <f aca="false">F114</f>
        <v>Baa3</v>
      </c>
      <c r="E114" s="224" t="s">
        <v>268</v>
      </c>
      <c r="F114" s="225" t="str">
        <f aca="false">VLOOKUP(E114,$K$2:$M$154,3,FALSE())</f>
        <v>Baa3</v>
      </c>
      <c r="G114" s="226" t="str">
        <f aca="false">VLOOKUP(E114,$O$2:$P$155,2,FALSE())</f>
        <v>BBB-</v>
      </c>
      <c r="H114" s="54" t="str">
        <f aca="false">VLOOKUP(E114,$Q$2:$R$161,2,FALSE())</f>
        <v>BB+</v>
      </c>
      <c r="K114" s="227" t="s">
        <v>291</v>
      </c>
      <c r="L114" s="228" t="s">
        <v>110</v>
      </c>
      <c r="M114" s="228" t="s">
        <v>110</v>
      </c>
      <c r="N114" s="228"/>
      <c r="O114" s="9" t="s">
        <v>308</v>
      </c>
      <c r="P114" s="231" t="s">
        <v>375</v>
      </c>
      <c r="Q114" s="9" t="s">
        <v>268</v>
      </c>
      <c r="R114" s="230" t="s">
        <v>384</v>
      </c>
    </row>
    <row r="115" customFormat="false" ht="19.5" hidden="false" customHeight="false" outlineLevel="0" collapsed="false">
      <c r="A115" s="64" t="s">
        <v>269</v>
      </c>
      <c r="B115" s="223" t="str">
        <f aca="false">G115</f>
        <v>BBB-</v>
      </c>
      <c r="C115" s="153" t="str">
        <f aca="false">F115</f>
        <v>Baa1</v>
      </c>
      <c r="E115" s="224" t="s">
        <v>269</v>
      </c>
      <c r="F115" s="225" t="str">
        <f aca="false">VLOOKUP(E115,$K$2:$M$154,3,FALSE())</f>
        <v>Baa1</v>
      </c>
      <c r="G115" s="226" t="str">
        <f aca="false">VLOOKUP(E115,$O$2:$P$155,2,FALSE())</f>
        <v>BBB-</v>
      </c>
      <c r="H115" s="54" t="str">
        <f aca="false">VLOOKUP(E115,$Q$2:$R$161,2,FALSE())</f>
        <v>BBB</v>
      </c>
      <c r="K115" s="227" t="s">
        <v>335</v>
      </c>
      <c r="L115" s="228" t="s">
        <v>111</v>
      </c>
      <c r="M115" s="228" t="s">
        <v>111</v>
      </c>
      <c r="N115" s="228"/>
      <c r="O115" s="9" t="s">
        <v>403</v>
      </c>
      <c r="P115" s="233" t="s">
        <v>401</v>
      </c>
      <c r="Q115" s="9" t="s">
        <v>269</v>
      </c>
      <c r="R115" s="230" t="s">
        <v>385</v>
      </c>
    </row>
    <row r="116" customFormat="false" ht="19.5" hidden="false" customHeight="false" outlineLevel="0" collapsed="false">
      <c r="A116" s="64" t="s">
        <v>230</v>
      </c>
      <c r="B116" s="223" t="str">
        <f aca="false">G116</f>
        <v>BBB+</v>
      </c>
      <c r="C116" s="153" t="str">
        <f aca="false">F116</f>
        <v>Baa2</v>
      </c>
      <c r="E116" s="224" t="s">
        <v>230</v>
      </c>
      <c r="F116" s="225" t="str">
        <f aca="false">VLOOKUP(E116,$K$2:$M$154,3,FALSE())</f>
        <v>Baa2</v>
      </c>
      <c r="G116" s="226" t="str">
        <f aca="false">VLOOKUP(E116,$O$2:$P$155,2,FALSE())</f>
        <v>BBB+</v>
      </c>
      <c r="H116" s="54" t="str">
        <f aca="false">VLOOKUP(E116,$Q$2:$R$161,2,FALSE())</f>
        <v>BBB</v>
      </c>
      <c r="K116" s="227" t="s">
        <v>308</v>
      </c>
      <c r="L116" s="228" t="s">
        <v>113</v>
      </c>
      <c r="M116" s="228" t="s">
        <v>113</v>
      </c>
      <c r="N116" s="228"/>
      <c r="O116" s="9" t="s">
        <v>292</v>
      </c>
      <c r="P116" s="229" t="s">
        <v>386</v>
      </c>
      <c r="Q116" s="9" t="s">
        <v>230</v>
      </c>
      <c r="R116" s="230" t="s">
        <v>385</v>
      </c>
    </row>
    <row r="117" customFormat="false" ht="19.5" hidden="false" customHeight="false" outlineLevel="0" collapsed="false">
      <c r="A117" s="64" t="s">
        <v>291</v>
      </c>
      <c r="B117" s="223" t="str">
        <f aca="false">G117</f>
        <v>A-</v>
      </c>
      <c r="C117" s="153" t="str">
        <f aca="false">F117</f>
        <v>A2</v>
      </c>
      <c r="E117" s="224" t="s">
        <v>291</v>
      </c>
      <c r="F117" s="225" t="str">
        <f aca="false">VLOOKUP(E117,$K$2:$M$154,3,FALSE())</f>
        <v>A2</v>
      </c>
      <c r="G117" s="226" t="str">
        <f aca="false">VLOOKUP(E117,$O$2:$P$155,2,FALSE())</f>
        <v>A-</v>
      </c>
      <c r="H117" s="54" t="str">
        <f aca="false">VLOOKUP(E117,$Q$2:$R$161,2,FALSE())</f>
        <v>A-</v>
      </c>
      <c r="K117" s="227" t="s">
        <v>403</v>
      </c>
      <c r="L117" s="228" t="s">
        <v>134</v>
      </c>
      <c r="M117" s="228" t="s">
        <v>134</v>
      </c>
      <c r="N117" s="228"/>
      <c r="O117" s="9" t="s">
        <v>404</v>
      </c>
      <c r="P117" s="233" t="s">
        <v>127</v>
      </c>
      <c r="Q117" s="9" t="s">
        <v>291</v>
      </c>
      <c r="R117" s="230" t="s">
        <v>373</v>
      </c>
    </row>
    <row r="118" customFormat="false" ht="19.5" hidden="false" customHeight="false" outlineLevel="0" collapsed="false">
      <c r="A118" s="64" t="s">
        <v>335</v>
      </c>
      <c r="B118" s="223" t="str">
        <f aca="false">G118</f>
        <v>A+</v>
      </c>
      <c r="C118" s="153" t="str">
        <f aca="false">F118</f>
        <v>A3</v>
      </c>
      <c r="E118" s="224" t="s">
        <v>335</v>
      </c>
      <c r="F118" s="225" t="str">
        <f aca="false">VLOOKUP(E118,$K$2:$M$154,3,FALSE())</f>
        <v>A3</v>
      </c>
      <c r="G118" s="226" t="str">
        <f aca="false">VLOOKUP(E118,$O$2:$P$155,2,FALSE())</f>
        <v>A+</v>
      </c>
      <c r="H118" s="54" t="str">
        <f aca="false">VLOOKUP(E118,$Q$2:$R$161,2,FALSE())</f>
        <v>A</v>
      </c>
      <c r="K118" s="227" t="s">
        <v>292</v>
      </c>
      <c r="L118" s="228" t="s">
        <v>124</v>
      </c>
      <c r="M118" s="228" t="s">
        <v>124</v>
      </c>
      <c r="N118" s="228"/>
      <c r="O118" s="9" t="s">
        <v>204</v>
      </c>
      <c r="P118" s="229" t="s">
        <v>381</v>
      </c>
      <c r="Q118" s="9" t="s">
        <v>335</v>
      </c>
      <c r="R118" s="230" t="s">
        <v>372</v>
      </c>
    </row>
    <row r="119" customFormat="false" ht="19.5" hidden="false" customHeight="false" outlineLevel="0" collapsed="false">
      <c r="A119" s="64" t="s">
        <v>308</v>
      </c>
      <c r="B119" s="223" t="str">
        <f aca="false">G119</f>
        <v>AA</v>
      </c>
      <c r="C119" s="153" t="str">
        <f aca="false">F119</f>
        <v>Aa2</v>
      </c>
      <c r="E119" s="224" t="s">
        <v>308</v>
      </c>
      <c r="F119" s="225" t="str">
        <f aca="false">VLOOKUP(E119,$K$2:$M$154,3,FALSE())</f>
        <v>Aa2</v>
      </c>
      <c r="G119" s="226" t="str">
        <f aca="false">VLOOKUP(E119,$O$2:$P$155,2,FALSE())</f>
        <v>AA</v>
      </c>
      <c r="H119" s="54" t="str">
        <f aca="false">VLOOKUP(E119,$Q$2:$R$161,2,FALSE())</f>
        <v>AA</v>
      </c>
      <c r="K119" s="227" t="s">
        <v>404</v>
      </c>
      <c r="L119" s="228" t="s">
        <v>586</v>
      </c>
      <c r="M119" s="228" t="s">
        <v>586</v>
      </c>
      <c r="N119" s="228"/>
      <c r="O119" s="9" t="s">
        <v>545</v>
      </c>
      <c r="P119" s="229" t="s">
        <v>387</v>
      </c>
      <c r="Q119" s="9" t="s">
        <v>596</v>
      </c>
      <c r="R119" s="230" t="s">
        <v>127</v>
      </c>
    </row>
    <row r="120" customFormat="false" ht="19.5" hidden="false" customHeight="false" outlineLevel="0" collapsed="false">
      <c r="A120" s="64" t="s">
        <v>309</v>
      </c>
      <c r="B120" s="223" t="s">
        <v>373</v>
      </c>
      <c r="C120" s="153" t="s">
        <v>111</v>
      </c>
      <c r="E120" s="236" t="s">
        <v>309</v>
      </c>
      <c r="F120" s="225" t="s">
        <v>127</v>
      </c>
      <c r="G120" s="226" t="s">
        <v>127</v>
      </c>
      <c r="H120" s="54" t="e">
        <f aca="false">VLOOKUP(E120,$Q$2:$R$161,2,FALSE())</f>
        <v>#N/A</v>
      </c>
      <c r="K120" s="227" t="s">
        <v>204</v>
      </c>
      <c r="L120" s="228" t="s">
        <v>117</v>
      </c>
      <c r="M120" s="228" t="s">
        <v>117</v>
      </c>
      <c r="N120" s="228"/>
      <c r="O120" s="9" t="s">
        <v>310</v>
      </c>
      <c r="P120" s="231" t="s">
        <v>374</v>
      </c>
      <c r="Q120" s="9" t="s">
        <v>308</v>
      </c>
      <c r="R120" s="230" t="s">
        <v>375</v>
      </c>
    </row>
    <row r="121" customFormat="false" ht="19.5" hidden="false" customHeight="false" outlineLevel="0" collapsed="false">
      <c r="A121" s="64" t="s">
        <v>292</v>
      </c>
      <c r="B121" s="223" t="str">
        <f aca="false">G121</f>
        <v>BBB-</v>
      </c>
      <c r="C121" s="153" t="str">
        <f aca="false">F121</f>
        <v>Baa3</v>
      </c>
      <c r="E121" s="224" t="s">
        <v>292</v>
      </c>
      <c r="F121" s="225" t="str">
        <f aca="false">VLOOKUP(E121,$K$2:$M$154,3,FALSE())</f>
        <v>Baa3</v>
      </c>
      <c r="G121" s="226" t="str">
        <f aca="false">VLOOKUP(E121,$O$2:$P$155,2,FALSE())</f>
        <v>BBB-</v>
      </c>
      <c r="H121" s="54" t="str">
        <f aca="false">VLOOKUP(E121,$Q$2:$R$161,2,FALSE())</f>
        <v>BBB-</v>
      </c>
      <c r="K121" s="227" t="s">
        <v>310</v>
      </c>
      <c r="L121" s="228" t="s">
        <v>114</v>
      </c>
      <c r="M121" s="228" t="s">
        <v>114</v>
      </c>
      <c r="N121" s="228"/>
      <c r="O121" s="9" t="s">
        <v>205</v>
      </c>
      <c r="P121" s="233" t="s">
        <v>401</v>
      </c>
      <c r="Q121" s="9" t="s">
        <v>403</v>
      </c>
      <c r="R121" s="230" t="s">
        <v>401</v>
      </c>
    </row>
    <row r="122" customFormat="false" ht="19.5" hidden="false" customHeight="false" outlineLevel="0" collapsed="false">
      <c r="A122" s="64" t="s">
        <v>404</v>
      </c>
      <c r="B122" s="223" t="str">
        <f aca="false">G122</f>
        <v>NR</v>
      </c>
      <c r="C122" s="153" t="str">
        <f aca="false">F122</f>
        <v>NR</v>
      </c>
      <c r="E122" s="224" t="s">
        <v>404</v>
      </c>
      <c r="F122" s="225" t="s">
        <v>127</v>
      </c>
      <c r="G122" s="226" t="str">
        <f aca="false">VLOOKUP(E122,$O$2:$P$155,2,FALSE())</f>
        <v>NR</v>
      </c>
      <c r="H122" s="54" t="str">
        <f aca="false">VLOOKUP(E122,$Q$2:$R$161,2,FALSE())</f>
        <v>BBB-</v>
      </c>
      <c r="K122" s="227" t="s">
        <v>205</v>
      </c>
      <c r="L122" s="228" t="s">
        <v>133</v>
      </c>
      <c r="M122" s="228" t="s">
        <v>133</v>
      </c>
      <c r="N122" s="228"/>
      <c r="O122" s="9" t="s">
        <v>293</v>
      </c>
      <c r="P122" s="229" t="s">
        <v>386</v>
      </c>
      <c r="Q122" s="9" t="s">
        <v>292</v>
      </c>
      <c r="R122" s="230" t="s">
        <v>386</v>
      </c>
    </row>
    <row r="123" customFormat="false" ht="19.5" hidden="false" customHeight="false" outlineLevel="0" collapsed="false">
      <c r="A123" s="64" t="s">
        <v>204</v>
      </c>
      <c r="B123" s="223" t="str">
        <f aca="false">G123</f>
        <v>B+</v>
      </c>
      <c r="C123" s="153" t="str">
        <f aca="false">F123</f>
        <v>B2</v>
      </c>
      <c r="E123" s="224" t="s">
        <v>204</v>
      </c>
      <c r="F123" s="225" t="str">
        <f aca="false">VLOOKUP(E123,$K$2:$M$154,3,FALSE())</f>
        <v>B2</v>
      </c>
      <c r="G123" s="226" t="str">
        <f aca="false">VLOOKUP(E123,$O$2:$P$155,2,FALSE())</f>
        <v>B+</v>
      </c>
      <c r="H123" s="54" t="str">
        <f aca="false">VLOOKUP(E123,$Q$2:$R$161,2,FALSE())</f>
        <v>B+</v>
      </c>
      <c r="K123" s="227" t="s">
        <v>293</v>
      </c>
      <c r="L123" s="228" t="s">
        <v>120</v>
      </c>
      <c r="M123" s="228" t="s">
        <v>120</v>
      </c>
      <c r="N123" s="228"/>
      <c r="O123" s="9" t="s">
        <v>547</v>
      </c>
      <c r="P123" s="233"/>
      <c r="Q123" s="9" t="s">
        <v>404</v>
      </c>
      <c r="R123" s="230" t="s">
        <v>386</v>
      </c>
    </row>
    <row r="124" customFormat="false" ht="19.5" hidden="false" customHeight="false" outlineLevel="0" collapsed="false">
      <c r="A124" s="64" t="s">
        <v>310</v>
      </c>
      <c r="B124" s="223" t="str">
        <f aca="false">G124</f>
        <v>A+</v>
      </c>
      <c r="C124" s="153" t="str">
        <f aca="false">F124</f>
        <v>Aa3</v>
      </c>
      <c r="E124" s="224" t="s">
        <v>310</v>
      </c>
      <c r="F124" s="225" t="str">
        <f aca="false">VLOOKUP(E124,$K$2:$M$154,3,FALSE())</f>
        <v>Aa3</v>
      </c>
      <c r="G124" s="226" t="str">
        <f aca="false">VLOOKUP(E124,$O$2:$P$155,2,FALSE())</f>
        <v>A+</v>
      </c>
      <c r="H124" s="54" t="str">
        <f aca="false">VLOOKUP(E124,$Q$2:$R$161,2,FALSE())</f>
        <v>A+</v>
      </c>
      <c r="K124" s="227" t="s">
        <v>311</v>
      </c>
      <c r="L124" s="228" t="s">
        <v>119</v>
      </c>
      <c r="M124" s="228" t="s">
        <v>119</v>
      </c>
      <c r="N124" s="228"/>
      <c r="O124" s="9" t="s">
        <v>231</v>
      </c>
      <c r="P124" s="231" t="s">
        <v>378</v>
      </c>
      <c r="Q124" s="9" t="s">
        <v>204</v>
      </c>
      <c r="R124" s="230" t="s">
        <v>381</v>
      </c>
    </row>
    <row r="125" customFormat="false" ht="19.5" hidden="false" customHeight="false" outlineLevel="0" collapsed="false">
      <c r="A125" s="64" t="s">
        <v>205</v>
      </c>
      <c r="B125" s="223" t="str">
        <f aca="false">G125</f>
        <v>CCC+</v>
      </c>
      <c r="C125" s="153" t="str">
        <f aca="false">F125</f>
        <v>Caa1</v>
      </c>
      <c r="E125" s="224" t="s">
        <v>205</v>
      </c>
      <c r="F125" s="225" t="str">
        <f aca="false">VLOOKUP(E125,$K$2:$M$154,3,FALSE())</f>
        <v>Caa1</v>
      </c>
      <c r="G125" s="226" t="str">
        <f aca="false">VLOOKUP(E125,$O$2:$P$155,2,FALSE())</f>
        <v>CCC+</v>
      </c>
      <c r="H125" s="54" t="str">
        <f aca="false">VLOOKUP(E125,$Q$2:$R$161,2,FALSE())</f>
        <v>NR</v>
      </c>
      <c r="K125" s="227" t="s">
        <v>231</v>
      </c>
      <c r="L125" s="228" t="s">
        <v>115</v>
      </c>
      <c r="M125" s="228" t="s">
        <v>115</v>
      </c>
      <c r="N125" s="228"/>
      <c r="O125" s="9" t="s">
        <v>294</v>
      </c>
      <c r="P125" s="231" t="s">
        <v>374</v>
      </c>
      <c r="Q125" s="9" t="s">
        <v>597</v>
      </c>
      <c r="R125" s="230" t="s">
        <v>127</v>
      </c>
    </row>
    <row r="126" customFormat="false" ht="19.5" hidden="false" customHeight="false" outlineLevel="0" collapsed="false">
      <c r="A126" s="64" t="s">
        <v>293</v>
      </c>
      <c r="B126" s="223" t="str">
        <f aca="false">G126</f>
        <v>BBB-</v>
      </c>
      <c r="C126" s="153" t="str">
        <f aca="false">F126</f>
        <v>Ba2</v>
      </c>
      <c r="E126" s="224" t="s">
        <v>293</v>
      </c>
      <c r="F126" s="225" t="str">
        <f aca="false">VLOOKUP(E126,$K$2:$M$154,3,FALSE())</f>
        <v>Ba2</v>
      </c>
      <c r="G126" s="226" t="str">
        <f aca="false">VLOOKUP(E126,$O$2:$P$155,2,FALSE())</f>
        <v>BBB-</v>
      </c>
      <c r="H126" s="54" t="str">
        <f aca="false">VLOOKUP(E126,$Q$2:$R$161,2,FALSE())</f>
        <v>BB+</v>
      </c>
      <c r="K126" s="227" t="s">
        <v>294</v>
      </c>
      <c r="L126" s="228" t="s">
        <v>111</v>
      </c>
      <c r="M126" s="228" t="s">
        <v>111</v>
      </c>
      <c r="N126" s="228"/>
      <c r="O126" s="9" t="s">
        <v>295</v>
      </c>
      <c r="P126" s="231" t="s">
        <v>375</v>
      </c>
      <c r="Q126" s="9" t="s">
        <v>545</v>
      </c>
      <c r="R126" s="230" t="s">
        <v>386</v>
      </c>
    </row>
    <row r="127" customFormat="false" ht="19.5" hidden="false" customHeight="false" outlineLevel="0" collapsed="false">
      <c r="A127" s="64" t="s">
        <v>311</v>
      </c>
      <c r="B127" s="223" t="str">
        <f aca="false">G127</f>
        <v>NR</v>
      </c>
      <c r="C127" s="153" t="str">
        <f aca="false">F127</f>
        <v>Ba1</v>
      </c>
      <c r="E127" s="224" t="s">
        <v>311</v>
      </c>
      <c r="F127" s="225" t="str">
        <f aca="false">VLOOKUP(E127,$K$2:$M$154,3,FALSE())</f>
        <v>Ba1</v>
      </c>
      <c r="G127" s="226" t="s">
        <v>127</v>
      </c>
      <c r="H127" s="54" t="e">
        <f aca="false">VLOOKUP(E127,$Q$2:$R$161,2,FALSE())</f>
        <v>#N/A</v>
      </c>
      <c r="K127" s="227" t="s">
        <v>295</v>
      </c>
      <c r="L127" s="228" t="s">
        <v>111</v>
      </c>
      <c r="M127" s="228" t="s">
        <v>111</v>
      </c>
      <c r="N127" s="228"/>
      <c r="O127" s="9" t="s">
        <v>232</v>
      </c>
      <c r="P127" s="233"/>
      <c r="Q127" s="9" t="s">
        <v>310</v>
      </c>
      <c r="R127" s="230" t="s">
        <v>374</v>
      </c>
    </row>
    <row r="128" customFormat="false" ht="19.5" hidden="false" customHeight="false" outlineLevel="0" collapsed="false">
      <c r="A128" s="64" t="s">
        <v>231</v>
      </c>
      <c r="B128" s="223" t="str">
        <f aca="false">G128</f>
        <v>AAA</v>
      </c>
      <c r="C128" s="153" t="str">
        <f aca="false">F128</f>
        <v>Aaa</v>
      </c>
      <c r="E128" s="224" t="s">
        <v>231</v>
      </c>
      <c r="F128" s="225" t="str">
        <f aca="false">VLOOKUP(E128,$K$2:$M$154,3,FALSE())</f>
        <v>Aaa</v>
      </c>
      <c r="G128" s="226" t="str">
        <f aca="false">VLOOKUP(E128,$O$2:$P$155,2,FALSE())</f>
        <v>AAA</v>
      </c>
      <c r="H128" s="54" t="str">
        <f aca="false">VLOOKUP(E128,$Q$2:$R$161,2,FALSE())</f>
        <v>AAA</v>
      </c>
      <c r="K128" s="227" t="s">
        <v>232</v>
      </c>
      <c r="L128" s="228" t="s">
        <v>133</v>
      </c>
      <c r="M128" s="228" t="s">
        <v>133</v>
      </c>
      <c r="N128" s="228"/>
      <c r="O128" s="9" t="s">
        <v>206</v>
      </c>
      <c r="P128" s="229" t="s">
        <v>382</v>
      </c>
      <c r="Q128" s="9" t="s">
        <v>205</v>
      </c>
      <c r="R128" s="230" t="s">
        <v>127</v>
      </c>
    </row>
    <row r="129" customFormat="false" ht="19.5" hidden="false" customHeight="false" outlineLevel="0" collapsed="false">
      <c r="A129" s="64" t="s">
        <v>294</v>
      </c>
      <c r="B129" s="223" t="str">
        <f aca="false">G129</f>
        <v>A+</v>
      </c>
      <c r="C129" s="153" t="str">
        <f aca="false">F129</f>
        <v>A3</v>
      </c>
      <c r="E129" s="224" t="s">
        <v>294</v>
      </c>
      <c r="F129" s="225" t="str">
        <f aca="false">VLOOKUP(E129,$K$2:$M$154,3,FALSE())</f>
        <v>A3</v>
      </c>
      <c r="G129" s="226" t="str">
        <f aca="false">VLOOKUP(E129,$O$2:$P$155,2,FALSE())</f>
        <v>A+</v>
      </c>
      <c r="H129" s="54" t="str">
        <f aca="false">VLOOKUP(E129,$Q$2:$R$161,2,FALSE())</f>
        <v>A-</v>
      </c>
      <c r="K129" s="227" t="s">
        <v>206</v>
      </c>
      <c r="L129" s="228" t="s">
        <v>120</v>
      </c>
      <c r="M129" s="228" t="s">
        <v>120</v>
      </c>
      <c r="N129" s="228"/>
      <c r="O129" s="9" t="s">
        <v>598</v>
      </c>
      <c r="P129" s="231" t="s">
        <v>375</v>
      </c>
      <c r="Q129" s="9" t="s">
        <v>293</v>
      </c>
      <c r="R129" s="230" t="s">
        <v>384</v>
      </c>
    </row>
    <row r="130" customFormat="false" ht="19.5" hidden="false" customHeight="false" outlineLevel="0" collapsed="false">
      <c r="A130" s="64" t="s">
        <v>295</v>
      </c>
      <c r="B130" s="223" t="str">
        <f aca="false">G130</f>
        <v>AA</v>
      </c>
      <c r="C130" s="153" t="str">
        <f aca="false">F130</f>
        <v>A3</v>
      </c>
      <c r="E130" s="224" t="s">
        <v>295</v>
      </c>
      <c r="F130" s="225" t="str">
        <f aca="false">VLOOKUP(E130,$K$2:$M$154,3,FALSE())</f>
        <v>A3</v>
      </c>
      <c r="G130" s="226" t="str">
        <f aca="false">VLOOKUP(E130,$O$2:$P$155,2,FALSE())</f>
        <v>AA</v>
      </c>
      <c r="H130" s="54" t="str">
        <f aca="false">VLOOKUP(E130,$Q$2:$R$161,2,FALSE())</f>
        <v>A+</v>
      </c>
      <c r="K130" s="227" t="s">
        <v>336</v>
      </c>
      <c r="L130" s="228" t="s">
        <v>111</v>
      </c>
      <c r="M130" s="228" t="s">
        <v>111</v>
      </c>
      <c r="N130" s="228"/>
      <c r="O130" s="9" t="s">
        <v>336</v>
      </c>
      <c r="P130" s="231" t="s">
        <v>374</v>
      </c>
      <c r="Q130" s="9" t="s">
        <v>547</v>
      </c>
      <c r="R130" s="230" t="s">
        <v>382</v>
      </c>
    </row>
    <row r="131" customFormat="false" ht="19.5" hidden="false" customHeight="false" outlineLevel="0" collapsed="false">
      <c r="A131" s="64" t="s">
        <v>232</v>
      </c>
      <c r="B131" s="223" t="n">
        <f aca="false">G131</f>
        <v>0</v>
      </c>
      <c r="C131" s="153" t="str">
        <f aca="false">F131</f>
        <v>Caa1</v>
      </c>
      <c r="E131" s="224" t="s">
        <v>232</v>
      </c>
      <c r="F131" s="225" t="str">
        <f aca="false">VLOOKUP(E131,$K$2:$M$154,3,FALSE())</f>
        <v>Caa1</v>
      </c>
      <c r="G131" s="226" t="n">
        <f aca="false">VLOOKUP(E131,$O$2:$P$155,2,FALSE())</f>
        <v>0</v>
      </c>
      <c r="H131" s="54" t="str">
        <f aca="false">VLOOKUP(E131,$Q$2:$R$161,2,FALSE())</f>
        <v>NR</v>
      </c>
      <c r="K131" s="227" t="s">
        <v>233</v>
      </c>
      <c r="L131" s="228" t="s">
        <v>133</v>
      </c>
      <c r="M131" s="228" t="s">
        <v>581</v>
      </c>
      <c r="N131" s="228"/>
      <c r="O131" s="9" t="s">
        <v>233</v>
      </c>
      <c r="P131" s="233" t="s">
        <v>401</v>
      </c>
      <c r="Q131" s="9" t="s">
        <v>231</v>
      </c>
      <c r="R131" s="230" t="s">
        <v>378</v>
      </c>
    </row>
    <row r="132" customFormat="false" ht="19.5" hidden="false" customHeight="false" outlineLevel="0" collapsed="false">
      <c r="A132" s="64" t="s">
        <v>206</v>
      </c>
      <c r="B132" s="223" t="str">
        <f aca="false">G132</f>
        <v>BB</v>
      </c>
      <c r="C132" s="153" t="str">
        <f aca="false">F132</f>
        <v>Ba2</v>
      </c>
      <c r="E132" s="224" t="s">
        <v>206</v>
      </c>
      <c r="F132" s="225" t="str">
        <f aca="false">VLOOKUP(E132,$K$2:$M$154,3,FALSE())</f>
        <v>Ba2</v>
      </c>
      <c r="G132" s="226" t="str">
        <f aca="false">VLOOKUP(E132,$O$2:$P$155,2,FALSE())</f>
        <v>BB</v>
      </c>
      <c r="H132" s="54" t="str">
        <f aca="false">VLOOKUP(E132,$Q$2:$R$161,2,FALSE())</f>
        <v>BB-</v>
      </c>
      <c r="K132" s="227" t="s">
        <v>599</v>
      </c>
      <c r="L132" s="228" t="s">
        <v>586</v>
      </c>
      <c r="M132" s="228" t="s">
        <v>586</v>
      </c>
      <c r="N132" s="228"/>
      <c r="O132" s="9" t="s">
        <v>600</v>
      </c>
      <c r="P132" s="233"/>
      <c r="Q132" s="9" t="s">
        <v>294</v>
      </c>
      <c r="R132" s="230" t="s">
        <v>373</v>
      </c>
    </row>
    <row r="133" customFormat="false" ht="19.5" hidden="false" customHeight="false" outlineLevel="0" collapsed="false">
      <c r="A133" s="64" t="s">
        <v>336</v>
      </c>
      <c r="B133" s="223" t="str">
        <f aca="false">G133</f>
        <v>A+</v>
      </c>
      <c r="C133" s="153" t="str">
        <f aca="false">F133</f>
        <v>A3</v>
      </c>
      <c r="E133" s="224" t="s">
        <v>336</v>
      </c>
      <c r="F133" s="225" t="str">
        <f aca="false">VLOOKUP(E133,$K$2:$M$154,3,FALSE())</f>
        <v>A3</v>
      </c>
      <c r="G133" s="226" t="str">
        <f aca="false">VLOOKUP(E133,$O$2:$P$155,2,FALSE())</f>
        <v>A+</v>
      </c>
      <c r="H133" s="54" t="str">
        <f aca="false">VLOOKUP(E133,$Q$2:$R$161,2,FALSE())</f>
        <v>A</v>
      </c>
      <c r="K133" s="227" t="s">
        <v>251</v>
      </c>
      <c r="L133" s="228" t="s">
        <v>118</v>
      </c>
      <c r="M133" s="228" t="s">
        <v>118</v>
      </c>
      <c r="N133" s="228"/>
      <c r="O133" s="9" t="s">
        <v>270</v>
      </c>
      <c r="P133" s="233" t="s">
        <v>401</v>
      </c>
      <c r="Q133" s="9" t="s">
        <v>295</v>
      </c>
      <c r="R133" s="230" t="s">
        <v>374</v>
      </c>
    </row>
    <row r="134" customFormat="false" ht="19.5" hidden="false" customHeight="false" outlineLevel="0" collapsed="false">
      <c r="A134" s="64" t="s">
        <v>233</v>
      </c>
      <c r="B134" s="223" t="str">
        <f aca="false">G134</f>
        <v>CCC+</v>
      </c>
      <c r="C134" s="153" t="str">
        <f aca="false">F134</f>
        <v>Ca</v>
      </c>
      <c r="E134" s="224" t="s">
        <v>233</v>
      </c>
      <c r="F134" s="225" t="s">
        <v>126</v>
      </c>
      <c r="G134" s="226" t="str">
        <f aca="false">VLOOKUP(E134,$O$2:$P$155,2,FALSE())</f>
        <v>CCC+</v>
      </c>
      <c r="H134" s="54" t="str">
        <f aca="false">VLOOKUP(E134,$Q$2:$R$161,2,FALSE())</f>
        <v>CCC+</v>
      </c>
      <c r="K134" s="227" t="s">
        <v>270</v>
      </c>
      <c r="L134" s="228" t="s">
        <v>133</v>
      </c>
      <c r="M134" s="228" t="s">
        <v>133</v>
      </c>
      <c r="N134" s="228"/>
      <c r="O134" s="9" t="s">
        <v>207</v>
      </c>
      <c r="P134" s="233"/>
      <c r="Q134" s="9" t="s">
        <v>232</v>
      </c>
      <c r="R134" s="230" t="s">
        <v>127</v>
      </c>
    </row>
    <row r="135" customFormat="false" ht="19.5" hidden="false" customHeight="false" outlineLevel="0" collapsed="false">
      <c r="A135" s="64" t="s">
        <v>250</v>
      </c>
      <c r="B135" s="223" t="s">
        <v>136</v>
      </c>
      <c r="C135" s="153" t="s">
        <v>120</v>
      </c>
      <c r="E135" s="224" t="s">
        <v>599</v>
      </c>
      <c r="F135" s="225" t="str">
        <f aca="false">VLOOKUP(E135,$K$2:$M$154,3,FALSE())</f>
        <v>WR</v>
      </c>
      <c r="G135" s="226" t="s">
        <v>127</v>
      </c>
      <c r="H135" s="54" t="e">
        <f aca="false">VLOOKUP(E135,$Q$2:$R$161,2,FALSE())</f>
        <v>#N/A</v>
      </c>
      <c r="K135" s="227" t="s">
        <v>337</v>
      </c>
      <c r="L135" s="228" t="s">
        <v>115</v>
      </c>
      <c r="M135" s="228" t="s">
        <v>115</v>
      </c>
      <c r="N135" s="228"/>
      <c r="O135" s="9" t="s">
        <v>337</v>
      </c>
      <c r="P135" s="231" t="s">
        <v>378</v>
      </c>
      <c r="Q135" s="9" t="s">
        <v>206</v>
      </c>
      <c r="R135" s="230" t="s">
        <v>383</v>
      </c>
    </row>
    <row r="136" customFormat="false" ht="19.5" hidden="false" customHeight="false" outlineLevel="0" collapsed="false">
      <c r="A136" s="64" t="s">
        <v>251</v>
      </c>
      <c r="B136" s="223" t="str">
        <f aca="false">G136</f>
        <v>NR</v>
      </c>
      <c r="C136" s="153" t="str">
        <f aca="false">F136</f>
        <v>B3</v>
      </c>
      <c r="E136" s="224" t="s">
        <v>251</v>
      </c>
      <c r="F136" s="225" t="str">
        <f aca="false">VLOOKUP(E136,$K$2:$M$154,3,FALSE())</f>
        <v>B3</v>
      </c>
      <c r="G136" s="226" t="s">
        <v>127</v>
      </c>
      <c r="H136" s="54" t="e">
        <f aca="false">VLOOKUP(E136,$Q$2:$R$161,2,FALSE())</f>
        <v>#N/A</v>
      </c>
      <c r="K136" s="227" t="s">
        <v>338</v>
      </c>
      <c r="L136" s="228" t="s">
        <v>115</v>
      </c>
      <c r="M136" s="228" t="s">
        <v>115</v>
      </c>
      <c r="N136" s="228"/>
      <c r="O136" s="9" t="s">
        <v>338</v>
      </c>
      <c r="P136" s="231" t="s">
        <v>378</v>
      </c>
      <c r="Q136" s="9" t="s">
        <v>598</v>
      </c>
      <c r="R136" s="230" t="s">
        <v>376</v>
      </c>
    </row>
    <row r="137" customFormat="false" ht="19.5" hidden="false" customHeight="false" outlineLevel="0" collapsed="false">
      <c r="A137" s="64" t="s">
        <v>270</v>
      </c>
      <c r="B137" s="223" t="str">
        <f aca="false">G137</f>
        <v>CCC+</v>
      </c>
      <c r="C137" s="153" t="str">
        <f aca="false">F137</f>
        <v>Caa1</v>
      </c>
      <c r="E137" s="224" t="s">
        <v>270</v>
      </c>
      <c r="F137" s="225" t="str">
        <f aca="false">VLOOKUP(E137,$K$2:$M$154,3,FALSE())</f>
        <v>Caa1</v>
      </c>
      <c r="G137" s="226" t="str">
        <f aca="false">VLOOKUP(E137,$O$2:$P$155,2,FALSE())</f>
        <v>CCC+</v>
      </c>
      <c r="H137" s="54" t="str">
        <f aca="false">VLOOKUP(E137,$Q$2:$R$161,2,FALSE())</f>
        <v>C</v>
      </c>
      <c r="K137" s="227" t="s">
        <v>601</v>
      </c>
      <c r="L137" s="228" t="s">
        <v>114</v>
      </c>
      <c r="M137" s="228" t="s">
        <v>114</v>
      </c>
      <c r="N137" s="228"/>
      <c r="O137" s="9" t="s">
        <v>234</v>
      </c>
      <c r="P137" s="231" t="s">
        <v>377</v>
      </c>
      <c r="Q137" s="9" t="s">
        <v>336</v>
      </c>
      <c r="R137" s="230" t="s">
        <v>372</v>
      </c>
    </row>
    <row r="138" customFormat="false" ht="19.5" hidden="false" customHeight="false" outlineLevel="0" collapsed="false">
      <c r="A138" s="64" t="s">
        <v>207</v>
      </c>
      <c r="B138" s="223" t="e">
        <f aca="false">G138</f>
        <v>#N/A</v>
      </c>
      <c r="C138" s="153" t="str">
        <f aca="false">F138</f>
        <v>B2</v>
      </c>
      <c r="E138" s="224" t="s">
        <v>590</v>
      </c>
      <c r="F138" s="225" t="str">
        <f aca="false">VLOOKUP(E138,$K$2:$M$154,3,FALSE())</f>
        <v>B2</v>
      </c>
      <c r="G138" s="226" t="e">
        <f aca="false">VLOOKUP(E138,$O$2:$P$155,2,FALSE())</f>
        <v>#N/A</v>
      </c>
      <c r="H138" s="54" t="e">
        <f aca="false">VLOOKUP(E138,$Q$2:$R$161,2,FALSE())</f>
        <v>#N/A</v>
      </c>
      <c r="K138" s="227" t="s">
        <v>296</v>
      </c>
      <c r="L138" s="228" t="s">
        <v>118</v>
      </c>
      <c r="M138" s="228" t="s">
        <v>118</v>
      </c>
      <c r="N138" s="228"/>
      <c r="O138" s="9" t="s">
        <v>296</v>
      </c>
      <c r="P138" s="229" t="s">
        <v>379</v>
      </c>
      <c r="Q138" s="9" t="s">
        <v>233</v>
      </c>
      <c r="R138" s="230" t="s">
        <v>401</v>
      </c>
    </row>
    <row r="139" customFormat="false" ht="19.5" hidden="false" customHeight="false" outlineLevel="0" collapsed="false">
      <c r="A139" s="64" t="s">
        <v>337</v>
      </c>
      <c r="B139" s="223" t="str">
        <f aca="false">G139</f>
        <v>AAA</v>
      </c>
      <c r="C139" s="153" t="str">
        <f aca="false">F139</f>
        <v>Aaa</v>
      </c>
      <c r="E139" s="224" t="s">
        <v>337</v>
      </c>
      <c r="F139" s="225" t="str">
        <f aca="false">VLOOKUP(E139,$K$2:$M$154,3,FALSE())</f>
        <v>Aaa</v>
      </c>
      <c r="G139" s="226" t="str">
        <f aca="false">VLOOKUP(E139,$O$2:$P$155,2,FALSE())</f>
        <v>AAA</v>
      </c>
      <c r="H139" s="54" t="str">
        <f aca="false">VLOOKUP(E139,$Q$2:$R$161,2,FALSE())</f>
        <v>AAA</v>
      </c>
      <c r="K139" s="227" t="s">
        <v>208</v>
      </c>
      <c r="L139" s="228" t="s">
        <v>116</v>
      </c>
      <c r="M139" s="228" t="s">
        <v>116</v>
      </c>
      <c r="N139" s="228"/>
      <c r="O139" s="9" t="s">
        <v>208</v>
      </c>
      <c r="P139" s="233"/>
      <c r="Q139" s="9" t="s">
        <v>270</v>
      </c>
      <c r="R139" s="230" t="s">
        <v>125</v>
      </c>
    </row>
    <row r="140" customFormat="false" ht="19.5" hidden="false" customHeight="false" outlineLevel="0" collapsed="false">
      <c r="A140" s="64" t="s">
        <v>338</v>
      </c>
      <c r="B140" s="223" t="str">
        <f aca="false">G140</f>
        <v>AAA</v>
      </c>
      <c r="C140" s="153" t="str">
        <f aca="false">F140</f>
        <v>Aaa</v>
      </c>
      <c r="E140" s="224" t="s">
        <v>338</v>
      </c>
      <c r="F140" s="225" t="str">
        <f aca="false">VLOOKUP(E140,$K$2:$M$154,3,FALSE())</f>
        <v>Aaa</v>
      </c>
      <c r="G140" s="226" t="str">
        <f aca="false">VLOOKUP(E140,$O$2:$P$155,2,FALSE())</f>
        <v>AAA</v>
      </c>
      <c r="H140" s="54" t="str">
        <f aca="false">VLOOKUP(E140,$Q$2:$R$161,2,FALSE())</f>
        <v>AAA</v>
      </c>
      <c r="K140" s="227" t="s">
        <v>235</v>
      </c>
      <c r="L140" s="228" t="s">
        <v>122</v>
      </c>
      <c r="M140" s="228" t="s">
        <v>122</v>
      </c>
      <c r="N140" s="228"/>
      <c r="O140" s="9" t="s">
        <v>235</v>
      </c>
      <c r="P140" s="229" t="s">
        <v>387</v>
      </c>
      <c r="Q140" s="9" t="s">
        <v>207</v>
      </c>
      <c r="R140" s="230" t="s">
        <v>127</v>
      </c>
    </row>
    <row r="141" customFormat="false" ht="19.5" hidden="false" customHeight="false" outlineLevel="0" collapsed="false">
      <c r="A141" s="64" t="s">
        <v>234</v>
      </c>
      <c r="B141" s="223" t="str">
        <f aca="false">G141</f>
        <v>AA+</v>
      </c>
      <c r="C141" s="153" t="str">
        <f aca="false">F141</f>
        <v>Aa3</v>
      </c>
      <c r="E141" s="224" t="s">
        <v>234</v>
      </c>
      <c r="F141" s="225" t="s">
        <v>114</v>
      </c>
      <c r="G141" s="226" t="str">
        <f aca="false">VLOOKUP(E141,$O$2:$P$155,2,FALSE())</f>
        <v>AA+</v>
      </c>
      <c r="H141" s="54" t="str">
        <f aca="false">VLOOKUP(E141,$Q$2:$R$161,2,FALSE())</f>
        <v>AA</v>
      </c>
      <c r="K141" s="227" t="s">
        <v>209</v>
      </c>
      <c r="L141" s="228" t="s">
        <v>118</v>
      </c>
      <c r="M141" s="228" t="s">
        <v>118</v>
      </c>
      <c r="N141" s="228"/>
      <c r="O141" s="9" t="s">
        <v>209</v>
      </c>
      <c r="P141" s="229" t="s">
        <v>381</v>
      </c>
      <c r="Q141" s="9" t="s">
        <v>337</v>
      </c>
      <c r="R141" s="230" t="s">
        <v>378</v>
      </c>
    </row>
    <row r="142" customFormat="false" ht="19.5" hidden="false" customHeight="false" outlineLevel="0" collapsed="false">
      <c r="A142" s="227" t="s">
        <v>296</v>
      </c>
      <c r="B142" s="223" t="str">
        <f aca="false">G142</f>
        <v>B</v>
      </c>
      <c r="C142" s="153" t="str">
        <f aca="false">F142</f>
        <v>B3</v>
      </c>
      <c r="E142" s="224" t="s">
        <v>296</v>
      </c>
      <c r="F142" s="225" t="str">
        <f aca="false">VLOOKUP(E142,$K$2:$M$154,3,FALSE())</f>
        <v>B3</v>
      </c>
      <c r="G142" s="226" t="str">
        <f aca="false">VLOOKUP(E142,$O$2:$P$155,2,FALSE())</f>
        <v>B</v>
      </c>
      <c r="H142" s="54" t="str">
        <f aca="false">VLOOKUP(E142,$Q$2:$R$161,2,FALSE())</f>
        <v>NR</v>
      </c>
      <c r="K142" s="227" t="s">
        <v>252</v>
      </c>
      <c r="L142" s="228" t="s">
        <v>120</v>
      </c>
      <c r="M142" s="228" t="s">
        <v>120</v>
      </c>
      <c r="N142" s="228"/>
      <c r="O142" s="9" t="s">
        <v>252</v>
      </c>
      <c r="P142" s="229" t="s">
        <v>386</v>
      </c>
      <c r="Q142" s="9" t="s">
        <v>338</v>
      </c>
      <c r="R142" s="230" t="s">
        <v>378</v>
      </c>
    </row>
    <row r="143" customFormat="false" ht="19.5" hidden="false" customHeight="false" outlineLevel="0" collapsed="false">
      <c r="A143" s="227" t="s">
        <v>208</v>
      </c>
      <c r="B143" s="223" t="str">
        <f aca="false">G143</f>
        <v>NR</v>
      </c>
      <c r="C143" s="153" t="str">
        <f aca="false">F143</f>
        <v>B1</v>
      </c>
      <c r="E143" s="224" t="s">
        <v>208</v>
      </c>
      <c r="F143" s="225" t="str">
        <f aca="false">VLOOKUP(E143,$K$2:$M$154,3,FALSE())</f>
        <v>B1</v>
      </c>
      <c r="G143" s="226" t="s">
        <v>127</v>
      </c>
      <c r="H143" s="54" t="str">
        <f aca="false">VLOOKUP(E143,$Q$2:$R$161,2,FALSE())</f>
        <v>B+</v>
      </c>
      <c r="K143" s="227" t="s">
        <v>210</v>
      </c>
      <c r="L143" s="228" t="s">
        <v>133</v>
      </c>
      <c r="M143" s="228" t="s">
        <v>133</v>
      </c>
      <c r="N143" s="228"/>
      <c r="O143" s="9" t="s">
        <v>210</v>
      </c>
      <c r="P143" s="231" t="s">
        <v>583</v>
      </c>
      <c r="Q143" s="9" t="s">
        <v>234</v>
      </c>
      <c r="R143" s="230" t="s">
        <v>375</v>
      </c>
    </row>
    <row r="144" customFormat="false" ht="19.5" hidden="false" customHeight="false" outlineLevel="0" collapsed="false">
      <c r="A144" s="64" t="s">
        <v>235</v>
      </c>
      <c r="B144" s="223" t="str">
        <f aca="false">G144</f>
        <v>BBB+</v>
      </c>
      <c r="C144" s="153" t="str">
        <f aca="false">F144</f>
        <v>Baa1</v>
      </c>
      <c r="E144" s="224" t="s">
        <v>235</v>
      </c>
      <c r="F144" s="225" t="str">
        <f aca="false">VLOOKUP(E144,$K$2:$M$154,3,FALSE())</f>
        <v>Baa1</v>
      </c>
      <c r="G144" s="226" t="str">
        <f aca="false">VLOOKUP(E144,$O$2:$P$155,2,FALSE())</f>
        <v>BBB+</v>
      </c>
      <c r="H144" s="54" t="str">
        <f aca="false">VLOOKUP(E144,$Q$2:$R$161,2,FALSE())</f>
        <v>BBB+</v>
      </c>
      <c r="K144" s="227" t="s">
        <v>62</v>
      </c>
      <c r="L144" s="228" t="s">
        <v>121</v>
      </c>
      <c r="M144" s="228" t="s">
        <v>121</v>
      </c>
      <c r="N144" s="228"/>
      <c r="O144" s="9" t="s">
        <v>62</v>
      </c>
      <c r="P144" s="229" t="s">
        <v>383</v>
      </c>
      <c r="Q144" s="9" t="s">
        <v>296</v>
      </c>
      <c r="R144" s="230" t="s">
        <v>127</v>
      </c>
    </row>
    <row r="145" customFormat="false" ht="19.5" hidden="false" customHeight="false" outlineLevel="0" collapsed="false">
      <c r="A145" s="241" t="s">
        <v>209</v>
      </c>
      <c r="B145" s="223" t="str">
        <f aca="false">G145</f>
        <v>B+</v>
      </c>
      <c r="C145" s="153" t="str">
        <f aca="false">F145</f>
        <v>B3</v>
      </c>
      <c r="E145" s="224" t="s">
        <v>209</v>
      </c>
      <c r="F145" s="225" t="str">
        <f aca="false">VLOOKUP(E145,$K$2:$M$154,3,FALSE())</f>
        <v>B3</v>
      </c>
      <c r="G145" s="226" t="str">
        <f aca="false">VLOOKUP(E145,$O$2:$P$155,2,FALSE())</f>
        <v>B+</v>
      </c>
      <c r="H145" s="54" t="str">
        <f aca="false">VLOOKUP(E145,$Q$2:$R$161,2,FALSE())</f>
        <v>NR</v>
      </c>
      <c r="K145" s="227" t="s">
        <v>211</v>
      </c>
      <c r="L145" s="228" t="s">
        <v>118</v>
      </c>
      <c r="M145" s="228" t="s">
        <v>118</v>
      </c>
      <c r="N145" s="228"/>
      <c r="O145" s="9" t="s">
        <v>405</v>
      </c>
      <c r="P145" s="233"/>
      <c r="Q145" s="9" t="s">
        <v>208</v>
      </c>
      <c r="R145" s="230" t="s">
        <v>381</v>
      </c>
    </row>
    <row r="146" customFormat="false" ht="19.5" hidden="false" customHeight="false" outlineLevel="0" collapsed="false">
      <c r="A146" s="64" t="s">
        <v>252</v>
      </c>
      <c r="B146" s="223" t="str">
        <f aca="false">G146</f>
        <v>BBB-</v>
      </c>
      <c r="C146" s="153" t="str">
        <f aca="false">F146</f>
        <v>Ba2</v>
      </c>
      <c r="E146" s="224" t="s">
        <v>252</v>
      </c>
      <c r="F146" s="225" t="str">
        <f aca="false">VLOOKUP(E146,$K$2:$M$154,3,FALSE())</f>
        <v>Ba2</v>
      </c>
      <c r="G146" s="226" t="str">
        <f aca="false">VLOOKUP(E146,$O$2:$P$155,2,FALSE())</f>
        <v>BBB-</v>
      </c>
      <c r="H146" s="54" t="str">
        <f aca="false">VLOOKUP(E146,$Q$2:$R$161,2,FALSE())</f>
        <v>NR</v>
      </c>
      <c r="K146" s="227" t="s">
        <v>297</v>
      </c>
      <c r="L146" s="228" t="s">
        <v>126</v>
      </c>
      <c r="M146" s="228" t="s">
        <v>126</v>
      </c>
      <c r="N146" s="228"/>
      <c r="O146" s="9" t="s">
        <v>211</v>
      </c>
      <c r="P146" s="229" t="s">
        <v>380</v>
      </c>
      <c r="Q146" s="9" t="s">
        <v>235</v>
      </c>
      <c r="R146" s="230" t="s">
        <v>387</v>
      </c>
    </row>
    <row r="147" customFormat="false" ht="19.5" hidden="false" customHeight="false" outlineLevel="0" collapsed="false">
      <c r="A147" s="64" t="s">
        <v>210</v>
      </c>
      <c r="B147" s="223" t="str">
        <f aca="false">G147</f>
        <v>N/A</v>
      </c>
      <c r="C147" s="153" t="str">
        <f aca="false">F147</f>
        <v>Caa1</v>
      </c>
      <c r="E147" s="224" t="s">
        <v>210</v>
      </c>
      <c r="F147" s="225" t="str">
        <f aca="false">VLOOKUP(E147,$K$2:$M$154,3,FALSE())</f>
        <v>Caa1</v>
      </c>
      <c r="G147" s="226" t="str">
        <f aca="false">VLOOKUP(E147,$O$2:$P$155,2,FALSE())</f>
        <v>N/A</v>
      </c>
      <c r="H147" s="54" t="str">
        <f aca="false">VLOOKUP(E147,$Q$2:$R$161,2,FALSE())</f>
        <v>B-</v>
      </c>
      <c r="K147" s="227" t="s">
        <v>312</v>
      </c>
      <c r="L147" s="228" t="s">
        <v>113</v>
      </c>
      <c r="M147" s="228" t="s">
        <v>113</v>
      </c>
      <c r="N147" s="228"/>
      <c r="O147" s="9" t="s">
        <v>297</v>
      </c>
      <c r="P147" s="233" t="s">
        <v>588</v>
      </c>
      <c r="Q147" s="9" t="s">
        <v>209</v>
      </c>
      <c r="R147" s="230" t="s">
        <v>127</v>
      </c>
    </row>
    <row r="148" customFormat="false" ht="19.5" hidden="false" customHeight="false" outlineLevel="0" collapsed="false">
      <c r="A148" s="64" t="s">
        <v>62</v>
      </c>
      <c r="B148" s="223" t="str">
        <f aca="false">G148</f>
        <v>BB-</v>
      </c>
      <c r="C148" s="153" t="str">
        <f aca="false">F148</f>
        <v>Ba3</v>
      </c>
      <c r="E148" s="224" t="s">
        <v>62</v>
      </c>
      <c r="F148" s="225" t="str">
        <f aca="false">VLOOKUP(E148,$K$2:$M$154,3,FALSE())</f>
        <v>Ba3</v>
      </c>
      <c r="G148" s="226" t="str">
        <f aca="false">VLOOKUP(E148,$O$2:$P$155,2,FALSE())</f>
        <v>BB-</v>
      </c>
      <c r="H148" s="54" t="str">
        <f aca="false">VLOOKUP(E148,$Q$2:$R$161,2,FALSE())</f>
        <v>BB-</v>
      </c>
      <c r="K148" s="227" t="s">
        <v>339</v>
      </c>
      <c r="L148" s="228" t="s">
        <v>114</v>
      </c>
      <c r="M148" s="228" t="s">
        <v>114</v>
      </c>
      <c r="N148" s="228"/>
      <c r="O148" s="9" t="s">
        <v>312</v>
      </c>
      <c r="P148" s="231" t="s">
        <v>375</v>
      </c>
      <c r="Q148" s="9" t="s">
        <v>252</v>
      </c>
      <c r="R148" s="230" t="s">
        <v>127</v>
      </c>
    </row>
    <row r="149" customFormat="false" ht="19.5" hidden="false" customHeight="false" outlineLevel="0" collapsed="false">
      <c r="A149" s="64" t="s">
        <v>253</v>
      </c>
      <c r="B149" s="223" t="s">
        <v>387</v>
      </c>
      <c r="C149" s="153" t="s">
        <v>122</v>
      </c>
      <c r="E149" s="236" t="s">
        <v>253</v>
      </c>
      <c r="F149" s="225" t="s">
        <v>127</v>
      </c>
      <c r="G149" s="226" t="s">
        <v>127</v>
      </c>
      <c r="H149" s="54" t="s">
        <v>387</v>
      </c>
      <c r="K149" s="227" t="s">
        <v>512</v>
      </c>
      <c r="L149" s="228" t="s">
        <v>112</v>
      </c>
      <c r="M149" s="228" t="s">
        <v>112</v>
      </c>
      <c r="N149" s="228"/>
      <c r="O149" s="9" t="s">
        <v>339</v>
      </c>
      <c r="P149" s="231" t="s">
        <v>375</v>
      </c>
      <c r="Q149" s="9" t="s">
        <v>210</v>
      </c>
      <c r="R149" s="230" t="s">
        <v>380</v>
      </c>
    </row>
    <row r="150" customFormat="false" ht="19.5" hidden="false" customHeight="false" outlineLevel="0" collapsed="false">
      <c r="A150" s="64" t="s">
        <v>211</v>
      </c>
      <c r="B150" s="223" t="str">
        <f aca="false">G150</f>
        <v>B-</v>
      </c>
      <c r="C150" s="153" t="str">
        <f aca="false">F150</f>
        <v>B3</v>
      </c>
      <c r="E150" s="224" t="s">
        <v>211</v>
      </c>
      <c r="F150" s="225" t="str">
        <f aca="false">VLOOKUP(E150,$K$2:$M$154,3,FALSE())</f>
        <v>B3</v>
      </c>
      <c r="G150" s="226" t="str">
        <f aca="false">VLOOKUP(E150,$O$2:$P$155,2,FALSE())</f>
        <v>B-</v>
      </c>
      <c r="H150" s="54" t="str">
        <f aca="false">VLOOKUP(E150,$Q$2:$R$161,2,FALSE())</f>
        <v>B</v>
      </c>
      <c r="K150" s="227" t="s">
        <v>298</v>
      </c>
      <c r="L150" s="228" t="s">
        <v>121</v>
      </c>
      <c r="M150" s="228" t="s">
        <v>121</v>
      </c>
      <c r="N150" s="228"/>
      <c r="O150" s="9" t="s">
        <v>314</v>
      </c>
      <c r="P150" s="231" t="s">
        <v>377</v>
      </c>
      <c r="Q150" s="9" t="s">
        <v>62</v>
      </c>
      <c r="R150" s="230" t="s">
        <v>383</v>
      </c>
    </row>
    <row r="151" customFormat="false" ht="19.5" hidden="false" customHeight="false" outlineLevel="0" collapsed="false">
      <c r="A151" s="64" t="s">
        <v>297</v>
      </c>
      <c r="B151" s="223" t="str">
        <f aca="false">G151</f>
        <v>SD</v>
      </c>
      <c r="C151" s="153" t="str">
        <f aca="false">F151</f>
        <v>Ca</v>
      </c>
      <c r="E151" s="224" t="s">
        <v>297</v>
      </c>
      <c r="F151" s="225" t="str">
        <f aca="false">VLOOKUP(E151,$K$2:$M$154,3,FALSE())</f>
        <v>Ca</v>
      </c>
      <c r="G151" s="226" t="str">
        <f aca="false">VLOOKUP(E151,$O$2:$P$155,2,FALSE())</f>
        <v>SD</v>
      </c>
      <c r="H151" s="54" t="str">
        <f aca="false">VLOOKUP(E151,$Q$2:$R$161,2,FALSE())</f>
        <v>CCC</v>
      </c>
      <c r="K151" s="227" t="s">
        <v>271</v>
      </c>
      <c r="L151" s="228" t="s">
        <v>122</v>
      </c>
      <c r="M151" s="228" t="s">
        <v>122</v>
      </c>
      <c r="N151" s="228"/>
      <c r="O151" s="9" t="s">
        <v>271</v>
      </c>
      <c r="P151" s="229" t="s">
        <v>387</v>
      </c>
      <c r="Q151" s="9" t="s">
        <v>405</v>
      </c>
      <c r="R151" s="230" t="s">
        <v>383</v>
      </c>
    </row>
    <row r="152" customFormat="false" ht="19.5" hidden="false" customHeight="false" outlineLevel="0" collapsed="false">
      <c r="A152" s="64" t="s">
        <v>312</v>
      </c>
      <c r="B152" s="223" t="str">
        <f aca="false">G152</f>
        <v>AA</v>
      </c>
      <c r="C152" s="153" t="str">
        <f aca="false">F152</f>
        <v>Aa2</v>
      </c>
      <c r="E152" s="224" t="s">
        <v>312</v>
      </c>
      <c r="F152" s="225" t="str">
        <f aca="false">VLOOKUP(E152,$K$2:$M$154,3,FALSE())</f>
        <v>Aa2</v>
      </c>
      <c r="G152" s="226" t="str">
        <f aca="false">VLOOKUP(E152,$O$2:$P$155,2,FALSE())</f>
        <v>AA</v>
      </c>
      <c r="H152" s="54" t="str">
        <f aca="false">VLOOKUP(E152,$Q$2:$R$161,2,FALSE())</f>
        <v>AA-</v>
      </c>
      <c r="K152" s="227" t="s">
        <v>602</v>
      </c>
      <c r="L152" s="228" t="s">
        <v>125</v>
      </c>
      <c r="M152" s="228" t="s">
        <v>586</v>
      </c>
      <c r="N152" s="228"/>
      <c r="O152" s="9" t="s">
        <v>298</v>
      </c>
      <c r="P152" s="229" t="s">
        <v>382</v>
      </c>
      <c r="Q152" s="9" t="s">
        <v>211</v>
      </c>
      <c r="R152" s="230" t="s">
        <v>379</v>
      </c>
    </row>
    <row r="153" customFormat="false" ht="19.5" hidden="false" customHeight="false" outlineLevel="0" collapsed="false">
      <c r="A153" s="64" t="s">
        <v>339</v>
      </c>
      <c r="B153" s="223" t="str">
        <f aca="false">G153</f>
        <v>AA</v>
      </c>
      <c r="C153" s="153" t="str">
        <f aca="false">F153</f>
        <v>Aa3</v>
      </c>
      <c r="E153" s="224" t="s">
        <v>339</v>
      </c>
      <c r="F153" s="225" t="str">
        <f aca="false">VLOOKUP(E153,$K$2:$M$154,3,FALSE())</f>
        <v>Aa3</v>
      </c>
      <c r="G153" s="226" t="str">
        <f aca="false">VLOOKUP(E153,$O$2:$P$155,2,FALSE())</f>
        <v>AA</v>
      </c>
      <c r="H153" s="54" t="str">
        <f aca="false">VLOOKUP(E153,$Q$2:$R$161,2,FALSE())</f>
        <v>AA-</v>
      </c>
      <c r="K153" s="227" t="s">
        <v>236</v>
      </c>
      <c r="L153" s="228" t="s">
        <v>120</v>
      </c>
      <c r="M153" s="228" t="s">
        <v>120</v>
      </c>
      <c r="N153" s="238"/>
      <c r="O153" s="9" t="s">
        <v>272</v>
      </c>
      <c r="P153" s="231" t="s">
        <v>583</v>
      </c>
      <c r="Q153" s="9" t="s">
        <v>297</v>
      </c>
      <c r="R153" s="230" t="s">
        <v>399</v>
      </c>
    </row>
    <row r="154" customFormat="false" ht="19.5" hidden="false" customHeight="false" outlineLevel="0" collapsed="false">
      <c r="A154" s="64" t="s">
        <v>314</v>
      </c>
      <c r="B154" s="223" t="str">
        <f aca="false">G154</f>
        <v>AA+</v>
      </c>
      <c r="C154" s="153" t="str">
        <f aca="false">F154</f>
        <v>Aa1</v>
      </c>
      <c r="E154" s="224" t="s">
        <v>314</v>
      </c>
      <c r="F154" s="225" t="str">
        <f aca="false">L149</f>
        <v>Aa1</v>
      </c>
      <c r="G154" s="226" t="str">
        <f aca="false">VLOOKUP(E154,$O$2:$P$155,2,FALSE())</f>
        <v>AA+</v>
      </c>
      <c r="H154" s="54" t="str">
        <f aca="false">R157</f>
        <v>AA+</v>
      </c>
      <c r="K154" s="239" t="s">
        <v>212</v>
      </c>
      <c r="L154" s="238" t="s">
        <v>134</v>
      </c>
      <c r="M154" s="238" t="s">
        <v>134</v>
      </c>
      <c r="O154" s="9" t="s">
        <v>236</v>
      </c>
      <c r="P154" s="229" t="s">
        <v>384</v>
      </c>
      <c r="Q154" s="9" t="s">
        <v>312</v>
      </c>
      <c r="R154" s="230" t="s">
        <v>376</v>
      </c>
    </row>
    <row r="155" customFormat="false" ht="19.5" hidden="false" customHeight="false" outlineLevel="0" collapsed="false">
      <c r="A155" s="64" t="s">
        <v>271</v>
      </c>
      <c r="B155" s="223" t="str">
        <f aca="false">G155</f>
        <v>BBB+</v>
      </c>
      <c r="C155" s="153" t="str">
        <f aca="false">F155</f>
        <v>Baa1</v>
      </c>
      <c r="E155" s="224" t="s">
        <v>271</v>
      </c>
      <c r="F155" s="225" t="str">
        <f aca="false">VLOOKUP(E155,$K$2:$M$154,3,FALSE())</f>
        <v>Baa1</v>
      </c>
      <c r="G155" s="226" t="str">
        <f aca="false">VLOOKUP(E155,$O$2:$P$155,2,FALSE())</f>
        <v>BBB+</v>
      </c>
      <c r="H155" s="54" t="str">
        <f aca="false">VLOOKUP(E155,$Q$2:$R$161,2,FALSE())</f>
        <v>BBB</v>
      </c>
      <c r="O155" s="9" t="s">
        <v>212</v>
      </c>
      <c r="P155" s="233" t="s">
        <v>401</v>
      </c>
      <c r="Q155" s="9" t="s">
        <v>339</v>
      </c>
      <c r="R155" s="230" t="s">
        <v>376</v>
      </c>
    </row>
    <row r="156" customFormat="false" ht="18.75" hidden="false" customHeight="false" outlineLevel="0" collapsed="false">
      <c r="A156" s="241" t="s">
        <v>298</v>
      </c>
      <c r="B156" s="223" t="str">
        <f aca="false">G156</f>
        <v>BB</v>
      </c>
      <c r="C156" s="153" t="str">
        <f aca="false">F156</f>
        <v>Ba3</v>
      </c>
      <c r="E156" s="224" t="s">
        <v>298</v>
      </c>
      <c r="F156" s="225" t="str">
        <f aca="false">VLOOKUP(E156,$K$2:$M$154,3,FALSE())</f>
        <v>Ba3</v>
      </c>
      <c r="G156" s="226" t="str">
        <f aca="false">VLOOKUP(E156,$O$2:$P$155,2,FALSE())</f>
        <v>BB</v>
      </c>
      <c r="H156" s="54" t="str">
        <f aca="false">VLOOKUP(E156,$Q$2:$R$161,2,FALSE())</f>
        <v>BB</v>
      </c>
      <c r="O156" s="9"/>
      <c r="P156" s="242"/>
      <c r="Q156" s="9" t="s">
        <v>271</v>
      </c>
      <c r="R156" s="230" t="s">
        <v>385</v>
      </c>
    </row>
    <row r="157" customFormat="false" ht="18.75" hidden="false" customHeight="false" outlineLevel="0" collapsed="false">
      <c r="A157" s="64" t="s">
        <v>272</v>
      </c>
      <c r="B157" s="223" t="str">
        <f aca="false">G157</f>
        <v>N/A</v>
      </c>
      <c r="C157" s="153" t="str">
        <f aca="false">F157</f>
        <v>C</v>
      </c>
      <c r="E157" s="224" t="s">
        <v>272</v>
      </c>
      <c r="F157" s="225" t="s">
        <v>125</v>
      </c>
      <c r="G157" s="226" t="str">
        <f aca="false">VLOOKUP(E157,$O$2:$P$155,2,FALSE())</f>
        <v>N/A</v>
      </c>
      <c r="H157" s="54" t="str">
        <f aca="false">VLOOKUP(E157,$Q$2:$R$161,2,FALSE())</f>
        <v>NR</v>
      </c>
      <c r="O157" s="9"/>
      <c r="P157" s="242"/>
      <c r="Q157" s="9" t="s">
        <v>603</v>
      </c>
      <c r="R157" s="230" t="s">
        <v>377</v>
      </c>
    </row>
    <row r="158" customFormat="false" ht="18.75" hidden="false" customHeight="false" outlineLevel="0" collapsed="false">
      <c r="A158" s="64" t="s">
        <v>236</v>
      </c>
      <c r="B158" s="223" t="str">
        <f aca="false">G158</f>
        <v>BB+</v>
      </c>
      <c r="C158" s="153" t="str">
        <f aca="false">F158</f>
        <v>Ba2</v>
      </c>
      <c r="E158" s="224" t="s">
        <v>236</v>
      </c>
      <c r="F158" s="225" t="str">
        <f aca="false">VLOOKUP(E158,$K$2:$M$154,3,FALSE())</f>
        <v>Ba2</v>
      </c>
      <c r="G158" s="226" t="str">
        <f aca="false">VLOOKUP(E158,$O$2:$P$155,2,FALSE())</f>
        <v>BB+</v>
      </c>
      <c r="H158" s="54" t="str">
        <f aca="false">VLOOKUP(E158,$Q$2:$R$161,2,FALSE())</f>
        <v>BB+</v>
      </c>
      <c r="O158" s="9"/>
      <c r="P158" s="243"/>
      <c r="Q158" s="9" t="s">
        <v>298</v>
      </c>
      <c r="R158" s="230" t="s">
        <v>382</v>
      </c>
    </row>
    <row r="159" customFormat="false" ht="18.75" hidden="false" customHeight="false" outlineLevel="0" collapsed="false">
      <c r="A159" s="64" t="s">
        <v>212</v>
      </c>
      <c r="B159" s="223" t="str">
        <f aca="false">G159</f>
        <v>CCC+</v>
      </c>
      <c r="C159" s="153" t="str">
        <f aca="false">F159</f>
        <v>Caa2</v>
      </c>
      <c r="E159" s="224" t="s">
        <v>212</v>
      </c>
      <c r="F159" s="225" t="str">
        <f aca="false">VLOOKUP(E159,$K$2:$M$154,3,FALSE())</f>
        <v>Caa2</v>
      </c>
      <c r="G159" s="226" t="str">
        <f aca="false">VLOOKUP(E159,$O$2:$P$155,2,FALSE())</f>
        <v>CCC+</v>
      </c>
      <c r="H159" s="54" t="str">
        <f aca="false">VLOOKUP(E159,$Q$2:$R$161,2,FALSE())</f>
        <v>B-</v>
      </c>
      <c r="O159" s="9"/>
      <c r="P159" s="242"/>
      <c r="Q159" s="9" t="s">
        <v>272</v>
      </c>
      <c r="R159" s="230" t="s">
        <v>127</v>
      </c>
    </row>
    <row r="160" customFormat="false" ht="18.75" hidden="false" customHeight="false" outlineLevel="0" collapsed="false">
      <c r="O160" s="9"/>
      <c r="P160" s="244"/>
      <c r="Q160" s="9" t="s">
        <v>236</v>
      </c>
      <c r="R160" s="230" t="s">
        <v>384</v>
      </c>
    </row>
    <row r="161" customFormat="false" ht="16.5" hidden="false" customHeight="false" outlineLevel="0" collapsed="false">
      <c r="Q161" s="9" t="s">
        <v>212</v>
      </c>
      <c r="R161" s="230" t="s">
        <v>380</v>
      </c>
    </row>
    <row r="162" customFormat="false" ht="15.75" hidden="false" customHeight="false" outlineLevel="0" collapsed="false">
      <c r="Q162" s="9"/>
      <c r="R162" s="245"/>
    </row>
    <row r="163" customFormat="false" ht="15.75" hidden="false" customHeight="false" outlineLevel="0" collapsed="false">
      <c r="Q163" s="9"/>
      <c r="R163" s="245"/>
    </row>
    <row r="164" customFormat="false" ht="15.75" hidden="false" customHeight="false" outlineLevel="0" collapsed="false">
      <c r="Q164" s="9"/>
      <c r="R164" s="245"/>
    </row>
    <row r="165" customFormat="false" ht="15.75" hidden="false" customHeight="false" outlineLevel="0" collapsed="false">
      <c r="Q165" s="9"/>
      <c r="R165" s="245"/>
    </row>
    <row r="166" customFormat="false" ht="15.75" hidden="false" customHeight="false" outlineLevel="0" collapsed="false">
      <c r="Q166" s="9"/>
      <c r="R166" s="245"/>
    </row>
    <row r="167" customFormat="false" ht="15.75" hidden="false" customHeight="false" outlineLevel="0" collapsed="false">
      <c r="Q167" s="9"/>
      <c r="R167" s="245"/>
    </row>
    <row r="168" customFormat="false" ht="15.75" hidden="false" customHeight="false" outlineLevel="0" collapsed="false">
      <c r="Q168" s="9"/>
      <c r="R168" s="245"/>
    </row>
    <row r="169" customFormat="false" ht="15.75" hidden="false" customHeight="false" outlineLevel="0" collapsed="false">
      <c r="Q169" s="9"/>
      <c r="R169" s="245"/>
    </row>
    <row r="170" customFormat="false" ht="15.75" hidden="false" customHeight="false" outlineLevel="0" collapsed="false">
      <c r="Q170" s="9"/>
      <c r="R170" s="245"/>
    </row>
    <row r="171" customFormat="false" ht="15.75" hidden="false" customHeight="false" outlineLevel="0" collapsed="false">
      <c r="Q171" s="9"/>
      <c r="R171" s="245"/>
    </row>
    <row r="172" customFormat="false" ht="15.75" hidden="false" customHeight="false" outlineLevel="0" collapsed="false">
      <c r="Q172" s="9"/>
      <c r="R172" s="245"/>
    </row>
    <row r="173" customFormat="false" ht="15.75" hidden="false" customHeight="false" outlineLevel="0" collapsed="false">
      <c r="Q173" s="9"/>
      <c r="R173" s="245"/>
    </row>
    <row r="174" customFormat="false" ht="15.75" hidden="false" customHeight="false" outlineLevel="0" collapsed="false">
      <c r="Q174" s="9"/>
      <c r="R174" s="245"/>
    </row>
    <row r="175" customFormat="false" ht="15.75" hidden="false" customHeight="false" outlineLevel="0" collapsed="false">
      <c r="Q175" s="9"/>
      <c r="R175" s="245"/>
    </row>
    <row r="176" customFormat="false" ht="15.75" hidden="false" customHeight="false" outlineLevel="0" collapsed="false">
      <c r="Q176" s="9"/>
      <c r="R176" s="245"/>
    </row>
    <row r="177" customFormat="false" ht="15.75" hidden="false" customHeight="false" outlineLevel="0" collapsed="false">
      <c r="Q177" s="9"/>
      <c r="R177" s="245"/>
    </row>
    <row r="178" customFormat="false" ht="15.75" hidden="false" customHeight="false" outlineLevel="0" collapsed="false">
      <c r="Q178" s="9"/>
      <c r="R178" s="245"/>
    </row>
    <row r="179" customFormat="false" ht="15.75" hidden="false" customHeight="false" outlineLevel="0" collapsed="false">
      <c r="Q179" s="9"/>
      <c r="R179" s="245"/>
    </row>
    <row r="180" customFormat="false" ht="15.75" hidden="false" customHeight="false" outlineLevel="0" collapsed="false">
      <c r="Q180" s="9"/>
      <c r="R180" s="245"/>
    </row>
    <row r="181" customFormat="false" ht="15.75" hidden="false" customHeight="false" outlineLevel="0" collapsed="false">
      <c r="Q181" s="9"/>
      <c r="R181" s="245"/>
    </row>
    <row r="182" customFormat="false" ht="15.75" hidden="false" customHeight="false" outlineLevel="0" collapsed="false">
      <c r="Q182" s="9"/>
      <c r="R182" s="245"/>
    </row>
    <row r="183" customFormat="false" ht="15.75" hidden="false" customHeight="false" outlineLevel="0" collapsed="false">
      <c r="Q183" s="9"/>
      <c r="R183" s="245"/>
    </row>
    <row r="184" customFormat="false" ht="15.75" hidden="false" customHeight="false" outlineLevel="0" collapsed="false">
      <c r="Q184" s="9"/>
      <c r="R184" s="245"/>
    </row>
    <row r="185" customFormat="false" ht="15.75" hidden="false" customHeight="false" outlineLevel="0" collapsed="false">
      <c r="Q185" s="9"/>
      <c r="R185" s="245"/>
    </row>
    <row r="186" customFormat="false" ht="15.75" hidden="false" customHeight="false" outlineLevel="0" collapsed="false">
      <c r="Q186" s="9"/>
      <c r="R186" s="245"/>
    </row>
    <row r="187" customFormat="false" ht="15.75" hidden="false" customHeight="false" outlineLevel="0" collapsed="false">
      <c r="Q187" s="9"/>
      <c r="R187" s="245"/>
    </row>
    <row r="188" customFormat="false" ht="15.75" hidden="false" customHeight="false" outlineLevel="0" collapsed="false">
      <c r="Q188" s="9"/>
      <c r="R188" s="245"/>
    </row>
    <row r="189" customFormat="false" ht="15.75" hidden="false" customHeight="false" outlineLevel="0" collapsed="false">
      <c r="Q189" s="9"/>
      <c r="R189" s="245"/>
    </row>
    <row r="190" customFormat="false" ht="15.75" hidden="false" customHeight="false" outlineLevel="0" collapsed="false">
      <c r="Q190" s="9"/>
      <c r="R190" s="245"/>
    </row>
    <row r="191" customFormat="false" ht="15.75" hidden="false" customHeight="false" outlineLevel="0" collapsed="false">
      <c r="Q191" s="9"/>
      <c r="R191" s="245"/>
    </row>
    <row r="192" customFormat="false" ht="15.75" hidden="false" customHeight="false" outlineLevel="0" collapsed="false">
      <c r="Q192" s="9"/>
      <c r="R192" s="245"/>
    </row>
    <row r="193" customFormat="false" ht="15.75" hidden="false" customHeight="false" outlineLevel="0" collapsed="false">
      <c r="Q193" s="9"/>
      <c r="R193" s="245"/>
    </row>
    <row r="194" customFormat="false" ht="15.75" hidden="false" customHeight="false" outlineLevel="0" collapsed="false">
      <c r="Q194" s="9"/>
      <c r="R194" s="245"/>
    </row>
    <row r="195" customFormat="false" ht="15.75" hidden="false" customHeight="false" outlineLevel="0" collapsed="false">
      <c r="Q195" s="9"/>
      <c r="R195" s="246"/>
    </row>
    <row r="196" customFormat="false" ht="15.75" hidden="false" customHeight="false" outlineLevel="0" collapsed="false">
      <c r="Q196" s="9"/>
      <c r="R196" s="245"/>
    </row>
    <row r="197" customFormat="false" ht="15.75" hidden="false" customHeight="false" outlineLevel="0" collapsed="false">
      <c r="Q197" s="9"/>
      <c r="R197" s="245"/>
    </row>
    <row r="198" customFormat="false" ht="15.75" hidden="false" customHeight="false" outlineLevel="0" collapsed="false">
      <c r="Q198" s="9"/>
      <c r="R198" s="245"/>
    </row>
    <row r="199" customFormat="false" ht="15.75" hidden="false" customHeight="false" outlineLevel="0" collapsed="false">
      <c r="Q199" s="9"/>
      <c r="R199" s="245"/>
    </row>
  </sheetData>
  <hyperlinks>
    <hyperlink ref="O2" r:id="rId1" display="Albania"/>
    <hyperlink ref="Q2" r:id="rId2" display="Albania"/>
    <hyperlink ref="O3" r:id="rId3" display="Andorra"/>
    <hyperlink ref="Q3" r:id="rId4" display="Andorra"/>
    <hyperlink ref="O4" r:id="rId5" display="Angola"/>
    <hyperlink ref="Q4" r:id="rId6" display="Angola"/>
    <hyperlink ref="O5" r:id="rId7" display="Argentina"/>
    <hyperlink ref="Q5" r:id="rId8" display="Argentina"/>
    <hyperlink ref="O6" r:id="rId9" display="Armenia"/>
    <hyperlink ref="Q6" r:id="rId10" display="Armenia"/>
    <hyperlink ref="O7" r:id="rId11" display="Aruba"/>
    <hyperlink ref="Q7" r:id="rId12" display="Aruba"/>
    <hyperlink ref="O8" r:id="rId13" display="Australia"/>
    <hyperlink ref="Q8" r:id="rId14" display="Australia"/>
    <hyperlink ref="O9" r:id="rId15" display="Austria"/>
    <hyperlink ref="Q9" r:id="rId16" display="Austria"/>
    <hyperlink ref="O10" r:id="rId17" display="Azerbaijan"/>
    <hyperlink ref="Q10" r:id="rId18" display="Azerbaijan"/>
    <hyperlink ref="O11" r:id="rId19" display="Bahamas"/>
    <hyperlink ref="Q11" r:id="rId20" display="Bahamas"/>
    <hyperlink ref="O12" r:id="rId21" display="Bahrain"/>
    <hyperlink ref="Q12" r:id="rId22" display="Bahrain"/>
    <hyperlink ref="O13" r:id="rId23" display="Bangladesh"/>
    <hyperlink ref="Q13" r:id="rId24" display="Bangladesh"/>
    <hyperlink ref="O14" r:id="rId25" display="Barbados"/>
    <hyperlink ref="Q14" r:id="rId26" display="Barbados"/>
    <hyperlink ref="O15" r:id="rId27" display="Belarus"/>
    <hyperlink ref="Q15" r:id="rId28" display="Belarus"/>
    <hyperlink ref="O16" r:id="rId29" display="Belgium"/>
    <hyperlink ref="Q16" r:id="rId30" display="Belgium"/>
    <hyperlink ref="O17" r:id="rId31" display="Belize"/>
    <hyperlink ref="Q17" r:id="rId32" display="Belize"/>
    <hyperlink ref="O18" r:id="rId33" display="Benin"/>
    <hyperlink ref="Q18" r:id="rId34" display="Benin"/>
    <hyperlink ref="O19" r:id="rId35" display="Bermuda"/>
    <hyperlink ref="Q19" r:id="rId36" display="Bermuda"/>
    <hyperlink ref="O20" r:id="rId37" display="Bolivia"/>
    <hyperlink ref="Q20" r:id="rId38" display="Bolivia"/>
    <hyperlink ref="O21" r:id="rId39" display="Bosnia and Herzegovina"/>
    <hyperlink ref="Q21" r:id="rId40" display="Bosnia and Herzegovina"/>
    <hyperlink ref="O22" r:id="rId41" display="Botswana"/>
    <hyperlink ref="Q22" r:id="rId42" display="Botswana"/>
    <hyperlink ref="O23" r:id="rId43" display="Brazil"/>
    <hyperlink ref="Q23" r:id="rId44" display="Brazil"/>
    <hyperlink ref="O24" r:id="rId45" display="Bulgaria"/>
    <hyperlink ref="Q24" r:id="rId46" display="Bulgaria"/>
    <hyperlink ref="O25" r:id="rId47" display="Burkina Faso"/>
    <hyperlink ref="Q25" r:id="rId48" display="Burkina Faso"/>
    <hyperlink ref="O26" r:id="rId49" display="Cambodia"/>
    <hyperlink ref="Q26" r:id="rId50" display="Cambodia"/>
    <hyperlink ref="O27" r:id="rId51" display="Cameroon"/>
    <hyperlink ref="Q27" r:id="rId52" display="Cameroon"/>
    <hyperlink ref="O28" r:id="rId53" display="Canada"/>
    <hyperlink ref="Q28" r:id="rId54" display="Canada"/>
    <hyperlink ref="O29" r:id="rId55" display="Cape Verde"/>
    <hyperlink ref="Q29" r:id="rId56" display="Cape Verde"/>
    <hyperlink ref="O30" r:id="rId57" display="Cayman Islands"/>
    <hyperlink ref="Q30" r:id="rId58" display="Chad"/>
    <hyperlink ref="O31" r:id="rId59" display="Chad"/>
    <hyperlink ref="Q31" r:id="rId60" display="Chile"/>
    <hyperlink ref="O32" r:id="rId61" display="Chile"/>
    <hyperlink ref="Q32" r:id="rId62" display="China"/>
    <hyperlink ref="O33" r:id="rId63" display="China"/>
    <hyperlink ref="Q33" r:id="rId64" display="Colombia"/>
    <hyperlink ref="O34" r:id="rId65" display="Colombia"/>
    <hyperlink ref="Q34" r:id="rId66" display="Costa Rica"/>
    <hyperlink ref="O35" r:id="rId67" display="Congo"/>
    <hyperlink ref="Q35" r:id="rId68" display="Croatia"/>
    <hyperlink ref="O36" r:id="rId69" display="Costa Rica"/>
    <hyperlink ref="Q36" r:id="rId70" display="Cuba"/>
    <hyperlink ref="O37" r:id="rId71" display="Croatia"/>
    <hyperlink ref="Q37" r:id="rId72" display="Cyprus"/>
    <hyperlink ref="O38" r:id="rId73" display="Cyprus"/>
    <hyperlink ref="Q38" r:id="rId74" display="Czechia"/>
    <hyperlink ref="O39" r:id="rId75" display="Czech Republic"/>
    <hyperlink ref="Q39" r:id="rId76" display="Democratic Republic of the Congo"/>
    <hyperlink ref="O40" r:id="rId77" display="Denmark"/>
    <hyperlink ref="Q40" r:id="rId78" display="Denmark"/>
    <hyperlink ref="O41" r:id="rId79" display="Dominican Republic"/>
    <hyperlink ref="Q41" r:id="rId80" display="Dominican Republic"/>
    <hyperlink ref="O42" r:id="rId81" display="Ecuador"/>
    <hyperlink ref="Q42" r:id="rId82" display="Ecuador"/>
    <hyperlink ref="O43" r:id="rId83" display="Egypt"/>
    <hyperlink ref="Q43" r:id="rId84" display="Egypt"/>
    <hyperlink ref="O44" r:id="rId85" display="El Salvador"/>
    <hyperlink ref="Q44" r:id="rId86" display="El Salvador"/>
    <hyperlink ref="O45" r:id="rId87" display="Estonia"/>
    <hyperlink ref="Q45" r:id="rId88" display="Estonia"/>
    <hyperlink ref="O46" r:id="rId89" display="Ethiopia"/>
    <hyperlink ref="Q46" r:id="rId90" display="Ethiopia"/>
    <hyperlink ref="O47" r:id="rId91" display="European Union"/>
    <hyperlink ref="Q47" r:id="rId92" display="Fiji"/>
    <hyperlink ref="O48" r:id="rId93" display="Fiji"/>
    <hyperlink ref="Q48" r:id="rId94" display="Finland"/>
    <hyperlink ref="O49" r:id="rId95" display="Finland"/>
    <hyperlink ref="Q49" r:id="rId96" display="France"/>
    <hyperlink ref="O50" r:id="rId97" display="France"/>
    <hyperlink ref="Q50" r:id="rId98" display="Gabon"/>
    <hyperlink ref="O51" r:id="rId99" display="Gabon"/>
    <hyperlink ref="Q51" r:id="rId100" display="Gambia"/>
    <hyperlink ref="O52" r:id="rId101" display="Georgia"/>
    <hyperlink ref="Q52" r:id="rId102" display="Georgia"/>
    <hyperlink ref="O53" r:id="rId103" display="Germany"/>
    <hyperlink ref="Q53" r:id="rId104" display="Germany"/>
    <hyperlink ref="O54" r:id="rId105" display="Ghana"/>
    <hyperlink ref="Q54" r:id="rId106" display="Ghana"/>
    <hyperlink ref="O55" r:id="rId107" display="Greece"/>
    <hyperlink ref="Q55" r:id="rId108" display="Greece"/>
    <hyperlink ref="O56" r:id="rId109" display="Guatemala"/>
    <hyperlink ref="Q56" r:id="rId110" display="Grenada"/>
    <hyperlink ref="O57" r:id="rId111" display="Honduras"/>
    <hyperlink ref="Q57" r:id="rId112" display="Guatemala"/>
    <hyperlink ref="O58" r:id="rId113" display="Hong Kong"/>
    <hyperlink ref="Q58" r:id="rId114" display="Guinea"/>
    <hyperlink ref="O59" r:id="rId115" display="Hungary"/>
    <hyperlink ref="Q59" r:id="rId116" display="Honduras"/>
    <hyperlink ref="O60" r:id="rId117" display="Iceland"/>
    <hyperlink ref="Q60" r:id="rId118" display="Hong Kong"/>
    <hyperlink ref="O61" r:id="rId119" display="India"/>
    <hyperlink ref="Q61" r:id="rId120" display="Hungary"/>
    <hyperlink ref="O62" r:id="rId121" display="Indonesia"/>
    <hyperlink ref="Q62" r:id="rId122" display="Iceland"/>
    <hyperlink ref="O63" r:id="rId123" display="Iraq"/>
    <hyperlink ref="Q63" r:id="rId124" display="India"/>
    <hyperlink ref="O64" r:id="rId125" display="Ireland"/>
    <hyperlink ref="Q64" r:id="rId126" display="Indonesia"/>
    <hyperlink ref="O65" r:id="rId127" display="Isle of Man"/>
    <hyperlink ref="Q65" r:id="rId128" display="Iran"/>
    <hyperlink ref="O66" r:id="rId129" display="Israel"/>
    <hyperlink ref="Q66" r:id="rId130" display="Iraq"/>
    <hyperlink ref="O67" r:id="rId131" display="Italy"/>
    <hyperlink ref="Q67" r:id="rId132" display="Ireland"/>
    <hyperlink ref="O68" r:id="rId133" display="Ivory Coast"/>
    <hyperlink ref="Q68" r:id="rId134" display="Israel"/>
    <hyperlink ref="O69" r:id="rId135" display="Jamaica"/>
    <hyperlink ref="Q69" r:id="rId136" display="Italy"/>
    <hyperlink ref="O70" r:id="rId137" display="Japan"/>
    <hyperlink ref="Q70" r:id="rId138" display="Ivory Coast"/>
    <hyperlink ref="O71" r:id="rId139" display="Jordan"/>
    <hyperlink ref="Q71" r:id="rId140" display="Jamaica"/>
    <hyperlink ref="O72" r:id="rId141" display="Kazakhstan"/>
    <hyperlink ref="Q72" r:id="rId142" display="Japan"/>
    <hyperlink ref="O73" r:id="rId143" display="Kenya"/>
    <hyperlink ref="Q73" r:id="rId144" display="Jordan"/>
    <hyperlink ref="O74" r:id="rId145" display="Kuwait"/>
    <hyperlink ref="Q74" r:id="rId146" display="Kazakhstan"/>
    <hyperlink ref="O75" r:id="rId147" display="Kyrgyzstan"/>
    <hyperlink ref="Q75" r:id="rId148" display="Kenya"/>
    <hyperlink ref="O76" r:id="rId149" display="Laos"/>
    <hyperlink ref="Q76" r:id="rId150" display="Kuwait"/>
    <hyperlink ref="O77" r:id="rId151" display="Latvia"/>
    <hyperlink ref="Q77" r:id="rId152" display="Kyrgyzstan"/>
    <hyperlink ref="O78" r:id="rId153" display="Lebanon"/>
    <hyperlink ref="Q78" r:id="rId154" display="Laos"/>
    <hyperlink ref="O79" r:id="rId155" display="Lesotho"/>
    <hyperlink ref="Q79" r:id="rId156" display="Latvia"/>
    <hyperlink ref="O80" r:id="rId157" display="Liechtenstein"/>
    <hyperlink ref="Q80" r:id="rId158" display="Lebanon"/>
    <hyperlink ref="O81" r:id="rId159" display="Lithuania"/>
    <hyperlink ref="Q81" r:id="rId160" display="Lesotho"/>
    <hyperlink ref="O82" r:id="rId161" display="Luxembourg"/>
    <hyperlink ref="Q82" r:id="rId162" display="Libya"/>
    <hyperlink ref="O83" r:id="rId163" display="Macau"/>
    <hyperlink ref="Q83" r:id="rId164" display="Liechtenstein"/>
    <hyperlink ref="O84" r:id="rId165" display="Macedonia"/>
    <hyperlink ref="Q84" r:id="rId166" display="Lithuania"/>
    <hyperlink ref="O85" r:id="rId167" display="Madagascar"/>
    <hyperlink ref="Q85" r:id="rId168" display="Luxembourg"/>
    <hyperlink ref="O86" r:id="rId169" display="Malaysia"/>
    <hyperlink ref="Q86" r:id="rId170" display="Macao"/>
    <hyperlink ref="O87" r:id="rId171" display="Maldives"/>
    <hyperlink ref="Q87" r:id="rId172" display="Madagascar"/>
    <hyperlink ref="O88" r:id="rId173" display="Mali"/>
    <hyperlink ref="Q88" r:id="rId174" display="Malawi"/>
    <hyperlink ref="O89" r:id="rId175" display="Malta"/>
    <hyperlink ref="Q89" r:id="rId176" display="Malaysia"/>
    <hyperlink ref="O90" r:id="rId177" display="Mauritius"/>
    <hyperlink ref="Q90" r:id="rId178" display="Maldives"/>
    <hyperlink ref="O91" r:id="rId179" display="Mexico"/>
    <hyperlink ref="Q91" r:id="rId180" display="Mali"/>
    <hyperlink ref="O92" r:id="rId181" display="Moldova"/>
    <hyperlink ref="Q92" r:id="rId182" display="Malta"/>
    <hyperlink ref="O93" r:id="rId183" display="Mongolia"/>
    <hyperlink ref="Q93" r:id="rId184" display="Mauritius"/>
    <hyperlink ref="O94" r:id="rId185" display="Montenegro"/>
    <hyperlink ref="Q94" r:id="rId186" display="Mexico"/>
    <hyperlink ref="Q95" r:id="rId187" display="Moldova"/>
    <hyperlink ref="O96" r:id="rId188" display="Morocco"/>
    <hyperlink ref="Q96" r:id="rId189" display="Mongolia"/>
    <hyperlink ref="O97" r:id="rId190" display="Mozambique"/>
    <hyperlink ref="Q97" r:id="rId191" display="Montenegro"/>
    <hyperlink ref="O98" r:id="rId192" display="Namibia"/>
    <hyperlink ref="Q98" r:id="rId193" display="Montserrat"/>
    <hyperlink ref="O99" r:id="rId194" display="Netherlands"/>
    <hyperlink ref="Q99" r:id="rId195" display="Morocco"/>
    <hyperlink ref="O100" r:id="rId196" display="New Zealand"/>
    <hyperlink ref="Q100" r:id="rId197" display="Mozambique"/>
    <hyperlink ref="O101" r:id="rId198" display="Nicaragua"/>
    <hyperlink ref="Q101" r:id="rId199" display="Namibia"/>
    <hyperlink ref="O102" r:id="rId200" display="Niger"/>
    <hyperlink ref="Q102" r:id="rId201" display="Nepal"/>
    <hyperlink ref="O103" r:id="rId202" display="Nigeria"/>
    <hyperlink ref="Q103" r:id="rId203" display="Netherlands"/>
    <hyperlink ref="O104" r:id="rId204" display="Norway"/>
    <hyperlink ref="Q104" r:id="rId205" display="New Zealand"/>
    <hyperlink ref="O105" r:id="rId206" display="Oman"/>
    <hyperlink ref="Q105" r:id="rId207" display="Nicaragua"/>
    <hyperlink ref="O106" r:id="rId208" display="Pakistan"/>
    <hyperlink ref="Q106" r:id="rId209" display="Niger"/>
    <hyperlink ref="O107" r:id="rId210" display="Panama"/>
    <hyperlink ref="Q107" r:id="rId211" display="Nigeria"/>
    <hyperlink ref="O108" r:id="rId212" display="Papua New Guinea"/>
    <hyperlink ref="Q108" r:id="rId213" display="North Macedonia"/>
    <hyperlink ref="O109" r:id="rId214" display="Paraguay"/>
    <hyperlink ref="Q109" r:id="rId215" display="Norway"/>
    <hyperlink ref="O110" r:id="rId216" display="Peru"/>
    <hyperlink ref="Q110" r:id="rId217" display="Oman"/>
    <hyperlink ref="O111" r:id="rId218" display="Philippines"/>
    <hyperlink ref="Q111" r:id="rId219" display="Pakistan"/>
    <hyperlink ref="O112" r:id="rId220" display="Poland"/>
    <hyperlink ref="Q112" r:id="rId221" display="Panama"/>
    <hyperlink ref="O113" r:id="rId222" display="Portugal"/>
    <hyperlink ref="Q113" r:id="rId223" display="Papua New Guinea"/>
    <hyperlink ref="O114" r:id="rId224" display="Qatar"/>
    <hyperlink ref="Q114" r:id="rId225" display="Paraguay"/>
    <hyperlink ref="O115" r:id="rId226" display="Republic of the Congo"/>
    <hyperlink ref="Q115" r:id="rId227" display="Peru"/>
    <hyperlink ref="O116" r:id="rId228" display="Romania"/>
    <hyperlink ref="Q116" r:id="rId229" display="Philippines"/>
    <hyperlink ref="O117" r:id="rId230" display="Russia"/>
    <hyperlink ref="Q117" r:id="rId231" display="Poland"/>
    <hyperlink ref="O118" r:id="rId232" display="Rwanda"/>
    <hyperlink ref="Q118" r:id="rId233" display="Portugal"/>
    <hyperlink ref="O119" r:id="rId234" display="San Marino"/>
    <hyperlink ref="Q119" r:id="rId235" display="Puerto Rico"/>
    <hyperlink ref="O120" r:id="rId236" display="Saudi Arabia"/>
    <hyperlink ref="Q120" r:id="rId237" display="Qatar"/>
    <hyperlink ref="O121" r:id="rId238" display="Senegal"/>
    <hyperlink ref="Q121" r:id="rId239" display="Republic of the Congo"/>
    <hyperlink ref="O122" r:id="rId240" display="Serbia"/>
    <hyperlink ref="Q122" r:id="rId241" display="Romania"/>
    <hyperlink ref="O123" r:id="rId242" display="Seychelles"/>
    <hyperlink ref="Q123" r:id="rId243" display="Russia"/>
    <hyperlink ref="O124" r:id="rId244" display="Singapore"/>
    <hyperlink ref="Q124" r:id="rId245" display="Rwanda"/>
    <hyperlink ref="O125" r:id="rId246" display="Slovakia"/>
    <hyperlink ref="Q125" r:id="rId247" display="Saint Vincent and the Grenadines"/>
    <hyperlink ref="O126" r:id="rId248" display="Slovenia"/>
    <hyperlink ref="Q126" r:id="rId249" display="San Marino"/>
    <hyperlink ref="O127" r:id="rId250" display="Solomon Islands"/>
    <hyperlink ref="Q127" r:id="rId251" display="Saudi Arabia"/>
    <hyperlink ref="O128" r:id="rId252" display="South Africa"/>
    <hyperlink ref="Q128" r:id="rId253" display="Senegal"/>
    <hyperlink ref="O129" r:id="rId254" display="South Korea"/>
    <hyperlink ref="Q129" r:id="rId255" display="Serbia"/>
    <hyperlink ref="O130" r:id="rId256" display="Spain"/>
    <hyperlink ref="Q130" r:id="rId257" display="Seychelles"/>
    <hyperlink ref="O131" r:id="rId258" display="Sri Lanka"/>
    <hyperlink ref="Q131" r:id="rId259" display="Singapore"/>
    <hyperlink ref="O132" r:id="rId260" display="St Vincent and the Grenadines"/>
    <hyperlink ref="Q132" r:id="rId261" display="Slovakia"/>
    <hyperlink ref="O133" r:id="rId262" display="Suriname"/>
    <hyperlink ref="Q133" r:id="rId263" display="Slovenia"/>
    <hyperlink ref="O134" r:id="rId264" display="Swaziland"/>
    <hyperlink ref="Q134" r:id="rId265" display="Solomon Islands"/>
    <hyperlink ref="O135" r:id="rId266" display="Sweden"/>
    <hyperlink ref="Q135" r:id="rId267" display="South Africa"/>
    <hyperlink ref="O136" r:id="rId268" display="Switzerland"/>
    <hyperlink ref="Q136" r:id="rId269" display="South Korea"/>
    <hyperlink ref="O137" r:id="rId270" display="Taiwan"/>
    <hyperlink ref="Q137" r:id="rId271" display="Spain"/>
    <hyperlink ref="O138" r:id="rId272" display="Tajikistan"/>
    <hyperlink ref="Q138" r:id="rId273" display="Sri Lanka"/>
    <hyperlink ref="O139" r:id="rId274" display="Tanzania"/>
    <hyperlink ref="Q139" r:id="rId275" display="Suriname"/>
    <hyperlink ref="O140" r:id="rId276" display="Thailand"/>
    <hyperlink ref="Q140" r:id="rId277" display="Swaziland"/>
    <hyperlink ref="O141" r:id="rId278" display="Togo"/>
    <hyperlink ref="Q141" r:id="rId279" display="Sweden"/>
    <hyperlink ref="O142" r:id="rId280" display="Trinidad and Tobago"/>
    <hyperlink ref="Q142" r:id="rId281" display="Switzerland"/>
    <hyperlink ref="O143" r:id="rId282" display="Tunisia"/>
    <hyperlink ref="Q143" r:id="rId283" display="Taiwan"/>
    <hyperlink ref="O144" r:id="rId284" display="Turkey"/>
    <hyperlink ref="Q144" r:id="rId285" display="Tajikistan"/>
    <hyperlink ref="O145" r:id="rId286" display="Turkmenistan"/>
    <hyperlink ref="Q145" r:id="rId287" display="Tanzania"/>
    <hyperlink ref="O146" r:id="rId288" display="Uganda"/>
    <hyperlink ref="Q146" r:id="rId289" display="Thailand"/>
    <hyperlink ref="O147" r:id="rId290" display="Ukraine"/>
    <hyperlink ref="Q147" r:id="rId291" display="Togo"/>
    <hyperlink ref="O148" r:id="rId292" display="United Arab Emirates"/>
    <hyperlink ref="Q148" r:id="rId293" display="Trinidad and Tobago"/>
    <hyperlink ref="O149" r:id="rId294" display="United Kingdom"/>
    <hyperlink ref="Q149" r:id="rId295" display="Tunisia"/>
    <hyperlink ref="O150" r:id="rId296" display="United States"/>
    <hyperlink ref="Q150" r:id="rId297" display="Turkey"/>
    <hyperlink ref="O151" r:id="rId298" display="Uruguay"/>
    <hyperlink ref="Q151" r:id="rId299" display="Turkmenistan"/>
    <hyperlink ref="O152" r:id="rId300" display="Uzbekistan"/>
    <hyperlink ref="Q152" r:id="rId301" display="Uganda"/>
    <hyperlink ref="O153" r:id="rId302" display="Venezuela"/>
    <hyperlink ref="Q153" r:id="rId303" display="Ukraine"/>
    <hyperlink ref="O154" r:id="rId304" display="Vietnam"/>
    <hyperlink ref="Q154" r:id="rId305" display="United Arab Emirates"/>
    <hyperlink ref="O155" r:id="rId306" display="Zambia"/>
    <hyperlink ref="Q155" r:id="rId307" display="United Kingdom"/>
    <hyperlink ref="Q156" r:id="rId308" display="Uruguay"/>
    <hyperlink ref="Q157" r:id="rId309" display="Unired States"/>
    <hyperlink ref="Q158" r:id="rId310" display="Uzbekistan"/>
    <hyperlink ref="Q159" r:id="rId311" display="Venezuela"/>
    <hyperlink ref="Q160" r:id="rId312" display="Vietnam"/>
    <hyperlink ref="Q161" r:id="rId313" display="Zambia"/>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10.65234375" defaultRowHeight="12.75" zeroHeight="false" outlineLevelRow="0" outlineLevelCol="0"/>
  <cols>
    <col collapsed="false" customWidth="true" hidden="false" outlineLevel="0" max="1" min="1" style="0" width="32.66"/>
    <col collapsed="false" customWidth="true" hidden="false" outlineLevel="0" max="5" min="5" style="0" width="20.83"/>
    <col collapsed="false" customWidth="true" hidden="false" outlineLevel="0" max="8" min="8" style="0" width="26.16"/>
    <col collapsed="false" customWidth="true" hidden="false" outlineLevel="0" max="11" min="11" style="0" width="21.84"/>
  </cols>
  <sheetData>
    <row r="1" customFormat="false" ht="16.5" hidden="false" customHeight="false" outlineLevel="0" collapsed="false">
      <c r="A1" s="148" t="s">
        <v>61</v>
      </c>
      <c r="B1" s="247" t="s">
        <v>343</v>
      </c>
      <c r="C1" s="0" t="s">
        <v>604</v>
      </c>
      <c r="E1" s="248" t="s">
        <v>61</v>
      </c>
      <c r="F1" s="248" t="n">
        <v>2023</v>
      </c>
      <c r="H1" s="0" t="s">
        <v>76</v>
      </c>
      <c r="I1" s="0" t="s">
        <v>605</v>
      </c>
      <c r="K1" s="249" t="s">
        <v>61</v>
      </c>
      <c r="L1" s="250" t="s">
        <v>606</v>
      </c>
    </row>
    <row r="2" customFormat="false" ht="15.75" hidden="false" customHeight="false" outlineLevel="0" collapsed="false">
      <c r="A2" s="64" t="str">
        <f aca="false">'Ratings worksheet'!A2</f>
        <v>Abu Dhabi</v>
      </c>
      <c r="B2" s="247" t="n">
        <f aca="false">C2</f>
        <v>0.09</v>
      </c>
      <c r="C2" s="0" t="n">
        <v>0.09</v>
      </c>
      <c r="E2" s="0" t="s">
        <v>433</v>
      </c>
      <c r="F2" s="91" t="n">
        <v>0.2</v>
      </c>
      <c r="H2" s="0" t="s">
        <v>607</v>
      </c>
      <c r="I2" s="91" t="n">
        <v>0.1952</v>
      </c>
      <c r="K2" s="0" t="s">
        <v>433</v>
      </c>
      <c r="L2" s="76" t="n">
        <v>0.2</v>
      </c>
    </row>
    <row r="3" customFormat="false" ht="15.75" hidden="false" customHeight="false" outlineLevel="0" collapsed="false">
      <c r="A3" s="64" t="str">
        <f aca="false">'Ratings worksheet'!A3</f>
        <v>Albania</v>
      </c>
      <c r="B3" s="247" t="n">
        <f aca="false">C3</f>
        <v>0.15</v>
      </c>
      <c r="C3" s="0" t="n">
        <f aca="false">VLOOKUP(A3,$K$2:$L$226,2,FALSE())</f>
        <v>0.15</v>
      </c>
      <c r="E3" s="0" t="s">
        <v>273</v>
      </c>
      <c r="F3" s="91" t="n">
        <v>0.15</v>
      </c>
      <c r="H3" s="0" t="s">
        <v>608</v>
      </c>
      <c r="I3" s="91" t="n">
        <v>0.2686</v>
      </c>
      <c r="K3" s="0" t="s">
        <v>609</v>
      </c>
      <c r="L3" s="76" t="n">
        <v>0.2</v>
      </c>
    </row>
    <row r="4" customFormat="false" ht="15.75" hidden="false" customHeight="false" outlineLevel="0" collapsed="false">
      <c r="A4" s="64" t="str">
        <f aca="false">'Ratings worksheet'!A4</f>
        <v>Andorra (Principality of)</v>
      </c>
      <c r="B4" s="247" t="n">
        <f aca="false">C4</f>
        <v>0.1</v>
      </c>
      <c r="C4" s="76" t="n">
        <f aca="false">L7</f>
        <v>0.1</v>
      </c>
      <c r="E4" s="0" t="s">
        <v>409</v>
      </c>
      <c r="F4" s="91" t="n">
        <v>0.26</v>
      </c>
      <c r="H4" s="0" t="s">
        <v>610</v>
      </c>
      <c r="I4" s="91" t="n">
        <v>0.2853</v>
      </c>
      <c r="K4" s="0" t="s">
        <v>273</v>
      </c>
      <c r="L4" s="76" t="n">
        <v>0.15</v>
      </c>
    </row>
    <row r="5" customFormat="false" ht="15.75" hidden="false" customHeight="false" outlineLevel="0" collapsed="false">
      <c r="A5" s="64" t="str">
        <f aca="false">'Ratings worksheet'!A5</f>
        <v>Angola</v>
      </c>
      <c r="B5" s="247" t="n">
        <f aca="false">C5</f>
        <v>0.25</v>
      </c>
      <c r="C5" s="0" t="n">
        <f aca="false">VLOOKUP(A5,$K$2:$L$226,2,FALSE())</f>
        <v>0.25</v>
      </c>
      <c r="E5" s="0" t="s">
        <v>438</v>
      </c>
      <c r="F5" s="91" t="n">
        <v>0.1</v>
      </c>
      <c r="H5" s="0" t="s">
        <v>611</v>
      </c>
      <c r="I5" s="91" t="n">
        <v>0.2575</v>
      </c>
      <c r="K5" s="0" t="s">
        <v>409</v>
      </c>
      <c r="L5" s="76" t="n">
        <v>0.26</v>
      </c>
    </row>
    <row r="6" customFormat="false" ht="15.75" hidden="false" customHeight="false" outlineLevel="0" collapsed="false">
      <c r="A6" s="64" t="str">
        <f aca="false">'Ratings worksheet'!A6</f>
        <v>Argentina</v>
      </c>
      <c r="B6" s="247" t="n">
        <f aca="false">C6</f>
        <v>0.35</v>
      </c>
      <c r="C6" s="0" t="n">
        <f aca="false">VLOOKUP(A6,$K$2:$L$226,2,FALSE())</f>
        <v>0.35</v>
      </c>
      <c r="E6" s="0" t="s">
        <v>183</v>
      </c>
      <c r="F6" s="91" t="n">
        <v>0.25</v>
      </c>
      <c r="H6" s="0" t="s">
        <v>612</v>
      </c>
      <c r="I6" s="91" t="n">
        <v>0.2974</v>
      </c>
      <c r="K6" s="0" t="s">
        <v>437</v>
      </c>
      <c r="L6" s="76" t="n">
        <v>0.34</v>
      </c>
    </row>
    <row r="7" customFormat="false" ht="15.75" hidden="false" customHeight="false" outlineLevel="0" collapsed="false">
      <c r="A7" s="64" t="str">
        <f aca="false">'Ratings worksheet'!A7</f>
        <v>Armenia</v>
      </c>
      <c r="B7" s="247" t="n">
        <f aca="false">C7</f>
        <v>0.18</v>
      </c>
      <c r="C7" s="0" t="n">
        <f aca="false">VLOOKUP(A7,$K$2:$L$226,2,FALSE())</f>
        <v>0.18</v>
      </c>
      <c r="E7" s="0" t="s">
        <v>613</v>
      </c>
      <c r="F7" s="91" t="n">
        <v>0</v>
      </c>
      <c r="H7" s="0" t="s">
        <v>614</v>
      </c>
      <c r="I7" s="91" t="n">
        <v>0.2281</v>
      </c>
      <c r="K7" s="0" t="s">
        <v>438</v>
      </c>
      <c r="L7" s="76" t="n">
        <v>0.1</v>
      </c>
    </row>
    <row r="8" customFormat="false" ht="15.75" hidden="false" customHeight="false" outlineLevel="0" collapsed="false">
      <c r="A8" s="64" t="str">
        <f aca="false">'Ratings worksheet'!A8</f>
        <v>Aruba</v>
      </c>
      <c r="B8" s="247" t="n">
        <f aca="false">C8</f>
        <v>0.22</v>
      </c>
      <c r="C8" s="0" t="n">
        <f aca="false">VLOOKUP(A8,$K$2:$L$226,2,FALSE())</f>
        <v>0.22</v>
      </c>
      <c r="E8" s="0" t="s">
        <v>439</v>
      </c>
      <c r="F8" s="91" t="n">
        <v>0.25</v>
      </c>
      <c r="K8" s="0" t="s">
        <v>183</v>
      </c>
      <c r="L8" s="76" t="n">
        <v>0.25</v>
      </c>
    </row>
    <row r="9" customFormat="false" ht="15.75" hidden="false" customHeight="false" outlineLevel="0" collapsed="false">
      <c r="A9" s="64" t="str">
        <f aca="false">'Ratings worksheet'!A9</f>
        <v>Australia</v>
      </c>
      <c r="B9" s="247" t="n">
        <f aca="false">C9</f>
        <v>0.3</v>
      </c>
      <c r="C9" s="0" t="n">
        <f aca="false">VLOOKUP(A9,$K$2:$L$226,2,FALSE())</f>
        <v>0.3</v>
      </c>
      <c r="E9" s="0" t="s">
        <v>254</v>
      </c>
      <c r="F9" s="91" t="n">
        <v>0.35</v>
      </c>
      <c r="K9" s="0" t="s">
        <v>613</v>
      </c>
      <c r="L9" s="76" t="n">
        <v>0</v>
      </c>
    </row>
    <row r="10" customFormat="false" ht="15.75" hidden="false" customHeight="false" outlineLevel="0" collapsed="false">
      <c r="A10" s="64" t="str">
        <f aca="false">'Ratings worksheet'!A10</f>
        <v>Austria</v>
      </c>
      <c r="B10" s="247" t="n">
        <f aca="false">C10</f>
        <v>0.23</v>
      </c>
      <c r="C10" s="0" t="n">
        <f aca="false">VLOOKUP(A10,$K$2:$L$226,2,FALSE())</f>
        <v>0.23</v>
      </c>
      <c r="E10" s="0" t="s">
        <v>274</v>
      </c>
      <c r="F10" s="91" t="n">
        <v>0.18</v>
      </c>
      <c r="K10" s="0" t="s">
        <v>439</v>
      </c>
      <c r="L10" s="76" t="n">
        <v>0.25</v>
      </c>
    </row>
    <row r="11" customFormat="false" ht="15.75" hidden="false" customHeight="false" outlineLevel="0" collapsed="false">
      <c r="A11" s="64" t="str">
        <f aca="false">'Ratings worksheet'!A11</f>
        <v>Azerbaijan</v>
      </c>
      <c r="B11" s="247" t="n">
        <f aca="false">C11</f>
        <v>0.2</v>
      </c>
      <c r="C11" s="0" t="n">
        <f aca="false">VLOOKUP(A11,$K$2:$L$226,2,FALSE())</f>
        <v>0.2</v>
      </c>
      <c r="E11" s="0" t="s">
        <v>240</v>
      </c>
      <c r="F11" s="91" t="n">
        <v>0.25</v>
      </c>
      <c r="K11" s="0" t="s">
        <v>254</v>
      </c>
      <c r="L11" s="76" t="n">
        <v>0.35</v>
      </c>
    </row>
    <row r="12" customFormat="false" ht="15.75" hidden="false" customHeight="false" outlineLevel="0" collapsed="false">
      <c r="A12" s="64" t="str">
        <f aca="false">'Ratings worksheet'!A12</f>
        <v>Bahamas</v>
      </c>
      <c r="B12" s="247" t="n">
        <f aca="false">C12</f>
        <v>0</v>
      </c>
      <c r="C12" s="0" t="n">
        <f aca="false">VLOOKUP(A12,$K$2:$L$226,2,FALSE())</f>
        <v>0</v>
      </c>
      <c r="E12" s="0" t="s">
        <v>237</v>
      </c>
      <c r="F12" s="91" t="n">
        <v>0.3</v>
      </c>
      <c r="K12" s="0" t="s">
        <v>274</v>
      </c>
      <c r="L12" s="76" t="n">
        <v>0.18</v>
      </c>
    </row>
    <row r="13" customFormat="false" ht="15.75" hidden="false" customHeight="false" outlineLevel="0" collapsed="false">
      <c r="A13" s="64" t="str">
        <f aca="false">'Ratings worksheet'!A13</f>
        <v>Bahrain</v>
      </c>
      <c r="B13" s="247" t="n">
        <f aca="false">C13</f>
        <v>0</v>
      </c>
      <c r="C13" s="0" t="n">
        <f aca="false">VLOOKUP(A13,$K$2:$L$226,2,FALSE())</f>
        <v>0</v>
      </c>
      <c r="E13" s="0" t="s">
        <v>316</v>
      </c>
      <c r="F13" s="91" t="n">
        <v>0.24</v>
      </c>
      <c r="K13" s="0" t="s">
        <v>240</v>
      </c>
      <c r="L13" s="76" t="n">
        <v>0.22</v>
      </c>
    </row>
    <row r="14" customFormat="false" ht="15.75" hidden="false" customHeight="false" outlineLevel="0" collapsed="false">
      <c r="A14" s="64" t="str">
        <f aca="false">'Ratings worksheet'!A14</f>
        <v>Bangladesh</v>
      </c>
      <c r="B14" s="247" t="n">
        <f aca="false">C14</f>
        <v>0.275</v>
      </c>
      <c r="C14" s="0" t="n">
        <f aca="false">VLOOKUP(A14,$K$2:$L$226,2,FALSE())</f>
        <v>0.275</v>
      </c>
      <c r="E14" s="0" t="s">
        <v>275</v>
      </c>
      <c r="F14" s="91" t="n">
        <v>0.2</v>
      </c>
      <c r="K14" s="0" t="s">
        <v>237</v>
      </c>
      <c r="L14" s="76" t="n">
        <v>0.3</v>
      </c>
    </row>
    <row r="15" customFormat="false" ht="15.75" hidden="false" customHeight="false" outlineLevel="0" collapsed="false">
      <c r="A15" s="64" t="str">
        <f aca="false">'Ratings worksheet'!A15</f>
        <v>Barbados</v>
      </c>
      <c r="B15" s="247" t="n">
        <f aca="false">C15</f>
        <v>0.09</v>
      </c>
      <c r="C15" s="0" t="n">
        <f aca="false">VLOOKUP(A15,$K$2:$L$226,2,FALSE())</f>
        <v>0.09</v>
      </c>
      <c r="E15" s="0" t="s">
        <v>241</v>
      </c>
      <c r="F15" s="91" t="n">
        <v>0</v>
      </c>
      <c r="K15" s="0" t="s">
        <v>316</v>
      </c>
      <c r="L15" s="76" t="n">
        <v>0.23</v>
      </c>
    </row>
    <row r="16" customFormat="false" ht="15.75" hidden="false" customHeight="false" outlineLevel="0" collapsed="false">
      <c r="A16" s="64" t="str">
        <f aca="false">'Ratings worksheet'!A16</f>
        <v>Belarus</v>
      </c>
      <c r="B16" s="247" t="n">
        <f aca="false">C16</f>
        <v>0.25</v>
      </c>
      <c r="C16" s="0" t="n">
        <f aca="false">VLOOKUP(A16,$K$2:$L$226,2,FALSE())</f>
        <v>0.25</v>
      </c>
      <c r="E16" s="0" t="s">
        <v>301</v>
      </c>
      <c r="F16" s="91" t="n">
        <v>0</v>
      </c>
      <c r="K16" s="0" t="s">
        <v>275</v>
      </c>
      <c r="L16" s="76" t="n">
        <v>0.2</v>
      </c>
    </row>
    <row r="17" customFormat="false" ht="15.75" hidden="false" customHeight="false" outlineLevel="0" collapsed="false">
      <c r="A17" s="64" t="str">
        <f aca="false">'Ratings worksheet'!A17</f>
        <v>Belgium</v>
      </c>
      <c r="B17" s="247" t="n">
        <f aca="false">C17</f>
        <v>0.25</v>
      </c>
      <c r="C17" s="0" t="n">
        <f aca="false">VLOOKUP(A17,$K$2:$L$226,2,FALSE())</f>
        <v>0.25</v>
      </c>
      <c r="E17" s="0" t="s">
        <v>213</v>
      </c>
      <c r="F17" s="91" t="n">
        <v>0.3</v>
      </c>
      <c r="K17" s="0" t="s">
        <v>241</v>
      </c>
      <c r="L17" s="76" t="n">
        <v>0</v>
      </c>
    </row>
    <row r="18" customFormat="false" ht="15.75" hidden="false" customHeight="false" outlineLevel="0" collapsed="false">
      <c r="A18" s="64" t="str">
        <f aca="false">'Ratings worksheet'!A18</f>
        <v>Belize</v>
      </c>
      <c r="B18" s="247" t="n">
        <f aca="false">C18</f>
        <v>0</v>
      </c>
      <c r="C18" s="0" t="n">
        <f aca="false">VLOOKUP(A18,$K$2:$L$226,2,FALSE())</f>
        <v>0</v>
      </c>
      <c r="E18" s="0" t="s">
        <v>242</v>
      </c>
      <c r="F18" s="91" t="n">
        <v>0.055</v>
      </c>
      <c r="K18" s="0" t="s">
        <v>301</v>
      </c>
      <c r="L18" s="76" t="n">
        <v>0</v>
      </c>
    </row>
    <row r="19" customFormat="false" ht="15.75" hidden="false" customHeight="false" outlineLevel="0" collapsed="false">
      <c r="A19" s="64" t="str">
        <f aca="false">'Ratings worksheet'!A19</f>
        <v>Benin</v>
      </c>
      <c r="B19" s="247" t="n">
        <f aca="false">C19</f>
        <v>0.3</v>
      </c>
      <c r="C19" s="0" t="n">
        <f aca="false">VLOOKUP(A19,$K$2:$L$226,2,FALSE())</f>
        <v>0.3</v>
      </c>
      <c r="E19" s="0" t="s">
        <v>276</v>
      </c>
      <c r="F19" s="91" t="n">
        <v>0.18</v>
      </c>
      <c r="K19" s="0" t="s">
        <v>213</v>
      </c>
      <c r="L19" s="76" t="n">
        <v>0.275</v>
      </c>
    </row>
    <row r="20" customFormat="false" ht="15.75" hidden="false" customHeight="false" outlineLevel="0" collapsed="false">
      <c r="A20" s="64" t="str">
        <f aca="false">'Ratings worksheet'!A20</f>
        <v>Bermuda</v>
      </c>
      <c r="B20" s="247" t="n">
        <f aca="false">C20</f>
        <v>0</v>
      </c>
      <c r="C20" s="0" t="n">
        <f aca="false">VLOOKUP(A20,$K$2:$L$226,2,FALSE())</f>
        <v>0</v>
      </c>
      <c r="E20" s="0" t="s">
        <v>317</v>
      </c>
      <c r="F20" s="91" t="n">
        <v>0.25</v>
      </c>
      <c r="K20" s="0" t="s">
        <v>242</v>
      </c>
      <c r="L20" s="76" t="n">
        <v>0.09</v>
      </c>
    </row>
    <row r="21" customFormat="false" ht="15.75" hidden="false" customHeight="false" outlineLevel="0" collapsed="false">
      <c r="A21" s="64" t="str">
        <f aca="false">'Ratings worksheet'!A21</f>
        <v>Bolivia</v>
      </c>
      <c r="B21" s="247" t="n">
        <f aca="false">C21</f>
        <v>0.25</v>
      </c>
      <c r="C21" s="0" t="n">
        <f aca="false">VLOOKUP(A21,$K$2:$L$226,2,FALSE())</f>
        <v>0.25</v>
      </c>
      <c r="E21" s="0" t="s">
        <v>184</v>
      </c>
      <c r="F21" s="91" t="n">
        <v>0.3</v>
      </c>
      <c r="K21" s="0" t="s">
        <v>276</v>
      </c>
      <c r="L21" s="76" t="n">
        <v>0.25</v>
      </c>
    </row>
    <row r="22" customFormat="false" ht="15.75" hidden="false" customHeight="false" outlineLevel="0" collapsed="false">
      <c r="A22" s="64" t="str">
        <f aca="false">'Ratings worksheet'!A22</f>
        <v>Bosnia and Herzegovina</v>
      </c>
      <c r="B22" s="247" t="n">
        <f aca="false">C22</f>
        <v>0.1</v>
      </c>
      <c r="C22" s="0" t="n">
        <f aca="false">VLOOKUP(A22,$K$2:$L$226,2,FALSE())</f>
        <v>0.1</v>
      </c>
      <c r="E22" s="0" t="s">
        <v>243</v>
      </c>
      <c r="F22" s="91" t="n">
        <v>0</v>
      </c>
      <c r="K22" s="0" t="s">
        <v>317</v>
      </c>
      <c r="L22" s="76" t="n">
        <v>0.25</v>
      </c>
    </row>
    <row r="23" customFormat="false" ht="15.75" hidden="false" customHeight="false" outlineLevel="0" collapsed="false">
      <c r="A23" s="64" t="str">
        <f aca="false">'Ratings worksheet'!A23</f>
        <v>Botswana</v>
      </c>
      <c r="B23" s="247" t="n">
        <f aca="false">C23</f>
        <v>0.22</v>
      </c>
      <c r="C23" s="0" t="n">
        <f aca="false">VLOOKUP(A23,$K$2:$L$226,2,FALSE())</f>
        <v>0.22</v>
      </c>
      <c r="E23" s="0" t="s">
        <v>256</v>
      </c>
      <c r="F23" s="91" t="n">
        <v>0.25</v>
      </c>
      <c r="K23" s="0" t="s">
        <v>255</v>
      </c>
      <c r="L23" s="76" t="n">
        <v>0</v>
      </c>
    </row>
    <row r="24" customFormat="false" ht="15.75" hidden="false" customHeight="false" outlineLevel="0" collapsed="false">
      <c r="A24" s="64" t="str">
        <f aca="false">'Ratings worksheet'!A24</f>
        <v>Brazil</v>
      </c>
      <c r="B24" s="247" t="n">
        <f aca="false">C24</f>
        <v>0.34</v>
      </c>
      <c r="C24" s="0" t="n">
        <f aca="false">VLOOKUP(A24,$K$2:$L$226,2,FALSE())</f>
        <v>0.34</v>
      </c>
      <c r="E24" s="0" t="s">
        <v>615</v>
      </c>
      <c r="F24" s="91" t="n">
        <v>0.25</v>
      </c>
      <c r="K24" s="0" t="s">
        <v>184</v>
      </c>
      <c r="L24" s="76" t="n">
        <v>0.3</v>
      </c>
    </row>
    <row r="25" customFormat="false" ht="15.75" hidden="false" customHeight="false" outlineLevel="0" collapsed="false">
      <c r="A25" s="64" t="str">
        <f aca="false">'Ratings worksheet'!A25</f>
        <v>Bulgaria</v>
      </c>
      <c r="B25" s="247" t="n">
        <f aca="false">C25</f>
        <v>0.1</v>
      </c>
      <c r="C25" s="0" t="n">
        <f aca="false">VLOOKUP(A25,$K$2:$L$226,2,FALSE())</f>
        <v>0.1</v>
      </c>
      <c r="E25" s="0" t="s">
        <v>277</v>
      </c>
      <c r="F25" s="91" t="n">
        <v>0.1</v>
      </c>
      <c r="K25" s="0" t="s">
        <v>243</v>
      </c>
      <c r="L25" s="76" t="n">
        <v>0</v>
      </c>
    </row>
    <row r="26" customFormat="false" ht="15.75" hidden="false" customHeight="false" outlineLevel="0" collapsed="false">
      <c r="A26" s="64" t="str">
        <f aca="false">'Ratings worksheet'!A26</f>
        <v>Burkina Faso</v>
      </c>
      <c r="B26" s="247" t="n">
        <f aca="false">C26</f>
        <v>0.275</v>
      </c>
      <c r="C26" s="0" t="n">
        <f aca="false">VLOOKUP(A26,$K$2:$L$226,2,FALSE())</f>
        <v>0.275</v>
      </c>
      <c r="E26" s="0" t="s">
        <v>185</v>
      </c>
      <c r="F26" s="91" t="n">
        <v>0.22</v>
      </c>
      <c r="K26" s="0" t="s">
        <v>442</v>
      </c>
      <c r="L26" s="76" t="n">
        <v>0.25</v>
      </c>
    </row>
    <row r="27" customFormat="false" ht="15.75" hidden="false" customHeight="false" outlineLevel="0" collapsed="false">
      <c r="A27" s="64" t="str">
        <f aca="false">'Ratings worksheet'!A27</f>
        <v>Cambodia</v>
      </c>
      <c r="B27" s="247" t="n">
        <f aca="false">C27</f>
        <v>0.2</v>
      </c>
      <c r="C27" s="0" t="n">
        <f aca="false">VLOOKUP(A27,$K$2:$L$226,2,FALSE())</f>
        <v>0.2</v>
      </c>
      <c r="E27" s="0" t="s">
        <v>257</v>
      </c>
      <c r="F27" s="91" t="n">
        <v>0.34</v>
      </c>
      <c r="K27" s="0" t="s">
        <v>256</v>
      </c>
      <c r="L27" s="76" t="n">
        <v>0.25</v>
      </c>
    </row>
    <row r="28" customFormat="false" ht="15.75" hidden="false" customHeight="false" outlineLevel="0" collapsed="false">
      <c r="A28" s="64" t="str">
        <f aca="false">'Ratings worksheet'!A28</f>
        <v>Cameroon</v>
      </c>
      <c r="B28" s="247" t="n">
        <f aca="false">C28</f>
        <v>0.33</v>
      </c>
      <c r="C28" s="0" t="n">
        <f aca="false">VLOOKUP(A28,$K$2:$L$226,2,FALSE())</f>
        <v>0.33</v>
      </c>
      <c r="E28" s="0" t="s">
        <v>444</v>
      </c>
      <c r="F28" s="91" t="n">
        <v>0.185</v>
      </c>
      <c r="K28" s="0" t="s">
        <v>616</v>
      </c>
      <c r="L28" s="76" t="n">
        <v>0.258</v>
      </c>
    </row>
    <row r="29" customFormat="false" ht="15.75" hidden="false" customHeight="false" outlineLevel="0" collapsed="false">
      <c r="A29" s="64" t="str">
        <f aca="false">'Ratings worksheet'!A29</f>
        <v>Canada</v>
      </c>
      <c r="B29" s="247" t="n">
        <f aca="false">C29</f>
        <v>0.2614</v>
      </c>
      <c r="C29" s="0" t="n">
        <f aca="false">VLOOKUP(A29,$K$2:$L$226,2,FALSE())</f>
        <v>0.2614</v>
      </c>
      <c r="E29" s="0" t="s">
        <v>278</v>
      </c>
      <c r="F29" s="91" t="n">
        <v>0.1</v>
      </c>
      <c r="K29" s="0" t="s">
        <v>277</v>
      </c>
      <c r="L29" s="76" t="n">
        <v>0.1</v>
      </c>
    </row>
    <row r="30" customFormat="false" ht="15.75" hidden="false" customHeight="false" outlineLevel="0" collapsed="false">
      <c r="A30" s="64" t="str">
        <f aca="false">'Ratings worksheet'!A30</f>
        <v>Cape Verde</v>
      </c>
      <c r="B30" s="247" t="n">
        <f aca="false">C30</f>
        <v>0.2686</v>
      </c>
      <c r="C30" s="76" t="n">
        <f aca="false">I3</f>
        <v>0.2686</v>
      </c>
      <c r="E30" s="0" t="s">
        <v>186</v>
      </c>
      <c r="F30" s="91" t="n">
        <v>0.28</v>
      </c>
      <c r="K30" s="0" t="s">
        <v>185</v>
      </c>
      <c r="L30" s="76" t="n">
        <v>0.22</v>
      </c>
    </row>
    <row r="31" customFormat="false" ht="15.75" hidden="false" customHeight="false" outlineLevel="0" collapsed="false">
      <c r="A31" s="64" t="str">
        <f aca="false">'Ratings worksheet'!A31</f>
        <v>Cayman Islands</v>
      </c>
      <c r="B31" s="247" t="n">
        <f aca="false">C31</f>
        <v>0</v>
      </c>
      <c r="C31" s="0" t="n">
        <f aca="false">VLOOKUP(A31,$K$2:$L$226,2,FALSE())</f>
        <v>0</v>
      </c>
      <c r="E31" s="0" t="s">
        <v>445</v>
      </c>
      <c r="F31" s="91" t="n">
        <v>0.3</v>
      </c>
      <c r="K31" s="0" t="s">
        <v>257</v>
      </c>
      <c r="L31" s="76" t="n">
        <v>0.34</v>
      </c>
    </row>
    <row r="32" customFormat="false" ht="15.75" hidden="false" customHeight="false" outlineLevel="0" collapsed="false">
      <c r="A32" s="64" t="str">
        <f aca="false">'Ratings worksheet'!A32</f>
        <v>Chile</v>
      </c>
      <c r="B32" s="247" t="n">
        <f aca="false">C32</f>
        <v>0.27</v>
      </c>
      <c r="C32" s="0" t="n">
        <f aca="false">VLOOKUP(A32,$K$2:$L$226,2,FALSE())</f>
        <v>0.27</v>
      </c>
      <c r="E32" s="0" t="s">
        <v>214</v>
      </c>
      <c r="F32" s="91" t="n">
        <v>0.2</v>
      </c>
      <c r="K32" s="0" t="s">
        <v>443</v>
      </c>
      <c r="L32" s="76" t="n">
        <v>0</v>
      </c>
    </row>
    <row r="33" customFormat="false" ht="15.75" hidden="false" customHeight="false" outlineLevel="0" collapsed="false">
      <c r="A33" s="64" t="str">
        <f aca="false">'Ratings worksheet'!A33</f>
        <v>China</v>
      </c>
      <c r="B33" s="247" t="n">
        <f aca="false">C33</f>
        <v>0.25</v>
      </c>
      <c r="C33" s="0" t="n">
        <f aca="false">VLOOKUP(A33,$K$2:$L$226,2,FALSE())</f>
        <v>0.25</v>
      </c>
      <c r="E33" s="0" t="s">
        <v>187</v>
      </c>
      <c r="F33" s="91" t="n">
        <v>0.33</v>
      </c>
      <c r="K33" s="0" t="s">
        <v>444</v>
      </c>
      <c r="L33" s="76" t="n">
        <v>0.185</v>
      </c>
    </row>
    <row r="34" customFormat="false" ht="15.75" hidden="false" customHeight="false" outlineLevel="0" collapsed="false">
      <c r="A34" s="64" t="str">
        <f aca="false">'Ratings worksheet'!A34</f>
        <v>Colombia</v>
      </c>
      <c r="B34" s="247" t="n">
        <f aca="false">C34</f>
        <v>0.35</v>
      </c>
      <c r="C34" s="0" t="n">
        <f aca="false">VLOOKUP(A34,$K$2:$L$226,2,FALSE())</f>
        <v>0.35</v>
      </c>
      <c r="E34" s="0" t="s">
        <v>313</v>
      </c>
      <c r="F34" s="91" t="n">
        <v>0.265</v>
      </c>
      <c r="K34" s="0" t="s">
        <v>278</v>
      </c>
      <c r="L34" s="76" t="n">
        <v>0.1</v>
      </c>
    </row>
    <row r="35" customFormat="false" ht="15.75" hidden="false" customHeight="false" outlineLevel="0" collapsed="false">
      <c r="A35" s="64" t="str">
        <f aca="false">'Ratings worksheet'!A35</f>
        <v>Congo (Democratic Republic of)</v>
      </c>
      <c r="B35" s="247" t="n">
        <f aca="false">C35</f>
        <v>0.3</v>
      </c>
      <c r="C35" s="0" t="n">
        <v>0.3</v>
      </c>
      <c r="E35" s="0" t="s">
        <v>244</v>
      </c>
      <c r="F35" s="91" t="n">
        <v>0</v>
      </c>
      <c r="K35" s="0" t="s">
        <v>186</v>
      </c>
      <c r="L35" s="76" t="n">
        <v>0.275</v>
      </c>
    </row>
    <row r="36" customFormat="false" ht="15.75" hidden="false" customHeight="false" outlineLevel="0" collapsed="false">
      <c r="A36" s="64" t="str">
        <f aca="false">'Ratings worksheet'!A36</f>
        <v>Congo (Republic of)</v>
      </c>
      <c r="B36" s="247" t="n">
        <f aca="false">I3</f>
        <v>0.2686</v>
      </c>
      <c r="C36" s="76" t="n">
        <f aca="false">I3</f>
        <v>0.2686</v>
      </c>
      <c r="E36" s="0" t="s">
        <v>258</v>
      </c>
      <c r="F36" s="91" t="n">
        <v>0.27</v>
      </c>
      <c r="K36" s="0" t="s">
        <v>445</v>
      </c>
      <c r="L36" s="76" t="n">
        <v>0.3</v>
      </c>
    </row>
    <row r="37" customFormat="false" ht="15.75" hidden="false" customHeight="false" outlineLevel="0" collapsed="false">
      <c r="A37" s="64" t="str">
        <f aca="false">'Ratings worksheet'!A37</f>
        <v>Cook Islands</v>
      </c>
      <c r="B37" s="247" t="n">
        <f aca="false">C37</f>
        <v>0.2</v>
      </c>
      <c r="C37" s="0" t="n">
        <f aca="false">VLOOKUP(A37,$K$2:$L$226,2,FALSE())</f>
        <v>0.2</v>
      </c>
      <c r="E37" s="0" t="s">
        <v>215</v>
      </c>
      <c r="F37" s="91" t="n">
        <v>0.25</v>
      </c>
      <c r="K37" s="0" t="s">
        <v>446</v>
      </c>
      <c r="L37" s="76" t="n">
        <v>0.2142</v>
      </c>
    </row>
    <row r="38" customFormat="false" ht="15.75" hidden="false" customHeight="false" outlineLevel="0" collapsed="false">
      <c r="A38" s="64" t="str">
        <f aca="false">'Ratings worksheet'!A38</f>
        <v>Costa Rica</v>
      </c>
      <c r="B38" s="247" t="n">
        <f aca="false">C38</f>
        <v>0.3</v>
      </c>
      <c r="C38" s="0" t="n">
        <f aca="false">VLOOKUP(A38,$K$2:$L$226,2,FALSE())</f>
        <v>0.3</v>
      </c>
      <c r="E38" s="0" t="s">
        <v>259</v>
      </c>
      <c r="F38" s="91" t="n">
        <v>0.35</v>
      </c>
      <c r="K38" s="0" t="s">
        <v>214</v>
      </c>
      <c r="L38" s="76" t="n">
        <v>0.2</v>
      </c>
    </row>
    <row r="39" customFormat="false" ht="15.75" hidden="false" customHeight="false" outlineLevel="0" collapsed="false">
      <c r="A39" s="64" t="str">
        <f aca="false">'Ratings worksheet'!A39</f>
        <v>Côte d'Ivoire</v>
      </c>
      <c r="B39" s="247" t="n">
        <f aca="false">C39</f>
        <v>0.25</v>
      </c>
      <c r="C39" s="0" t="n">
        <v>0.25</v>
      </c>
      <c r="E39" s="0" t="s">
        <v>585</v>
      </c>
      <c r="F39" s="91" t="n">
        <v>0.28</v>
      </c>
      <c r="K39" s="0" t="s">
        <v>187</v>
      </c>
      <c r="L39" s="76" t="n">
        <v>0.33</v>
      </c>
    </row>
    <row r="40" customFormat="false" ht="15.75" hidden="false" customHeight="false" outlineLevel="0" collapsed="false">
      <c r="A40" s="64" t="str">
        <f aca="false">'Ratings worksheet'!A40</f>
        <v>Croatia</v>
      </c>
      <c r="B40" s="247" t="n">
        <f aca="false">C40</f>
        <v>0.18</v>
      </c>
      <c r="C40" s="0" t="n">
        <f aca="false">VLOOKUP(A40,$K$2:$L$226,2,FALSE())</f>
        <v>0.18</v>
      </c>
      <c r="E40" s="0" t="s">
        <v>617</v>
      </c>
      <c r="F40" s="91" t="n">
        <v>0.3</v>
      </c>
      <c r="K40" s="0" t="s">
        <v>313</v>
      </c>
      <c r="L40" s="76" t="n">
        <v>0.2614</v>
      </c>
    </row>
    <row r="41" customFormat="false" ht="15.75" hidden="false" customHeight="false" outlineLevel="0" collapsed="false">
      <c r="A41" s="64" t="str">
        <f aca="false">'Ratings worksheet'!A41</f>
        <v>Cuba</v>
      </c>
      <c r="B41" s="247" t="n">
        <f aca="false">C41</f>
        <v>0.35</v>
      </c>
      <c r="C41" s="0" t="n">
        <f aca="false">VLOOKUP(A41,$K$2:$L$226,2,FALSE())</f>
        <v>0.35</v>
      </c>
      <c r="E41" s="0" t="s">
        <v>260</v>
      </c>
      <c r="F41" s="91" t="n">
        <v>0.3</v>
      </c>
      <c r="K41" s="0" t="s">
        <v>244</v>
      </c>
      <c r="L41" s="76" t="n">
        <v>0</v>
      </c>
    </row>
    <row r="42" customFormat="false" ht="15.75" hidden="false" customHeight="false" outlineLevel="0" collapsed="false">
      <c r="A42" s="64" t="str">
        <f aca="false">'Ratings worksheet'!A42</f>
        <v>Curacao</v>
      </c>
      <c r="B42" s="247" t="n">
        <f aca="false">C42</f>
        <v>0.22</v>
      </c>
      <c r="C42" s="0" t="n">
        <f aca="false">VLOOKUP(A42,$K$2:$L$226,2,FALSE())</f>
        <v>0.22</v>
      </c>
      <c r="E42" s="0" t="s">
        <v>279</v>
      </c>
      <c r="F42" s="91" t="n">
        <v>0.18</v>
      </c>
      <c r="K42" s="0" t="s">
        <v>448</v>
      </c>
      <c r="L42" s="76" t="n">
        <v>0.3</v>
      </c>
    </row>
    <row r="43" customFormat="false" ht="15.75" hidden="false" customHeight="false" outlineLevel="0" collapsed="false">
      <c r="A43" s="64" t="str">
        <f aca="false">'Ratings worksheet'!A43</f>
        <v>Cyprus</v>
      </c>
      <c r="B43" s="247" t="n">
        <f aca="false">C43</f>
        <v>0.125</v>
      </c>
      <c r="C43" s="0" t="n">
        <f aca="false">VLOOKUP(A43,$K$2:$L$226,2,FALSE())</f>
        <v>0.125</v>
      </c>
      <c r="E43" s="0" t="s">
        <v>246</v>
      </c>
      <c r="F43" s="91" t="n">
        <v>0.22</v>
      </c>
      <c r="K43" s="0" t="s">
        <v>450</v>
      </c>
      <c r="L43" s="76" t="n">
        <v>0.35</v>
      </c>
    </row>
    <row r="44" customFormat="false" ht="15.75" hidden="false" customHeight="false" outlineLevel="0" collapsed="false">
      <c r="A44" s="64" t="str">
        <f aca="false">'Ratings worksheet'!A44</f>
        <v>Czech Republic</v>
      </c>
      <c r="B44" s="247" t="n">
        <f aca="false">C44</f>
        <v>0.21</v>
      </c>
      <c r="C44" s="0" t="n">
        <v>0.21</v>
      </c>
      <c r="E44" s="0" t="s">
        <v>318</v>
      </c>
      <c r="F44" s="91" t="n">
        <v>0.125</v>
      </c>
      <c r="K44" s="0" t="s">
        <v>258</v>
      </c>
      <c r="L44" s="76" t="n">
        <v>0.27</v>
      </c>
    </row>
    <row r="45" customFormat="false" ht="15.75" hidden="false" customHeight="false" outlineLevel="0" collapsed="false">
      <c r="A45" s="64" t="str">
        <f aca="false">'Ratings worksheet'!A45</f>
        <v>Denmark</v>
      </c>
      <c r="B45" s="247" t="n">
        <f aca="false">C45</f>
        <v>0.22</v>
      </c>
      <c r="C45" s="0" t="n">
        <f aca="false">VLOOKUP(A45,$K$2:$L$226,2,FALSE())</f>
        <v>0.22</v>
      </c>
      <c r="E45" s="0" t="s">
        <v>280</v>
      </c>
      <c r="F45" s="91" t="n">
        <v>0.21</v>
      </c>
      <c r="K45" s="0" t="s">
        <v>215</v>
      </c>
      <c r="L45" s="76" t="n">
        <v>0.25</v>
      </c>
    </row>
    <row r="46" customFormat="false" ht="15.75" hidden="false" customHeight="false" outlineLevel="0" collapsed="false">
      <c r="A46" s="64" t="str">
        <f aca="false">'Ratings worksheet'!A46</f>
        <v>Dominican Republic</v>
      </c>
      <c r="B46" s="247" t="n">
        <f aca="false">C46</f>
        <v>0.27</v>
      </c>
      <c r="C46" s="0" t="n">
        <f aca="false">VLOOKUP(A46,$K$2:$L$226,2,FALSE())</f>
        <v>0.27</v>
      </c>
      <c r="E46" s="0" t="s">
        <v>319</v>
      </c>
      <c r="F46" s="91" t="n">
        <v>0.22</v>
      </c>
      <c r="K46" s="0" t="s">
        <v>618</v>
      </c>
      <c r="L46" s="76" t="n">
        <v>0.165</v>
      </c>
    </row>
    <row r="47" customFormat="false" ht="15.75" hidden="false" customHeight="false" outlineLevel="0" collapsed="false">
      <c r="A47" s="64" t="str">
        <f aca="false">'Ratings worksheet'!A47</f>
        <v>Ecuador</v>
      </c>
      <c r="B47" s="247" t="n">
        <f aca="false">C47</f>
        <v>0.25</v>
      </c>
      <c r="C47" s="0" t="n">
        <f aca="false">VLOOKUP(A47,$K$2:$L$226,2,FALSE())</f>
        <v>0.25</v>
      </c>
      <c r="E47" s="0" t="s">
        <v>457</v>
      </c>
      <c r="F47" s="91" t="n">
        <v>0.25</v>
      </c>
      <c r="K47" s="0" t="s">
        <v>619</v>
      </c>
      <c r="L47" s="76" t="n">
        <v>0.12</v>
      </c>
    </row>
    <row r="48" customFormat="false" ht="15.75" hidden="false" customHeight="false" outlineLevel="0" collapsed="false">
      <c r="A48" s="64" t="str">
        <f aca="false">'Ratings worksheet'!A48</f>
        <v>Egypt</v>
      </c>
      <c r="B48" s="247" t="n">
        <f aca="false">C48</f>
        <v>0.225</v>
      </c>
      <c r="C48" s="0" t="n">
        <f aca="false">VLOOKUP(A48,$K$2:$L$226,2,FALSE())</f>
        <v>0.225</v>
      </c>
      <c r="E48" s="0" t="s">
        <v>458</v>
      </c>
      <c r="F48" s="91" t="n">
        <v>0.25</v>
      </c>
      <c r="K48" s="0" t="s">
        <v>259</v>
      </c>
      <c r="L48" s="76" t="n">
        <v>0.35</v>
      </c>
    </row>
    <row r="49" customFormat="false" ht="15.75" hidden="false" customHeight="false" outlineLevel="0" collapsed="false">
      <c r="A49" s="64" t="str">
        <f aca="false">'Ratings worksheet'!A49</f>
        <v>El Salvador</v>
      </c>
      <c r="B49" s="247" t="n">
        <f aca="false">C49</f>
        <v>0.3</v>
      </c>
      <c r="C49" s="0" t="n">
        <f aca="false">VLOOKUP(A49,$K$2:$L$226,2,FALSE())</f>
        <v>0.3</v>
      </c>
      <c r="E49" s="0" t="s">
        <v>247</v>
      </c>
      <c r="F49" s="91" t="n">
        <v>0.27</v>
      </c>
      <c r="K49" s="0" t="s">
        <v>452</v>
      </c>
      <c r="L49" s="76" t="n">
        <v>0.5</v>
      </c>
    </row>
    <row r="50" customFormat="false" ht="15.75" hidden="false" customHeight="false" outlineLevel="0" collapsed="false">
      <c r="A50" s="64" t="str">
        <f aca="false">'Ratings worksheet'!A50</f>
        <v>Estonia</v>
      </c>
      <c r="B50" s="247" t="n">
        <f aca="false">C50</f>
        <v>0.2</v>
      </c>
      <c r="C50" s="0" t="n">
        <f aca="false">VLOOKUP(A50,$K$2:$L$226,2,FALSE())</f>
        <v>0.2</v>
      </c>
      <c r="E50" s="0" t="s">
        <v>261</v>
      </c>
      <c r="F50" s="91" t="n">
        <v>0.25</v>
      </c>
      <c r="K50" s="0" t="s">
        <v>585</v>
      </c>
      <c r="L50" s="76" t="n">
        <v>0.28</v>
      </c>
    </row>
    <row r="51" customFormat="false" ht="15.75" hidden="false" customHeight="false" outlineLevel="0" collapsed="false">
      <c r="A51" s="64" t="str">
        <f aca="false">'Ratings worksheet'!A51</f>
        <v>Ethiopia</v>
      </c>
      <c r="B51" s="247" t="n">
        <f aca="false">C51</f>
        <v>0.3</v>
      </c>
      <c r="C51" s="0" t="n">
        <f aca="false">VLOOKUP(A51,$K$2:$L$226,2,FALSE())</f>
        <v>0.3</v>
      </c>
      <c r="E51" s="0" t="s">
        <v>192</v>
      </c>
      <c r="F51" s="91" t="n">
        <v>0.225</v>
      </c>
      <c r="K51" s="0" t="s">
        <v>238</v>
      </c>
      <c r="L51" s="76" t="n">
        <v>0.2</v>
      </c>
    </row>
    <row r="52" customFormat="false" ht="15.75" hidden="false" customHeight="false" outlineLevel="0" collapsed="false">
      <c r="A52" s="64" t="str">
        <f aca="false">'Ratings worksheet'!A52</f>
        <v>Fiji</v>
      </c>
      <c r="B52" s="247" t="n">
        <f aca="false">C52</f>
        <v>0.25</v>
      </c>
      <c r="C52" s="0" t="n">
        <f aca="false">VLOOKUP(A52,$K$2:$L$226,2,FALSE())</f>
        <v>0.25</v>
      </c>
      <c r="E52" s="0" t="s">
        <v>262</v>
      </c>
      <c r="F52" s="91" t="n">
        <v>0.3</v>
      </c>
      <c r="K52" s="0" t="s">
        <v>260</v>
      </c>
      <c r="L52" s="76" t="n">
        <v>0.3</v>
      </c>
    </row>
    <row r="53" customFormat="false" ht="15.75" hidden="false" customHeight="false" outlineLevel="0" collapsed="false">
      <c r="A53" s="64" t="str">
        <f aca="false">'Ratings worksheet'!A53</f>
        <v>Finland</v>
      </c>
      <c r="B53" s="247" t="n">
        <f aca="false">C53</f>
        <v>0.2</v>
      </c>
      <c r="C53" s="0" t="n">
        <f aca="false">VLOOKUP(A53,$K$2:$L$226,2,FALSE())</f>
        <v>0.2</v>
      </c>
      <c r="E53" s="0" t="s">
        <v>281</v>
      </c>
      <c r="F53" s="91" t="n">
        <v>0.2</v>
      </c>
      <c r="K53" s="0" t="s">
        <v>455</v>
      </c>
      <c r="L53" s="76" t="n">
        <v>0.25</v>
      </c>
    </row>
    <row r="54" customFormat="false" ht="15.75" hidden="false" customHeight="false" outlineLevel="0" collapsed="false">
      <c r="A54" s="64" t="str">
        <f aca="false">'Ratings worksheet'!A54</f>
        <v>France</v>
      </c>
      <c r="B54" s="247" t="n">
        <f aca="false">C54</f>
        <v>0.2583</v>
      </c>
      <c r="C54" s="0" t="n">
        <f aca="false">VLOOKUP(A54,$K$2:$L$226,2,FALSE())</f>
        <v>0.2583</v>
      </c>
      <c r="E54" s="0" t="s">
        <v>193</v>
      </c>
      <c r="F54" s="91" t="n">
        <v>0.3</v>
      </c>
      <c r="K54" s="0" t="s">
        <v>279</v>
      </c>
      <c r="L54" s="76" t="n">
        <v>0.18</v>
      </c>
    </row>
    <row r="55" customFormat="false" ht="15.75" hidden="false" customHeight="false" outlineLevel="0" collapsed="false">
      <c r="A55" s="64" t="str">
        <f aca="false">'Ratings worksheet'!A55</f>
        <v>Gabon</v>
      </c>
      <c r="B55" s="247" t="n">
        <f aca="false">C55</f>
        <v>0.3</v>
      </c>
      <c r="C55" s="0" t="n">
        <f aca="false">VLOOKUP(A55,$K$2:$L$226,2,FALSE())</f>
        <v>0.3</v>
      </c>
      <c r="E55" s="0" t="s">
        <v>216</v>
      </c>
      <c r="F55" s="91" t="n">
        <v>0.2</v>
      </c>
      <c r="K55" s="0" t="s">
        <v>245</v>
      </c>
      <c r="L55" s="76" t="n">
        <v>0.35</v>
      </c>
    </row>
    <row r="56" customFormat="false" ht="15.75" hidden="false" customHeight="false" outlineLevel="0" collapsed="false">
      <c r="A56" s="64" t="str">
        <f aca="false">'Ratings worksheet'!A56</f>
        <v>Georgia</v>
      </c>
      <c r="B56" s="247" t="n">
        <f aca="false">C56</f>
        <v>0.15</v>
      </c>
      <c r="C56" s="0" t="n">
        <f aca="false">VLOOKUP(A56,$K$2:$L$226,2,FALSE())</f>
        <v>0.15</v>
      </c>
      <c r="E56" s="0" t="s">
        <v>320</v>
      </c>
      <c r="F56" s="91" t="n">
        <v>0.2</v>
      </c>
      <c r="K56" s="0" t="s">
        <v>246</v>
      </c>
      <c r="L56" s="76" t="n">
        <v>0.22</v>
      </c>
    </row>
    <row r="57" customFormat="false" ht="15.75" hidden="false" customHeight="false" outlineLevel="0" collapsed="false">
      <c r="A57" s="64" t="str">
        <f aca="false">'Ratings worksheet'!A57</f>
        <v>Germany</v>
      </c>
      <c r="B57" s="247" t="n">
        <f aca="false">C57</f>
        <v>0.2993</v>
      </c>
      <c r="C57" s="0" t="n">
        <f aca="false">VLOOKUP(A57,$K$2:$L$226,2,FALSE())</f>
        <v>0.2993</v>
      </c>
      <c r="E57" s="0" t="s">
        <v>321</v>
      </c>
      <c r="F57" s="91" t="n">
        <v>0.25</v>
      </c>
      <c r="K57" s="0" t="s">
        <v>318</v>
      </c>
      <c r="L57" s="76" t="n">
        <v>0.125</v>
      </c>
    </row>
    <row r="58" customFormat="false" ht="15.75" hidden="false" customHeight="false" outlineLevel="0" collapsed="false">
      <c r="A58" s="64" t="str">
        <f aca="false">'Ratings worksheet'!A58</f>
        <v>Ghana</v>
      </c>
      <c r="B58" s="247" t="n">
        <f aca="false">C58</f>
        <v>0.25</v>
      </c>
      <c r="C58" s="0" t="n">
        <f aca="false">VLOOKUP(A58,$K$2:$L$226,2,FALSE())</f>
        <v>0.25</v>
      </c>
      <c r="E58" s="0" t="s">
        <v>194</v>
      </c>
      <c r="F58" s="91" t="n">
        <v>0.3</v>
      </c>
      <c r="K58" s="0" t="s">
        <v>456</v>
      </c>
      <c r="L58" s="76" t="n">
        <v>0.21</v>
      </c>
    </row>
    <row r="59" customFormat="false" ht="15.75" hidden="false" customHeight="false" outlineLevel="0" collapsed="false">
      <c r="A59" s="64" t="str">
        <f aca="false">'Ratings worksheet'!A59</f>
        <v>Greece</v>
      </c>
      <c r="B59" s="247" t="n">
        <f aca="false">C59</f>
        <v>0.22</v>
      </c>
      <c r="C59" s="0" t="n">
        <f aca="false">VLOOKUP(A59,$K$2:$L$226,2,FALSE())</f>
        <v>0.22</v>
      </c>
      <c r="E59" s="0" t="s">
        <v>520</v>
      </c>
      <c r="F59" s="91" t="n">
        <v>0.27</v>
      </c>
      <c r="K59" s="0" t="s">
        <v>587</v>
      </c>
      <c r="L59" s="76" t="n">
        <v>0.3</v>
      </c>
    </row>
    <row r="60" customFormat="false" ht="15.75" hidden="false" customHeight="false" outlineLevel="0" collapsed="false">
      <c r="A60" s="64" t="str">
        <f aca="false">'Ratings worksheet'!A60</f>
        <v>Guatemala</v>
      </c>
      <c r="B60" s="247" t="n">
        <f aca="false">C60</f>
        <v>0.25</v>
      </c>
      <c r="C60" s="0" t="n">
        <f aca="false">VLOOKUP(A60,$K$2:$L$226,2,FALSE())</f>
        <v>0.25</v>
      </c>
      <c r="E60" s="0" t="s">
        <v>282</v>
      </c>
      <c r="F60" s="91" t="n">
        <v>0.15</v>
      </c>
      <c r="K60" s="0" t="s">
        <v>319</v>
      </c>
      <c r="L60" s="76" t="n">
        <v>0.22</v>
      </c>
    </row>
    <row r="61" customFormat="false" ht="15.75" hidden="false" customHeight="false" outlineLevel="0" collapsed="false">
      <c r="A61" s="64" t="str">
        <f aca="false">'Ratings worksheet'!A61</f>
        <v>Guernsey (States of)</v>
      </c>
      <c r="B61" s="247" t="n">
        <f aca="false">C61</f>
        <v>0</v>
      </c>
      <c r="C61" s="0" t="n">
        <v>0</v>
      </c>
      <c r="E61" s="0" t="s">
        <v>322</v>
      </c>
      <c r="F61" s="91" t="n">
        <v>0.3</v>
      </c>
      <c r="K61" s="0" t="s">
        <v>457</v>
      </c>
      <c r="L61" s="76" t="n">
        <v>0.25</v>
      </c>
    </row>
    <row r="62" customFormat="false" ht="15.75" hidden="false" customHeight="false" outlineLevel="0" collapsed="false">
      <c r="A62" s="64" t="str">
        <f aca="false">'Ratings worksheet'!A62</f>
        <v>Honduras</v>
      </c>
      <c r="B62" s="247" t="n">
        <f aca="false">C62</f>
        <v>0.3</v>
      </c>
      <c r="C62" s="0" t="n">
        <f aca="false">VLOOKUP(A62,$K$2:$L$226,2,FALSE())</f>
        <v>0.3</v>
      </c>
      <c r="E62" s="0" t="s">
        <v>195</v>
      </c>
      <c r="F62" s="91" t="n">
        <v>0.25</v>
      </c>
      <c r="K62" s="0" t="s">
        <v>458</v>
      </c>
      <c r="L62" s="76" t="n">
        <v>0.25</v>
      </c>
    </row>
    <row r="63" customFormat="false" ht="15.75" hidden="false" customHeight="false" outlineLevel="0" collapsed="false">
      <c r="A63" s="64" t="str">
        <f aca="false">'Ratings worksheet'!A63</f>
        <v>Hong Kong</v>
      </c>
      <c r="B63" s="247" t="n">
        <f aca="false">C63</f>
        <v>0.165</v>
      </c>
      <c r="C63" s="0" t="n">
        <v>0.165</v>
      </c>
      <c r="E63" s="0" t="s">
        <v>476</v>
      </c>
      <c r="F63" s="91" t="n">
        <v>0.1</v>
      </c>
      <c r="K63" s="0" t="s">
        <v>247</v>
      </c>
      <c r="L63" s="76" t="n">
        <v>0.27</v>
      </c>
    </row>
    <row r="64" customFormat="false" ht="15.75" hidden="false" customHeight="false" outlineLevel="0" collapsed="false">
      <c r="A64" s="64" t="str">
        <f aca="false">'Ratings worksheet'!A64</f>
        <v>Hungary</v>
      </c>
      <c r="B64" s="247" t="n">
        <f aca="false">C64</f>
        <v>0.09</v>
      </c>
      <c r="C64" s="0" t="n">
        <f aca="false">VLOOKUP(A64,$K$2:$L$226,2,FALSE())</f>
        <v>0.09</v>
      </c>
      <c r="E64" s="0" t="s">
        <v>323</v>
      </c>
      <c r="F64" s="91" t="n">
        <v>0.22</v>
      </c>
      <c r="K64" s="0" t="s">
        <v>261</v>
      </c>
      <c r="L64" s="76" t="n">
        <v>0.25</v>
      </c>
    </row>
    <row r="65" customFormat="false" ht="15.75" hidden="false" customHeight="false" outlineLevel="0" collapsed="false">
      <c r="A65" s="64" t="str">
        <f aca="false">'Ratings worksheet'!A65</f>
        <v>Iceland</v>
      </c>
      <c r="B65" s="247" t="n">
        <f aca="false">C65</f>
        <v>0.21</v>
      </c>
      <c r="C65" s="0" t="n">
        <f aca="false">VLOOKUP(A65,$K$2:$L$226,2,FALSE())</f>
        <v>0.21</v>
      </c>
      <c r="E65" s="0" t="s">
        <v>478</v>
      </c>
      <c r="F65" s="91" t="n">
        <v>0.28</v>
      </c>
      <c r="K65" s="0" t="s">
        <v>192</v>
      </c>
      <c r="L65" s="76" t="n">
        <v>0.225</v>
      </c>
    </row>
    <row r="66" customFormat="false" ht="15.75" hidden="false" customHeight="false" outlineLevel="0" collapsed="false">
      <c r="A66" s="64" t="str">
        <f aca="false">'Ratings worksheet'!A66</f>
        <v>India</v>
      </c>
      <c r="B66" s="247" t="n">
        <f aca="false">C66</f>
        <v>0.3</v>
      </c>
      <c r="C66" s="0" t="n">
        <f aca="false">VLOOKUP(A66,$K$2:$L$226,2,FALSE())</f>
        <v>0.3</v>
      </c>
      <c r="E66" s="0" t="s">
        <v>263</v>
      </c>
      <c r="F66" s="91" t="n">
        <v>0.25</v>
      </c>
      <c r="K66" s="0" t="s">
        <v>262</v>
      </c>
      <c r="L66" s="76" t="n">
        <v>0.3</v>
      </c>
    </row>
    <row r="67" customFormat="false" ht="15.75" hidden="false" customHeight="false" outlineLevel="0" collapsed="false">
      <c r="A67" s="64" t="s">
        <v>219</v>
      </c>
      <c r="B67" s="247" t="n">
        <f aca="false">C67</f>
        <v>0.22</v>
      </c>
      <c r="C67" s="0" t="n">
        <f aca="false">VLOOKUP(A67,$K$2:$L$226,2,FALSE())</f>
        <v>0.22</v>
      </c>
      <c r="E67" s="0" t="s">
        <v>620</v>
      </c>
      <c r="F67" s="91" t="n">
        <v>0</v>
      </c>
      <c r="K67" s="0" t="s">
        <v>464</v>
      </c>
      <c r="L67" s="76" t="n">
        <v>0.35</v>
      </c>
    </row>
    <row r="68" customFormat="false" ht="15.75" hidden="false" customHeight="false" outlineLevel="0" collapsed="false">
      <c r="A68" s="64" t="str">
        <f aca="false">'Ratings worksheet'!A68</f>
        <v>Iraq</v>
      </c>
      <c r="B68" s="247" t="n">
        <f aca="false">C68</f>
        <v>0.15</v>
      </c>
      <c r="C68" s="0" t="n">
        <f aca="false">VLOOKUP(A68,$K$2:$L$226,2,FALSE())</f>
        <v>0.15</v>
      </c>
      <c r="E68" s="0" t="s">
        <v>264</v>
      </c>
      <c r="F68" s="91" t="n">
        <v>0.25</v>
      </c>
      <c r="K68" s="0" t="s">
        <v>465</v>
      </c>
      <c r="L68" s="76" t="n">
        <v>0.3</v>
      </c>
    </row>
    <row r="69" customFormat="false" ht="15.75" hidden="false" customHeight="false" outlineLevel="0" collapsed="false">
      <c r="A69" s="64" t="str">
        <f aca="false">'Ratings worksheet'!A69</f>
        <v>Ireland</v>
      </c>
      <c r="B69" s="247" t="n">
        <f aca="false">C69</f>
        <v>0.125</v>
      </c>
      <c r="C69" s="0" t="n">
        <f aca="false">VLOOKUP(A69,$K$2:$L$226,2,FALSE())</f>
        <v>0.125</v>
      </c>
      <c r="E69" s="0" t="s">
        <v>621</v>
      </c>
      <c r="F69" s="91" t="n">
        <v>0.165</v>
      </c>
      <c r="K69" s="0" t="s">
        <v>281</v>
      </c>
      <c r="L69" s="76" t="n">
        <v>0.2</v>
      </c>
    </row>
    <row r="70" customFormat="false" ht="15.75" hidden="false" customHeight="false" outlineLevel="0" collapsed="false">
      <c r="A70" s="64" t="str">
        <f aca="false">'Ratings worksheet'!A70</f>
        <v>Isle of Man</v>
      </c>
      <c r="B70" s="247" t="n">
        <f aca="false">C70</f>
        <v>0</v>
      </c>
      <c r="C70" s="0" t="n">
        <f aca="false">VLOOKUP(A70,$K$2:$L$226,2,FALSE())</f>
        <v>0</v>
      </c>
      <c r="E70" s="0" t="s">
        <v>283</v>
      </c>
      <c r="F70" s="91" t="n">
        <v>0.09</v>
      </c>
      <c r="K70" s="0" t="s">
        <v>193</v>
      </c>
      <c r="L70" s="76" t="n">
        <v>0.3</v>
      </c>
    </row>
    <row r="71" customFormat="false" ht="15.75" hidden="false" customHeight="false" outlineLevel="0" collapsed="false">
      <c r="A71" s="64" t="str">
        <f aca="false">'Ratings worksheet'!A71</f>
        <v>Israel</v>
      </c>
      <c r="B71" s="247" t="n">
        <f aca="false">C71</f>
        <v>0.23</v>
      </c>
      <c r="C71" s="0" t="n">
        <f aca="false">VLOOKUP(A71,$K$2:$L$226,2,FALSE())</f>
        <v>0.23</v>
      </c>
      <c r="E71" s="0" t="s">
        <v>325</v>
      </c>
      <c r="F71" s="91" t="n">
        <v>0.2</v>
      </c>
      <c r="K71" s="0" t="s">
        <v>622</v>
      </c>
      <c r="L71" s="76" t="n">
        <v>0.26</v>
      </c>
    </row>
    <row r="72" customFormat="false" ht="15.75" hidden="false" customHeight="false" outlineLevel="0" collapsed="false">
      <c r="A72" s="64" t="str">
        <f aca="false">'Ratings worksheet'!A72</f>
        <v>Italy</v>
      </c>
      <c r="B72" s="247" t="n">
        <f aca="false">C72</f>
        <v>0.2781</v>
      </c>
      <c r="C72" s="0" t="n">
        <f aca="false">VLOOKUP(A72,$K$2:$L$226,2,FALSE())</f>
        <v>0.2781</v>
      </c>
      <c r="E72" s="0" t="s">
        <v>218</v>
      </c>
      <c r="F72" s="91" t="n">
        <v>0.3</v>
      </c>
      <c r="K72" s="0" t="s">
        <v>472</v>
      </c>
      <c r="L72" s="76" t="n">
        <v>0.18</v>
      </c>
    </row>
    <row r="73" customFormat="false" ht="15.75" hidden="false" customHeight="false" outlineLevel="0" collapsed="false">
      <c r="A73" s="64" t="str">
        <f aca="false">'Ratings worksheet'!A73</f>
        <v>Jamaica</v>
      </c>
      <c r="B73" s="247" t="n">
        <f aca="false">C73</f>
        <v>0.25</v>
      </c>
      <c r="C73" s="0" t="n">
        <f aca="false">VLOOKUP(A73,$K$2:$L$226,2,FALSE())</f>
        <v>0.25</v>
      </c>
      <c r="E73" s="0" t="s">
        <v>219</v>
      </c>
      <c r="F73" s="91" t="n">
        <v>0.22</v>
      </c>
      <c r="K73" s="0" t="s">
        <v>623</v>
      </c>
      <c r="L73" s="76" t="n">
        <v>0.3</v>
      </c>
    </row>
    <row r="74" customFormat="false" ht="15.75" hidden="false" customHeight="false" outlineLevel="0" collapsed="false">
      <c r="A74" s="64" t="str">
        <f aca="false">'Ratings worksheet'!A74</f>
        <v>Japan</v>
      </c>
      <c r="B74" s="247" t="n">
        <f aca="false">C74</f>
        <v>0.2974</v>
      </c>
      <c r="C74" s="0" t="n">
        <f aca="false">VLOOKUP(A74,$K$2:$L$226,2,FALSE())</f>
        <v>0.2974</v>
      </c>
      <c r="E74" s="0" t="s">
        <v>302</v>
      </c>
      <c r="F74" s="91" t="n">
        <v>0.15</v>
      </c>
      <c r="K74" s="0" t="s">
        <v>216</v>
      </c>
      <c r="L74" s="76" t="n">
        <v>0.25</v>
      </c>
    </row>
    <row r="75" customFormat="false" ht="15.75" hidden="false" customHeight="false" outlineLevel="0" collapsed="false">
      <c r="A75" s="64" t="str">
        <f aca="false">'Ratings worksheet'!A75</f>
        <v>Jersey (States of)</v>
      </c>
      <c r="B75" s="247" t="n">
        <f aca="false">C75</f>
        <v>0</v>
      </c>
      <c r="C75" s="0" t="n">
        <v>0</v>
      </c>
      <c r="E75" s="0" t="s">
        <v>326</v>
      </c>
      <c r="F75" s="91" t="n">
        <v>0.125</v>
      </c>
      <c r="K75" s="0" t="s">
        <v>320</v>
      </c>
      <c r="L75" s="76" t="n">
        <v>0.2</v>
      </c>
    </row>
    <row r="76" customFormat="false" ht="15.75" hidden="false" customHeight="false" outlineLevel="0" collapsed="false">
      <c r="A76" s="64" t="str">
        <f aca="false">'Ratings worksheet'!A76</f>
        <v>Jordan</v>
      </c>
      <c r="B76" s="247" t="n">
        <f aca="false">C76</f>
        <v>0.2</v>
      </c>
      <c r="C76" s="0" t="n">
        <f aca="false">VLOOKUP(A76,$K$2:$L$226,2,FALSE())</f>
        <v>0.2</v>
      </c>
      <c r="E76" s="0" t="s">
        <v>327</v>
      </c>
      <c r="F76" s="91" t="n">
        <v>0</v>
      </c>
      <c r="K76" s="0" t="s">
        <v>321</v>
      </c>
      <c r="L76" s="76" t="n">
        <v>0.2583</v>
      </c>
    </row>
    <row r="77" customFormat="false" ht="15.75" hidden="false" customHeight="false" outlineLevel="0" collapsed="false">
      <c r="A77" s="64" t="str">
        <f aca="false">'Ratings worksheet'!A77</f>
        <v>Kazakhstan</v>
      </c>
      <c r="B77" s="247" t="n">
        <f aca="false">C77</f>
        <v>0.2</v>
      </c>
      <c r="C77" s="0" t="n">
        <f aca="false">VLOOKUP(A77,$K$2:$L$226,2,FALSE())</f>
        <v>0.2</v>
      </c>
      <c r="E77" s="0" t="s">
        <v>303</v>
      </c>
      <c r="F77" s="91" t="n">
        <v>0.23</v>
      </c>
      <c r="K77" s="0" t="s">
        <v>474</v>
      </c>
      <c r="L77" s="76" t="n">
        <v>0.25</v>
      </c>
    </row>
    <row r="78" customFormat="false" ht="15.75" hidden="false" customHeight="false" outlineLevel="0" collapsed="false">
      <c r="A78" s="64" t="str">
        <f aca="false">'Ratings worksheet'!A78</f>
        <v>Kenya</v>
      </c>
      <c r="B78" s="247" t="n">
        <f aca="false">C78</f>
        <v>0.3</v>
      </c>
      <c r="C78" s="0" t="n">
        <f aca="false">VLOOKUP(A78,$K$2:$L$226,2,FALSE())</f>
        <v>0.3</v>
      </c>
      <c r="E78" s="0" t="s">
        <v>328</v>
      </c>
      <c r="F78" s="91" t="n">
        <v>0.24</v>
      </c>
      <c r="K78" s="0" t="s">
        <v>194</v>
      </c>
      <c r="L78" s="76" t="n">
        <v>0.3</v>
      </c>
    </row>
    <row r="79" customFormat="false" ht="15.75" hidden="false" customHeight="false" outlineLevel="0" collapsed="false">
      <c r="A79" s="64" t="str">
        <f aca="false">'Ratings worksheet'!A79</f>
        <v>Korea</v>
      </c>
      <c r="B79" s="247" t="n">
        <f aca="false">C79</f>
        <v>0.264</v>
      </c>
      <c r="C79" s="0" t="n">
        <f aca="false">VLOOKUP(A79,$K$2:$L$226,2,FALSE())</f>
        <v>0.264</v>
      </c>
      <c r="E79" s="0" t="s">
        <v>592</v>
      </c>
      <c r="F79" s="91" t="n">
        <v>0.25</v>
      </c>
      <c r="K79" s="0" t="s">
        <v>520</v>
      </c>
      <c r="L79" s="76" t="n">
        <v>0.27</v>
      </c>
    </row>
    <row r="80" customFormat="false" ht="15.75" hidden="false" customHeight="false" outlineLevel="0" collapsed="false">
      <c r="A80" s="64" t="str">
        <f aca="false">'Ratings worksheet'!A80</f>
        <v>Kuwait</v>
      </c>
      <c r="B80" s="247" t="n">
        <f aca="false">C80</f>
        <v>0.15</v>
      </c>
      <c r="C80" s="0" t="n">
        <f aca="false">VLOOKUP(A80,$K$2:$L$226,2,FALSE())</f>
        <v>0.15</v>
      </c>
      <c r="E80" s="0" t="s">
        <v>248</v>
      </c>
      <c r="F80" s="91" t="n">
        <v>0.25</v>
      </c>
      <c r="K80" s="0" t="s">
        <v>282</v>
      </c>
      <c r="L80" s="76" t="n">
        <v>0.15</v>
      </c>
    </row>
    <row r="81" customFormat="false" ht="15.75" hidden="false" customHeight="false" outlineLevel="0" collapsed="false">
      <c r="A81" s="64" t="str">
        <f aca="false">'Ratings worksheet'!A81</f>
        <v>Kyrgyzstan</v>
      </c>
      <c r="B81" s="247" t="n">
        <f aca="false">C81</f>
        <v>0.1</v>
      </c>
      <c r="C81" s="0" t="n">
        <f aca="false">VLOOKUP(A81,$K$2:$L$226,2,FALSE())</f>
        <v>0.1</v>
      </c>
      <c r="E81" s="0" t="s">
        <v>220</v>
      </c>
      <c r="F81" s="91" t="n">
        <v>0.3062</v>
      </c>
      <c r="K81" s="0" t="s">
        <v>322</v>
      </c>
      <c r="L81" s="76" t="n">
        <v>0.2993</v>
      </c>
    </row>
    <row r="82" customFormat="false" ht="15.75" hidden="false" customHeight="false" outlineLevel="0" collapsed="false">
      <c r="A82" s="64" t="s">
        <v>222</v>
      </c>
      <c r="B82" s="247" t="n">
        <f aca="false">C82</f>
        <v>0.2</v>
      </c>
      <c r="C82" s="0" t="n">
        <f aca="false">VLOOKUP(A82,$K$2:$L$226,2,FALSE())</f>
        <v>0.2</v>
      </c>
      <c r="E82" s="0" t="s">
        <v>624</v>
      </c>
      <c r="F82" s="91" t="n">
        <v>0</v>
      </c>
      <c r="K82" s="0" t="s">
        <v>195</v>
      </c>
      <c r="L82" s="76" t="n">
        <v>0.25</v>
      </c>
    </row>
    <row r="83" customFormat="false" ht="15.75" hidden="false" customHeight="false" outlineLevel="0" collapsed="false">
      <c r="A83" s="64" t="str">
        <f aca="false">'Ratings worksheet'!A83</f>
        <v>Latvia</v>
      </c>
      <c r="B83" s="247" t="n">
        <f aca="false">C83</f>
        <v>0.2</v>
      </c>
      <c r="C83" s="0" t="n">
        <f aca="false">VLOOKUP(A83,$K$2:$L$226,2,FALSE())</f>
        <v>0.2</v>
      </c>
      <c r="E83" s="0" t="s">
        <v>304</v>
      </c>
      <c r="F83" s="91" t="n">
        <v>0.2</v>
      </c>
      <c r="K83" s="0" t="s">
        <v>476</v>
      </c>
      <c r="L83" s="76" t="n">
        <v>0.15</v>
      </c>
    </row>
    <row r="84" customFormat="false" ht="15.75" hidden="false" customHeight="false" outlineLevel="0" collapsed="false">
      <c r="A84" s="64" t="str">
        <f aca="false">'Ratings worksheet'!A84</f>
        <v>Lebanon</v>
      </c>
      <c r="B84" s="247" t="n">
        <f aca="false">C84</f>
        <v>0.17</v>
      </c>
      <c r="C84" s="0" t="n">
        <f aca="false">VLOOKUP(A84,$K$2:$L$226,2,FALSE())</f>
        <v>0.17</v>
      </c>
      <c r="E84" s="0" t="s">
        <v>284</v>
      </c>
      <c r="F84" s="91" t="n">
        <v>0.2</v>
      </c>
      <c r="K84" s="0" t="s">
        <v>323</v>
      </c>
      <c r="L84" s="76" t="n">
        <v>0.22</v>
      </c>
    </row>
    <row r="85" customFormat="false" ht="15.75" hidden="false" customHeight="false" outlineLevel="0" collapsed="false">
      <c r="A85" s="64" t="str">
        <f aca="false">'Ratings worksheet'!A85</f>
        <v>Liechtenstein</v>
      </c>
      <c r="B85" s="247" t="n">
        <f aca="false">C85</f>
        <v>0.125</v>
      </c>
      <c r="C85" s="0" t="n">
        <f aca="false">VLOOKUP(A85,$K$2:$L$226,2,FALSE())</f>
        <v>0.125</v>
      </c>
      <c r="E85" s="0" t="s">
        <v>196</v>
      </c>
      <c r="F85" s="91" t="n">
        <v>0.3</v>
      </c>
      <c r="K85" s="0" t="s">
        <v>477</v>
      </c>
      <c r="L85" s="76" t="n">
        <v>0.265</v>
      </c>
    </row>
    <row r="86" customFormat="false" ht="15.75" hidden="false" customHeight="false" outlineLevel="0" collapsed="false">
      <c r="A86" s="64" t="str">
        <f aca="false">'Ratings worksheet'!A86</f>
        <v>Lithuania</v>
      </c>
      <c r="B86" s="247" t="n">
        <f aca="false">C86</f>
        <v>0.15</v>
      </c>
      <c r="C86" s="0" t="n">
        <f aca="false">VLOOKUP(A86,$K$2:$L$226,2,FALSE())</f>
        <v>0.15</v>
      </c>
      <c r="E86" s="0" t="s">
        <v>625</v>
      </c>
      <c r="F86" s="91" t="n">
        <v>0.24</v>
      </c>
      <c r="K86" s="0" t="s">
        <v>478</v>
      </c>
      <c r="L86" s="76" t="n">
        <v>0.28</v>
      </c>
    </row>
    <row r="87" customFormat="false" ht="15.75" hidden="false" customHeight="false" outlineLevel="0" collapsed="false">
      <c r="A87" s="64" t="str">
        <f aca="false">'Ratings worksheet'!A87</f>
        <v>Luxembourg</v>
      </c>
      <c r="B87" s="247" t="n">
        <f aca="false">C87</f>
        <v>0.2494</v>
      </c>
      <c r="C87" s="0" t="n">
        <f aca="false">VLOOKUP(A87,$K$2:$L$226,2,FALSE())</f>
        <v>0.2494</v>
      </c>
      <c r="E87" s="0" t="s">
        <v>305</v>
      </c>
      <c r="F87" s="91" t="n">
        <v>0.15</v>
      </c>
      <c r="K87" s="0" t="s">
        <v>479</v>
      </c>
      <c r="L87" s="76" t="n">
        <v>0.21</v>
      </c>
    </row>
    <row r="88" customFormat="false" ht="15.75" hidden="false" customHeight="false" outlineLevel="0" collapsed="false">
      <c r="A88" s="64" t="str">
        <f aca="false">'Ratings worksheet'!A88</f>
        <v>Macao</v>
      </c>
      <c r="B88" s="247" t="n">
        <f aca="false">C88</f>
        <v>0.25</v>
      </c>
      <c r="C88" s="0" t="n">
        <v>0.25</v>
      </c>
      <c r="E88" s="0" t="s">
        <v>285</v>
      </c>
      <c r="F88" s="91" t="n">
        <v>0.1</v>
      </c>
      <c r="K88" s="0" t="s">
        <v>263</v>
      </c>
      <c r="L88" s="76" t="n">
        <v>0.25</v>
      </c>
    </row>
    <row r="89" customFormat="false" ht="15.75" hidden="false" customHeight="false" outlineLevel="0" collapsed="false">
      <c r="A89" s="64" t="str">
        <f aca="false">'Ratings worksheet'!A89</f>
        <v>Macedonia</v>
      </c>
      <c r="B89" s="247" t="n">
        <f aca="false">C89</f>
        <v>0.1</v>
      </c>
      <c r="C89" s="0" t="n">
        <f aca="false">VLOOKUP(A89,$K$2:$L$226,2,FALSE())</f>
        <v>0.1</v>
      </c>
      <c r="E89" s="0" t="s">
        <v>286</v>
      </c>
      <c r="F89" s="91" t="n">
        <v>0.2</v>
      </c>
      <c r="K89" s="0" t="s">
        <v>620</v>
      </c>
      <c r="L89" s="76" t="n">
        <v>0</v>
      </c>
    </row>
    <row r="90" customFormat="false" ht="15.75" hidden="false" customHeight="false" outlineLevel="0" collapsed="false">
      <c r="A90" s="64" t="s">
        <v>224</v>
      </c>
      <c r="B90" s="247" t="n">
        <f aca="false">C90</f>
        <v>0.24</v>
      </c>
      <c r="C90" s="0" t="n">
        <f aca="false">VLOOKUP(A90,$K$2:$L$226,2,FALSE())</f>
        <v>0.24</v>
      </c>
      <c r="E90" s="0" t="s">
        <v>306</v>
      </c>
      <c r="F90" s="91" t="n">
        <v>0.17</v>
      </c>
      <c r="K90" s="0" t="s">
        <v>480</v>
      </c>
      <c r="L90" s="76" t="n">
        <v>0.25</v>
      </c>
    </row>
    <row r="91" customFormat="false" ht="15.75" hidden="false" customHeight="false" outlineLevel="0" collapsed="false">
      <c r="A91" s="64" t="str">
        <f aca="false">'Ratings worksheet'!A91</f>
        <v>Maldives</v>
      </c>
      <c r="B91" s="247" t="n">
        <f aca="false">C91</f>
        <v>0.15</v>
      </c>
      <c r="C91" s="0" t="n">
        <f aca="false">VLOOKUP(A91,$K$2:$L$226,2,FALSE())</f>
        <v>0.15</v>
      </c>
      <c r="E91" s="0" t="s">
        <v>505</v>
      </c>
      <c r="F91" s="91" t="n">
        <v>0.24</v>
      </c>
      <c r="K91" s="0" t="s">
        <v>481</v>
      </c>
      <c r="L91" s="76" t="n">
        <v>0.25</v>
      </c>
    </row>
    <row r="92" customFormat="false" ht="15.75" hidden="false" customHeight="false" outlineLevel="0" collapsed="false">
      <c r="A92" s="64" t="s">
        <v>197</v>
      </c>
      <c r="B92" s="247" t="n">
        <f aca="false">C92</f>
        <v>0.3</v>
      </c>
      <c r="C92" s="0" t="n">
        <f aca="false">VLOOKUP(A92,$K$2:$L$226,2,FALSE())</f>
        <v>0.3</v>
      </c>
      <c r="E92" s="0" t="s">
        <v>330</v>
      </c>
      <c r="F92" s="91" t="n">
        <v>0.125</v>
      </c>
      <c r="K92" s="0" t="s">
        <v>482</v>
      </c>
      <c r="L92" s="76" t="n">
        <v>0.25</v>
      </c>
    </row>
    <row r="93" customFormat="false" ht="15.75" hidden="false" customHeight="false" outlineLevel="0" collapsed="false">
      <c r="A93" s="64" t="s">
        <v>332</v>
      </c>
      <c r="B93" s="247" t="n">
        <f aca="false">C93</f>
        <v>0.35</v>
      </c>
      <c r="C93" s="0" t="n">
        <f aca="false">VLOOKUP(A93,$K$2:$L$226,2,FALSE())</f>
        <v>0.35</v>
      </c>
      <c r="E93" s="0" t="s">
        <v>287</v>
      </c>
      <c r="F93" s="91" t="n">
        <v>0.15</v>
      </c>
      <c r="K93" s="0" t="s">
        <v>483</v>
      </c>
      <c r="L93" s="76" t="n">
        <v>0.3</v>
      </c>
    </row>
    <row r="94" customFormat="false" ht="15.75" hidden="false" customHeight="false" outlineLevel="0" collapsed="false">
      <c r="A94" s="64" t="str">
        <f aca="false">'Ratings worksheet'!A94</f>
        <v>Mauritius</v>
      </c>
      <c r="B94" s="247" t="n">
        <f aca="false">C94</f>
        <v>0.15</v>
      </c>
      <c r="C94" s="0" t="n">
        <f aca="false">VLOOKUP(A94,$K$2:$L$226,2,FALSE())</f>
        <v>0.15</v>
      </c>
      <c r="E94" s="0" t="s">
        <v>331</v>
      </c>
      <c r="F94" s="91" t="n">
        <v>0.2494</v>
      </c>
      <c r="K94" s="0" t="s">
        <v>264</v>
      </c>
      <c r="L94" s="76" t="n">
        <v>0.3</v>
      </c>
    </row>
    <row r="95" customFormat="false" ht="15.75" hidden="false" customHeight="false" outlineLevel="0" collapsed="false">
      <c r="A95" s="64" t="str">
        <f aca="false">'Ratings worksheet'!A95</f>
        <v>Mexico</v>
      </c>
      <c r="B95" s="247" t="n">
        <f aca="false">C95</f>
        <v>0.3</v>
      </c>
      <c r="C95" s="0" t="n">
        <f aca="false">VLOOKUP(A95,$K$2:$L$226,2,FALSE())</f>
        <v>0.3</v>
      </c>
      <c r="E95" s="0" t="s">
        <v>594</v>
      </c>
      <c r="F95" s="91" t="n">
        <v>0.12</v>
      </c>
      <c r="K95" s="0" t="s">
        <v>283</v>
      </c>
      <c r="L95" s="76" t="n">
        <v>0.09</v>
      </c>
    </row>
    <row r="96" customFormat="false" ht="15.75" hidden="false" customHeight="false" outlineLevel="0" collapsed="false">
      <c r="A96" s="64" t="str">
        <f aca="false">'Ratings worksheet'!A96</f>
        <v>Moldova</v>
      </c>
      <c r="B96" s="247" t="n">
        <f aca="false">C96</f>
        <v>0.12</v>
      </c>
      <c r="C96" s="0" t="n">
        <f aca="false">VLOOKUP(A96,$K$2:$L$226,2,FALSE())</f>
        <v>0.12</v>
      </c>
      <c r="E96" s="0" t="s">
        <v>288</v>
      </c>
      <c r="F96" s="91" t="n">
        <v>0.1</v>
      </c>
      <c r="K96" s="0" t="s">
        <v>325</v>
      </c>
      <c r="L96" s="76" t="n">
        <v>0.21</v>
      </c>
    </row>
    <row r="97" customFormat="false" ht="15.75" hidden="false" customHeight="false" outlineLevel="0" collapsed="false">
      <c r="A97" s="64" t="str">
        <f aca="false">'Ratings worksheet'!A97</f>
        <v>Mongolia</v>
      </c>
      <c r="B97" s="247" t="n">
        <f aca="false">C97</f>
        <v>0.25</v>
      </c>
      <c r="C97" s="0" t="n">
        <f aca="false">VLOOKUP(A97,$K$2:$L$226,2,FALSE())</f>
        <v>0.25</v>
      </c>
      <c r="E97" s="0" t="s">
        <v>510</v>
      </c>
      <c r="F97" s="91" t="n">
        <v>0.2</v>
      </c>
      <c r="K97" s="0" t="s">
        <v>218</v>
      </c>
      <c r="L97" s="76" t="n">
        <v>0.3</v>
      </c>
    </row>
    <row r="98" customFormat="false" ht="15.75" hidden="false" customHeight="false" outlineLevel="0" collapsed="false">
      <c r="A98" s="64" t="str">
        <f aca="false">'Ratings worksheet'!A98</f>
        <v>Montenegro</v>
      </c>
      <c r="B98" s="247" t="n">
        <f aca="false">C98</f>
        <v>0.15</v>
      </c>
      <c r="C98" s="0" t="n">
        <f aca="false">VLOOKUP(A98,$K$2:$L$226,2,FALSE())</f>
        <v>0.15</v>
      </c>
      <c r="E98" s="0" t="s">
        <v>511</v>
      </c>
      <c r="F98" s="91" t="n">
        <v>0.3</v>
      </c>
      <c r="K98" s="0" t="s">
        <v>219</v>
      </c>
      <c r="L98" s="76" t="n">
        <v>0.22</v>
      </c>
    </row>
    <row r="99" customFormat="false" ht="15.75" hidden="false" customHeight="false" outlineLevel="0" collapsed="false">
      <c r="A99" s="64" t="str">
        <f aca="false">'Ratings worksheet'!A99</f>
        <v>Montserrat</v>
      </c>
      <c r="B99" s="247" t="n">
        <f aca="false">C99</f>
        <v>0.3</v>
      </c>
      <c r="C99" s="0" t="n">
        <f aca="false">VLOOKUP(A99,$K$2:$L$226,2,FALSE())</f>
        <v>0.3</v>
      </c>
      <c r="E99" s="0" t="s">
        <v>224</v>
      </c>
      <c r="F99" s="91" t="n">
        <v>0.24</v>
      </c>
      <c r="K99" s="0" t="s">
        <v>523</v>
      </c>
      <c r="L99" s="76" t="n">
        <v>0.25</v>
      </c>
    </row>
    <row r="100" customFormat="false" ht="15.75" hidden="false" customHeight="false" outlineLevel="0" collapsed="false">
      <c r="A100" s="64" t="str">
        <f aca="false">'Ratings worksheet'!A100</f>
        <v>Morocco</v>
      </c>
      <c r="B100" s="247" t="n">
        <f aca="false">C100</f>
        <v>0.33</v>
      </c>
      <c r="C100" s="0" t="n">
        <f aca="false">VLOOKUP(A100,$K$2:$L$226,2,FALSE())</f>
        <v>0.33</v>
      </c>
      <c r="E100" s="0" t="s">
        <v>332</v>
      </c>
      <c r="F100" s="91" t="n">
        <v>0.35</v>
      </c>
      <c r="K100" s="0" t="s">
        <v>302</v>
      </c>
      <c r="L100" s="76" t="n">
        <v>0.15</v>
      </c>
    </row>
    <row r="101" customFormat="false" ht="15.75" hidden="false" customHeight="false" outlineLevel="0" collapsed="false">
      <c r="A101" s="64" t="str">
        <f aca="false">'Ratings worksheet'!A101</f>
        <v>Mozambique</v>
      </c>
      <c r="B101" s="247" t="n">
        <f aca="false">C101</f>
        <v>0.32</v>
      </c>
      <c r="C101" s="0" t="n">
        <f aca="false">VLOOKUP(A101,$K$2:$L$226,2,FALSE())</f>
        <v>0.32</v>
      </c>
      <c r="E101" s="0" t="s">
        <v>514</v>
      </c>
      <c r="F101" s="91" t="n">
        <v>0.25</v>
      </c>
      <c r="K101" s="0" t="s">
        <v>326</v>
      </c>
      <c r="L101" s="76" t="n">
        <v>0.125</v>
      </c>
    </row>
    <row r="102" customFormat="false" ht="15.75" hidden="false" customHeight="false" outlineLevel="0" collapsed="false">
      <c r="A102" s="64" t="str">
        <f aca="false">'Ratings worksheet'!A102</f>
        <v>Namibia</v>
      </c>
      <c r="B102" s="247" t="n">
        <f aca="false">C102</f>
        <v>0.32</v>
      </c>
      <c r="C102" s="0" t="n">
        <f aca="false">VLOOKUP(A102,$K$2:$L$226,2,FALSE())</f>
        <v>0.32</v>
      </c>
      <c r="E102" s="0" t="s">
        <v>198</v>
      </c>
      <c r="F102" s="91" t="n">
        <v>0.15</v>
      </c>
      <c r="K102" s="0" t="s">
        <v>327</v>
      </c>
      <c r="L102" s="76" t="n">
        <v>0</v>
      </c>
    </row>
    <row r="103" customFormat="false" ht="15.75" hidden="false" customHeight="false" outlineLevel="0" collapsed="false">
      <c r="A103" s="64" t="s">
        <v>227</v>
      </c>
      <c r="B103" s="247" t="n">
        <f aca="false">C103</f>
        <v>0.25</v>
      </c>
      <c r="C103" s="0" t="n">
        <f aca="false">VLOOKUP(A103,$K$2:$L$226,2,FALSE())</f>
        <v>0.25</v>
      </c>
      <c r="E103" s="0" t="s">
        <v>265</v>
      </c>
      <c r="F103" s="91" t="n">
        <v>0.3</v>
      </c>
      <c r="K103" s="0" t="s">
        <v>303</v>
      </c>
      <c r="L103" s="76" t="n">
        <v>0.23</v>
      </c>
    </row>
    <row r="104" customFormat="false" ht="15.75" hidden="false" customHeight="false" outlineLevel="0" collapsed="false">
      <c r="A104" s="64" t="str">
        <f aca="false">'Ratings worksheet'!A104</f>
        <v>Netherlands</v>
      </c>
      <c r="B104" s="247" t="n">
        <f aca="false">C104</f>
        <v>0.258</v>
      </c>
      <c r="C104" s="0" t="n">
        <f aca="false">VLOOKUP(A104,$K$2:$L$226,2,FALSE())</f>
        <v>0.258</v>
      </c>
      <c r="E104" s="0" t="s">
        <v>289</v>
      </c>
      <c r="F104" s="91" t="n">
        <v>0.12</v>
      </c>
      <c r="K104" s="0" t="s">
        <v>328</v>
      </c>
      <c r="L104" s="76" t="n">
        <v>0.2781</v>
      </c>
    </row>
    <row r="105" customFormat="false" ht="15.75" hidden="false" customHeight="false" outlineLevel="0" collapsed="false">
      <c r="A105" s="64" t="str">
        <f aca="false">'Ratings worksheet'!A105</f>
        <v>New Zealand</v>
      </c>
      <c r="B105" s="247" t="n">
        <f aca="false">C105</f>
        <v>0.28</v>
      </c>
      <c r="C105" s="0" t="n">
        <f aca="false">VLOOKUP(A105,$K$2:$L$226,2,FALSE())</f>
        <v>0.28</v>
      </c>
      <c r="E105" s="0" t="s">
        <v>522</v>
      </c>
      <c r="F105" s="91" t="n">
        <v>0.33</v>
      </c>
      <c r="K105" s="0" t="s">
        <v>248</v>
      </c>
      <c r="L105" s="76" t="n">
        <v>0.25</v>
      </c>
    </row>
    <row r="106" customFormat="false" ht="15.75" hidden="false" customHeight="false" outlineLevel="0" collapsed="false">
      <c r="A106" s="64" t="str">
        <f aca="false">'Ratings worksheet'!A106</f>
        <v>Nicaragua</v>
      </c>
      <c r="B106" s="247" t="n">
        <f aca="false">C106</f>
        <v>0.3</v>
      </c>
      <c r="C106" s="0" t="n">
        <f aca="false">VLOOKUP(A106,$K$2:$L$226,2,FALSE())</f>
        <v>0.3</v>
      </c>
      <c r="E106" s="0" t="s">
        <v>226</v>
      </c>
      <c r="F106" s="91" t="n">
        <v>0.25</v>
      </c>
      <c r="K106" s="0" t="s">
        <v>220</v>
      </c>
      <c r="L106" s="76" t="n">
        <v>0.2974</v>
      </c>
    </row>
    <row r="107" customFormat="false" ht="15.75" hidden="false" customHeight="false" outlineLevel="0" collapsed="false">
      <c r="A107" s="64" t="s">
        <v>202</v>
      </c>
      <c r="B107" s="247" t="n">
        <f aca="false">C107</f>
        <v>0.3</v>
      </c>
      <c r="C107" s="0" t="n">
        <f aca="false">VLOOKUP(A107,$K$2:$L$226,2,FALSE())</f>
        <v>0.3</v>
      </c>
      <c r="E107" s="0" t="s">
        <v>290</v>
      </c>
      <c r="F107" s="91" t="n">
        <v>0.15</v>
      </c>
      <c r="K107" s="0" t="s">
        <v>624</v>
      </c>
      <c r="L107" s="76" t="n">
        <v>0</v>
      </c>
    </row>
    <row r="108" customFormat="false" ht="15.75" hidden="false" customHeight="false" outlineLevel="0" collapsed="false">
      <c r="A108" s="64" t="str">
        <f aca="false">'Ratings worksheet'!A108</f>
        <v>Nigeria</v>
      </c>
      <c r="B108" s="247" t="n">
        <f aca="false">C108</f>
        <v>0.3</v>
      </c>
      <c r="C108" s="0" t="n">
        <f aca="false">VLOOKUP(A108,$K$2:$L$226,2,FALSE())</f>
        <v>0.3</v>
      </c>
      <c r="E108" s="0" t="s">
        <v>199</v>
      </c>
      <c r="F108" s="91" t="n">
        <v>0.32</v>
      </c>
      <c r="K108" s="0" t="s">
        <v>304</v>
      </c>
      <c r="L108" s="76" t="n">
        <v>0.2</v>
      </c>
    </row>
    <row r="109" customFormat="false" ht="15.75" hidden="false" customHeight="false" outlineLevel="0" collapsed="false">
      <c r="A109" s="64" t="str">
        <f aca="false">'Ratings worksheet'!A109</f>
        <v>Norway</v>
      </c>
      <c r="B109" s="247" t="n">
        <f aca="false">C109</f>
        <v>0.22</v>
      </c>
      <c r="C109" s="0" t="n">
        <f aca="false">VLOOKUP(A109,$K$2:$L$226,2,FALSE())</f>
        <v>0.22</v>
      </c>
      <c r="E109" s="0" t="s">
        <v>200</v>
      </c>
      <c r="F109" s="91" t="n">
        <v>0.32</v>
      </c>
      <c r="K109" s="0" t="s">
        <v>284</v>
      </c>
      <c r="L109" s="76" t="n">
        <v>0.2</v>
      </c>
    </row>
    <row r="110" customFormat="false" ht="15.75" hidden="false" customHeight="false" outlineLevel="0" collapsed="false">
      <c r="A110" s="64" t="str">
        <f aca="false">'Ratings worksheet'!A110</f>
        <v>Oman</v>
      </c>
      <c r="B110" s="247" t="n">
        <f aca="false">C110</f>
        <v>0.15</v>
      </c>
      <c r="C110" s="0" t="n">
        <f aca="false">VLOOKUP(A110,$K$2:$L$226,2,FALSE())</f>
        <v>0.15</v>
      </c>
      <c r="E110" s="0" t="s">
        <v>525</v>
      </c>
      <c r="F110" s="91" t="n">
        <v>0.22</v>
      </c>
      <c r="K110" s="0" t="s">
        <v>196</v>
      </c>
      <c r="L110" s="76" t="n">
        <v>0.3</v>
      </c>
    </row>
    <row r="111" customFormat="false" ht="15.75" hidden="false" customHeight="false" outlineLevel="0" collapsed="false">
      <c r="A111" s="64" t="str">
        <f aca="false">'Ratings worksheet'!A111</f>
        <v>Pakistan</v>
      </c>
      <c r="B111" s="247" t="n">
        <f aca="false">C111</f>
        <v>0.29</v>
      </c>
      <c r="C111" s="0" t="n">
        <f aca="false">VLOOKUP(A111,$K$2:$L$226,2,FALSE())</f>
        <v>0.29</v>
      </c>
      <c r="E111" s="0" t="s">
        <v>201</v>
      </c>
      <c r="F111" s="91" t="n">
        <v>0.32</v>
      </c>
      <c r="K111" s="0" t="s">
        <v>493</v>
      </c>
      <c r="L111" s="76" t="n">
        <v>0.3</v>
      </c>
    </row>
    <row r="112" customFormat="false" ht="15.75" hidden="false" customHeight="false" outlineLevel="0" collapsed="false">
      <c r="A112" s="64" t="str">
        <f aca="false">'Ratings worksheet'!A112</f>
        <v>Panama</v>
      </c>
      <c r="B112" s="247" t="n">
        <f aca="false">C112</f>
        <v>0.25</v>
      </c>
      <c r="C112" s="0" t="n">
        <f aca="false">VLOOKUP(A112,$K$2:$L$226,2,FALSE())</f>
        <v>0.25</v>
      </c>
      <c r="E112" s="0" t="s">
        <v>227</v>
      </c>
      <c r="F112" s="91" t="n">
        <v>0.25</v>
      </c>
      <c r="K112" s="0" t="s">
        <v>221</v>
      </c>
      <c r="L112" s="76" t="n">
        <v>0.264</v>
      </c>
    </row>
    <row r="113" customFormat="false" ht="15.75" hidden="false" customHeight="false" outlineLevel="0" collapsed="false">
      <c r="A113" s="64" t="str">
        <f aca="false">'Ratings worksheet'!A113</f>
        <v>Papua New Guinea</v>
      </c>
      <c r="B113" s="247" t="n">
        <f aca="false">C113</f>
        <v>0.3</v>
      </c>
      <c r="C113" s="0" t="n">
        <f aca="false">VLOOKUP(A113,$K$2:$L$226,2,FALSE())</f>
        <v>0.3</v>
      </c>
      <c r="E113" s="0" t="s">
        <v>333</v>
      </c>
      <c r="F113" s="91" t="n">
        <v>0.258</v>
      </c>
      <c r="K113" s="251" t="s">
        <v>496</v>
      </c>
      <c r="L113" s="76" t="n">
        <v>0.1</v>
      </c>
    </row>
    <row r="114" customFormat="false" ht="15.75" hidden="false" customHeight="false" outlineLevel="0" collapsed="false">
      <c r="A114" s="64" t="str">
        <f aca="false">'Ratings worksheet'!A114</f>
        <v>Paraguay</v>
      </c>
      <c r="B114" s="247" t="n">
        <f aca="false">C114</f>
        <v>0.1</v>
      </c>
      <c r="C114" s="0" t="n">
        <f aca="false">VLOOKUP(A114,$K$2:$L$226,2,FALSE())</f>
        <v>0.1</v>
      </c>
      <c r="E114" s="0" t="s">
        <v>239</v>
      </c>
      <c r="F114" s="91" t="n">
        <v>0.28</v>
      </c>
      <c r="K114" s="0" t="s">
        <v>305</v>
      </c>
      <c r="L114" s="76" t="n">
        <v>0.15</v>
      </c>
    </row>
    <row r="115" customFormat="false" ht="15.75" hidden="false" customHeight="false" outlineLevel="0" collapsed="false">
      <c r="A115" s="64" t="str">
        <f aca="false">'Ratings worksheet'!A115</f>
        <v>Peru</v>
      </c>
      <c r="B115" s="247" t="n">
        <f aca="false">C115</f>
        <v>0.295</v>
      </c>
      <c r="C115" s="0" t="n">
        <f aca="false">VLOOKUP(A115,$K$2:$L$226,2,FALSE())</f>
        <v>0.295</v>
      </c>
      <c r="E115" s="0" t="s">
        <v>266</v>
      </c>
      <c r="F115" s="91" t="n">
        <v>0.3</v>
      </c>
      <c r="K115" s="0" t="s">
        <v>285</v>
      </c>
      <c r="L115" s="76" t="n">
        <v>0.1</v>
      </c>
    </row>
    <row r="116" customFormat="false" ht="15.75" hidden="false" customHeight="false" outlineLevel="0" collapsed="false">
      <c r="A116" s="64" t="str">
        <f aca="false">'Ratings worksheet'!A116</f>
        <v>Philippines</v>
      </c>
      <c r="B116" s="247" t="n">
        <f aca="false">C116</f>
        <v>0.25</v>
      </c>
      <c r="C116" s="0" t="n">
        <f aca="false">VLOOKUP(A116,$K$2:$L$226,2,FALSE())</f>
        <v>0.25</v>
      </c>
      <c r="E116" s="0" t="s">
        <v>203</v>
      </c>
      <c r="F116" s="91" t="n">
        <v>0.3</v>
      </c>
      <c r="K116" s="0" t="s">
        <v>222</v>
      </c>
      <c r="L116" s="76" t="n">
        <v>0.2</v>
      </c>
    </row>
    <row r="117" customFormat="false" ht="15.75" hidden="false" customHeight="false" outlineLevel="0" collapsed="false">
      <c r="A117" s="64" t="str">
        <f aca="false">'Ratings worksheet'!A117</f>
        <v>Poland</v>
      </c>
      <c r="B117" s="247" t="n">
        <f aca="false">C117</f>
        <v>0.19</v>
      </c>
      <c r="C117" s="0" t="n">
        <f aca="false">VLOOKUP(A117,$K$2:$L$226,2,FALSE())</f>
        <v>0.19</v>
      </c>
      <c r="E117" s="0" t="s">
        <v>334</v>
      </c>
      <c r="F117" s="91" t="n">
        <v>0.22</v>
      </c>
      <c r="K117" s="0" t="s">
        <v>286</v>
      </c>
      <c r="L117" s="76" t="n">
        <v>0.2</v>
      </c>
    </row>
    <row r="118" customFormat="false" ht="15.75" hidden="false" customHeight="false" outlineLevel="0" collapsed="false">
      <c r="A118" s="64" t="str">
        <f aca="false">'Ratings worksheet'!A118</f>
        <v>Portugal</v>
      </c>
      <c r="B118" s="247" t="n">
        <f aca="false">C118</f>
        <v>0.315</v>
      </c>
      <c r="C118" s="0" t="n">
        <f aca="false">VLOOKUP(A118,$K$2:$L$226,2,FALSE())</f>
        <v>0.315</v>
      </c>
      <c r="E118" s="0" t="s">
        <v>307</v>
      </c>
      <c r="F118" s="91" t="n">
        <v>0.15</v>
      </c>
      <c r="K118" s="0" t="s">
        <v>306</v>
      </c>
      <c r="L118" s="76" t="n">
        <v>0.17</v>
      </c>
    </row>
    <row r="119" customFormat="false" ht="15.75" hidden="false" customHeight="false" outlineLevel="0" collapsed="false">
      <c r="A119" s="64" t="str">
        <f aca="false">'Ratings worksheet'!A119</f>
        <v>Qatar</v>
      </c>
      <c r="B119" s="247" t="n">
        <f aca="false">C119</f>
        <v>0.1</v>
      </c>
      <c r="C119" s="0" t="n">
        <f aca="false">VLOOKUP(A119,$K$2:$L$226,2,FALSE())</f>
        <v>0.1</v>
      </c>
      <c r="E119" s="0" t="s">
        <v>228</v>
      </c>
      <c r="F119" s="91" t="n">
        <v>0.29</v>
      </c>
      <c r="K119" s="0" t="s">
        <v>503</v>
      </c>
      <c r="L119" s="76" t="n">
        <v>0.25</v>
      </c>
    </row>
    <row r="120" customFormat="false" ht="15.75" hidden="false" customHeight="false" outlineLevel="0" collapsed="false">
      <c r="A120" s="64" t="str">
        <f aca="false">'Ratings worksheet'!A120</f>
        <v>Ras Al Khaimah (Emirate of)</v>
      </c>
      <c r="B120" s="247" t="n">
        <f aca="false">C120</f>
        <v>0.1894</v>
      </c>
      <c r="C120" s="76" t="n">
        <v>0.1894</v>
      </c>
      <c r="E120" s="0" t="s">
        <v>626</v>
      </c>
      <c r="F120" s="91" t="n">
        <v>0.15</v>
      </c>
      <c r="K120" s="0" t="s">
        <v>504</v>
      </c>
      <c r="L120" s="76" t="n">
        <v>0.25</v>
      </c>
    </row>
    <row r="121" customFormat="false" ht="15.75" hidden="false" customHeight="false" outlineLevel="0" collapsed="false">
      <c r="A121" s="64" t="str">
        <f aca="false">'Ratings worksheet'!A121</f>
        <v>Romania</v>
      </c>
      <c r="B121" s="247" t="n">
        <f aca="false">C121</f>
        <v>0.16</v>
      </c>
      <c r="C121" s="0" t="n">
        <f aca="false">VLOOKUP(A121,$K$2:$L$226,2,FALSE())</f>
        <v>0.16</v>
      </c>
      <c r="E121" s="0" t="s">
        <v>267</v>
      </c>
      <c r="F121" s="91" t="n">
        <v>0.25</v>
      </c>
      <c r="K121" s="0" t="s">
        <v>505</v>
      </c>
      <c r="L121" s="76" t="n">
        <v>0.2</v>
      </c>
    </row>
    <row r="122" customFormat="false" ht="15.75" hidden="false" customHeight="false" outlineLevel="0" collapsed="false">
      <c r="A122" s="64" t="str">
        <f aca="false">'Ratings worksheet'!A122</f>
        <v>Russia</v>
      </c>
      <c r="B122" s="247" t="n">
        <f aca="false">C122</f>
        <v>0.2</v>
      </c>
      <c r="C122" s="0" t="n">
        <f aca="false">VLOOKUP(A122,$K$2:$L$226,2,FALSE())</f>
        <v>0.2</v>
      </c>
      <c r="E122" s="0" t="s">
        <v>229</v>
      </c>
      <c r="F122" s="91" t="n">
        <v>0.3</v>
      </c>
      <c r="K122" s="0" t="s">
        <v>330</v>
      </c>
      <c r="L122" s="76" t="n">
        <v>0.125</v>
      </c>
    </row>
    <row r="123" customFormat="false" ht="15.75" hidden="false" customHeight="false" outlineLevel="0" collapsed="false">
      <c r="A123" s="64" t="str">
        <f aca="false">'Ratings worksheet'!A123</f>
        <v>Rwanda</v>
      </c>
      <c r="B123" s="247" t="n">
        <f aca="false">C123</f>
        <v>0.28</v>
      </c>
      <c r="C123" s="0" t="n">
        <f aca="false">VLOOKUP(A123,$K$2:$L$226,2,FALSE())</f>
        <v>0.28</v>
      </c>
      <c r="E123" s="0" t="s">
        <v>268</v>
      </c>
      <c r="F123" s="91" t="n">
        <v>0.1</v>
      </c>
      <c r="K123" s="0" t="s">
        <v>287</v>
      </c>
      <c r="L123" s="76" t="n">
        <v>0.15</v>
      </c>
    </row>
    <row r="124" customFormat="false" ht="15.75" hidden="false" customHeight="false" outlineLevel="0" collapsed="false">
      <c r="A124" s="64" t="str">
        <f aca="false">'Ratings worksheet'!A124</f>
        <v>Saudi Arabia</v>
      </c>
      <c r="B124" s="247" t="n">
        <f aca="false">C124</f>
        <v>0.2</v>
      </c>
      <c r="C124" s="0" t="n">
        <f aca="false">VLOOKUP(A124,$K$2:$L$226,2,FALSE())</f>
        <v>0.2</v>
      </c>
      <c r="E124" s="0" t="s">
        <v>269</v>
      </c>
      <c r="F124" s="91" t="n">
        <v>0.295</v>
      </c>
      <c r="K124" s="0" t="s">
        <v>331</v>
      </c>
      <c r="L124" s="76" t="n">
        <v>0.2494</v>
      </c>
    </row>
    <row r="125" customFormat="false" ht="15.75" hidden="false" customHeight="false" outlineLevel="0" collapsed="false">
      <c r="A125" s="64" t="str">
        <f aca="false">'Ratings worksheet'!A125</f>
        <v>Senegal</v>
      </c>
      <c r="B125" s="247" t="n">
        <f aca="false">C125</f>
        <v>0.3</v>
      </c>
      <c r="C125" s="0" t="n">
        <f aca="false">VLOOKUP(A125,$K$2:$L$226,2,FALSE())</f>
        <v>0.3</v>
      </c>
      <c r="E125" s="0" t="s">
        <v>230</v>
      </c>
      <c r="F125" s="91" t="n">
        <v>0.25</v>
      </c>
      <c r="K125" s="0" t="s">
        <v>288</v>
      </c>
      <c r="L125" s="76" t="n">
        <v>0.1</v>
      </c>
    </row>
    <row r="126" customFormat="false" ht="15.75" hidden="false" customHeight="false" outlineLevel="0" collapsed="false">
      <c r="A126" s="64" t="str">
        <f aca="false">'Ratings worksheet'!A126</f>
        <v>Serbia</v>
      </c>
      <c r="B126" s="247" t="n">
        <f aca="false">C126</f>
        <v>0.15</v>
      </c>
      <c r="C126" s="0" t="n">
        <f aca="false">VLOOKUP(A126,$K$2:$L$226,2,FALSE())</f>
        <v>0.15</v>
      </c>
      <c r="E126" s="0" t="s">
        <v>291</v>
      </c>
      <c r="F126" s="91" t="n">
        <v>0.19</v>
      </c>
      <c r="K126" s="0" t="s">
        <v>510</v>
      </c>
      <c r="L126" s="76" t="n">
        <v>0.2</v>
      </c>
    </row>
    <row r="127" customFormat="false" ht="15.75" hidden="false" customHeight="false" outlineLevel="0" collapsed="false">
      <c r="A127" s="64" t="str">
        <f aca="false">'Ratings worksheet'!A127</f>
        <v>Sharjah</v>
      </c>
      <c r="B127" s="247" t="n">
        <f aca="false">C127</f>
        <v>0.1894</v>
      </c>
      <c r="C127" s="76" t="n">
        <v>0.1894</v>
      </c>
      <c r="E127" s="0" t="s">
        <v>335</v>
      </c>
      <c r="F127" s="91" t="n">
        <v>0.21</v>
      </c>
      <c r="K127" s="0" t="s">
        <v>511</v>
      </c>
      <c r="L127" s="76" t="n">
        <v>0.3</v>
      </c>
    </row>
    <row r="128" customFormat="false" ht="15.75" hidden="false" customHeight="false" outlineLevel="0" collapsed="false">
      <c r="A128" s="64" t="str">
        <f aca="false">'Ratings worksheet'!A128</f>
        <v>Singapore</v>
      </c>
      <c r="B128" s="247" t="n">
        <f aca="false">C128</f>
        <v>0.17</v>
      </c>
      <c r="C128" s="0" t="n">
        <f aca="false">VLOOKUP(A128,$K$2:$L$226,2,FALSE())</f>
        <v>0.17</v>
      </c>
      <c r="E128" s="0" t="s">
        <v>308</v>
      </c>
      <c r="F128" s="91" t="n">
        <v>0.1</v>
      </c>
      <c r="K128" s="0" t="s">
        <v>224</v>
      </c>
      <c r="L128" s="76" t="n">
        <v>0.24</v>
      </c>
    </row>
    <row r="129" customFormat="false" ht="15.75" hidden="false" customHeight="false" outlineLevel="0" collapsed="false">
      <c r="A129" s="64" t="str">
        <f aca="false">'Ratings worksheet'!A129</f>
        <v>Slovakia</v>
      </c>
      <c r="B129" s="247" t="n">
        <f aca="false">C129</f>
        <v>0.21</v>
      </c>
      <c r="C129" s="0" t="n">
        <f aca="false">VLOOKUP(A129,$K$2:$L$226,2,FALSE())</f>
        <v>0.21</v>
      </c>
      <c r="E129" s="0" t="s">
        <v>292</v>
      </c>
      <c r="F129" s="91" t="n">
        <v>0.16</v>
      </c>
      <c r="K129" s="0" t="s">
        <v>225</v>
      </c>
      <c r="L129" s="76" t="n">
        <v>0.15</v>
      </c>
    </row>
    <row r="130" customFormat="false" ht="15.75" hidden="false" customHeight="false" outlineLevel="0" collapsed="false">
      <c r="A130" s="64" t="s">
        <v>295</v>
      </c>
      <c r="B130" s="247" t="n">
        <f aca="false">C130</f>
        <v>0.22</v>
      </c>
      <c r="C130" s="0" t="n">
        <f aca="false">VLOOKUP(A130,$K$2:$L$226,2,FALSE())</f>
        <v>0.22</v>
      </c>
      <c r="E130" s="0" t="s">
        <v>404</v>
      </c>
      <c r="F130" s="91" t="n">
        <v>0.2</v>
      </c>
      <c r="K130" s="0" t="s">
        <v>197</v>
      </c>
      <c r="L130" s="76" t="n">
        <v>0.3</v>
      </c>
    </row>
    <row r="131" customFormat="false" ht="15.75" hidden="false" customHeight="false" outlineLevel="0" collapsed="false">
      <c r="A131" s="64" t="str">
        <f aca="false">'Ratings worksheet'!A131</f>
        <v>Solomon Islands</v>
      </c>
      <c r="B131" s="247" t="n">
        <f aca="false">C131</f>
        <v>0.3</v>
      </c>
      <c r="C131" s="0" t="n">
        <f aca="false">VLOOKUP(A131,$K$2:$L$226,2,FALSE())</f>
        <v>0.3</v>
      </c>
      <c r="E131" s="0" t="s">
        <v>204</v>
      </c>
      <c r="F131" s="91" t="n">
        <v>0.3</v>
      </c>
      <c r="K131" s="0" t="s">
        <v>332</v>
      </c>
      <c r="L131" s="76" t="n">
        <v>0.35</v>
      </c>
    </row>
    <row r="132" customFormat="false" ht="15.75" hidden="false" customHeight="false" outlineLevel="0" collapsed="false">
      <c r="A132" s="64" t="str">
        <f aca="false">'Ratings worksheet'!A132</f>
        <v>South Africa</v>
      </c>
      <c r="B132" s="247" t="n">
        <f aca="false">C132</f>
        <v>0.27</v>
      </c>
      <c r="C132" s="0" t="n">
        <f aca="false">VLOOKUP(A132,$K$2:$L$226,2,FALSE())</f>
        <v>0.27</v>
      </c>
      <c r="E132" s="0" t="s">
        <v>627</v>
      </c>
      <c r="F132" s="91" t="n">
        <v>0.33</v>
      </c>
      <c r="K132" s="0" t="s">
        <v>514</v>
      </c>
      <c r="L132" s="76" t="n">
        <v>0.25</v>
      </c>
    </row>
    <row r="133" customFormat="false" ht="15.75" hidden="false" customHeight="false" outlineLevel="0" collapsed="false">
      <c r="A133" s="64" t="str">
        <f aca="false">'Ratings worksheet'!A133</f>
        <v>Spain</v>
      </c>
      <c r="B133" s="247" t="n">
        <f aca="false">C133</f>
        <v>0.25</v>
      </c>
      <c r="C133" s="0" t="n">
        <f aca="false">VLOOKUP(A133,$K$2:$L$226,2,FALSE())</f>
        <v>0.25</v>
      </c>
      <c r="E133" s="0" t="s">
        <v>628</v>
      </c>
      <c r="F133" s="91" t="n">
        <v>0.3</v>
      </c>
      <c r="K133" s="0" t="s">
        <v>198</v>
      </c>
      <c r="L133" s="76" t="n">
        <v>0.15</v>
      </c>
    </row>
    <row r="134" customFormat="false" ht="15.75" hidden="false" customHeight="false" outlineLevel="0" collapsed="false">
      <c r="A134" s="64" t="str">
        <f aca="false">'Ratings worksheet'!A134</f>
        <v>Sri Lanka</v>
      </c>
      <c r="B134" s="247" t="n">
        <f aca="false">C134</f>
        <v>0.3</v>
      </c>
      <c r="C134" s="0" t="n">
        <f aca="false">VLOOKUP(A134,$K$2:$L$226,2,FALSE())</f>
        <v>0.3</v>
      </c>
      <c r="E134" s="0" t="s">
        <v>597</v>
      </c>
      <c r="F134" s="91" t="n">
        <v>0.3</v>
      </c>
      <c r="K134" s="0" t="s">
        <v>265</v>
      </c>
      <c r="L134" s="76" t="n">
        <v>0.3</v>
      </c>
    </row>
    <row r="135" customFormat="false" ht="15.75" hidden="false" customHeight="false" outlineLevel="0" collapsed="false">
      <c r="A135" s="64" t="str">
        <f aca="false">'Ratings worksheet'!A135</f>
        <v>St. Maarten</v>
      </c>
      <c r="B135" s="247" t="n">
        <f aca="false">C135</f>
        <v>0.2</v>
      </c>
      <c r="C135" s="0" t="n">
        <v>0.2</v>
      </c>
      <c r="E135" s="0" t="s">
        <v>544</v>
      </c>
      <c r="F135" s="91" t="n">
        <v>0.27</v>
      </c>
      <c r="K135" s="0" t="s">
        <v>289</v>
      </c>
      <c r="L135" s="76" t="n">
        <v>0.12</v>
      </c>
    </row>
    <row r="136" customFormat="false" ht="15.75" hidden="false" customHeight="false" outlineLevel="0" collapsed="false">
      <c r="A136" s="64" t="str">
        <f aca="false">'Ratings worksheet'!A136</f>
        <v>St. Vincent &amp; the Grenadines</v>
      </c>
      <c r="B136" s="247" t="n">
        <f aca="false">C136</f>
        <v>0.28</v>
      </c>
      <c r="C136" s="0" t="n">
        <v>0.28</v>
      </c>
      <c r="E136" s="0" t="s">
        <v>310</v>
      </c>
      <c r="F136" s="91" t="n">
        <v>0.2</v>
      </c>
      <c r="K136" s="0" t="s">
        <v>522</v>
      </c>
      <c r="L136" s="76" t="n">
        <v>0.25</v>
      </c>
    </row>
    <row r="137" customFormat="false" ht="15.75" hidden="false" customHeight="false" outlineLevel="0" collapsed="false">
      <c r="A137" s="64" t="s">
        <v>270</v>
      </c>
      <c r="B137" s="247" t="n">
        <f aca="false">C137</f>
        <v>0.36</v>
      </c>
      <c r="C137" s="0" t="n">
        <f aca="false">VLOOKUP(A137,$K$2:$L$226,2,FALSE())</f>
        <v>0.36</v>
      </c>
      <c r="E137" s="0" t="s">
        <v>205</v>
      </c>
      <c r="F137" s="91" t="n">
        <v>0.3</v>
      </c>
      <c r="K137" s="0" t="s">
        <v>226</v>
      </c>
      <c r="L137" s="76" t="n">
        <v>0.25</v>
      </c>
    </row>
    <row r="138" customFormat="false" ht="15.75" hidden="false" customHeight="false" outlineLevel="0" collapsed="false">
      <c r="A138" s="64" t="str">
        <f aca="false">'Ratings worksheet'!A138</f>
        <v>Swaziland</v>
      </c>
      <c r="B138" s="247" t="n">
        <f aca="false">C138</f>
        <v>0.25</v>
      </c>
      <c r="C138" s="0" t="n">
        <f aca="false">VLOOKUP(A138,$K$2:$L$226,2,FALSE())</f>
        <v>0.25</v>
      </c>
      <c r="E138" s="0" t="s">
        <v>293</v>
      </c>
      <c r="F138" s="91" t="n">
        <v>0.15</v>
      </c>
      <c r="K138" s="0" t="s">
        <v>290</v>
      </c>
      <c r="L138" s="76" t="n">
        <v>0.15</v>
      </c>
    </row>
    <row r="139" customFormat="false" ht="15.75" hidden="false" customHeight="false" outlineLevel="0" collapsed="false">
      <c r="A139" s="64" t="str">
        <f aca="false">'Ratings worksheet'!A139</f>
        <v>Sweden</v>
      </c>
      <c r="B139" s="247" t="n">
        <f aca="false">C139</f>
        <v>0.206</v>
      </c>
      <c r="C139" s="0" t="n">
        <f aca="false">VLOOKUP(A139,$K$2:$L$226,2,FALSE())</f>
        <v>0.206</v>
      </c>
      <c r="E139" s="0" t="s">
        <v>527</v>
      </c>
      <c r="F139" s="91" t="n">
        <v>0.25</v>
      </c>
      <c r="K139" s="0" t="s">
        <v>249</v>
      </c>
      <c r="L139" s="76" t="n">
        <v>0.3</v>
      </c>
    </row>
    <row r="140" customFormat="false" ht="15.75" hidden="false" customHeight="false" outlineLevel="0" collapsed="false">
      <c r="A140" s="64" t="str">
        <f aca="false">'Ratings worksheet'!A140</f>
        <v>Switzerland</v>
      </c>
      <c r="B140" s="247" t="n">
        <f aca="false">C140</f>
        <v>0.1961</v>
      </c>
      <c r="C140" s="0" t="n">
        <f aca="false">VLOOKUP(A140,$K$2:$L$226,2,FALSE())</f>
        <v>0.1961</v>
      </c>
      <c r="E140" s="0" t="s">
        <v>231</v>
      </c>
      <c r="F140" s="91" t="n">
        <v>0.17</v>
      </c>
      <c r="K140" s="0" t="s">
        <v>199</v>
      </c>
      <c r="L140" s="76" t="n">
        <v>0.33</v>
      </c>
    </row>
    <row r="141" customFormat="false" ht="15.75" hidden="false" customHeight="false" outlineLevel="0" collapsed="false">
      <c r="A141" s="64" t="s">
        <v>234</v>
      </c>
      <c r="B141" s="247" t="n">
        <f aca="false">C141</f>
        <v>0.2</v>
      </c>
      <c r="C141" s="0" t="n">
        <f aca="false">VLOOKUP(A141,$K$2:$L$226,2,FALSE())</f>
        <v>0.2</v>
      </c>
      <c r="E141" s="0" t="s">
        <v>548</v>
      </c>
      <c r="F141" s="91" t="n">
        <v>0.35</v>
      </c>
      <c r="K141" s="0" t="s">
        <v>200</v>
      </c>
      <c r="L141" s="76" t="n">
        <v>0.32</v>
      </c>
    </row>
    <row r="142" customFormat="false" ht="15.75" hidden="false" customHeight="false" outlineLevel="0" collapsed="false">
      <c r="A142" s="64" t="s">
        <v>296</v>
      </c>
      <c r="B142" s="247" t="n">
        <f aca="false">C142</f>
        <v>0.18</v>
      </c>
      <c r="C142" s="0" t="n">
        <f aca="false">VLOOKUP(A142,$K$2:$L$226,2,FALSE())</f>
        <v>0.18</v>
      </c>
      <c r="E142" s="0" t="s">
        <v>294</v>
      </c>
      <c r="F142" s="91" t="n">
        <v>0.21</v>
      </c>
      <c r="K142" s="0" t="s">
        <v>525</v>
      </c>
      <c r="L142" s="76" t="n">
        <v>0.22</v>
      </c>
    </row>
    <row r="143" customFormat="false" ht="15.75" hidden="false" customHeight="false" outlineLevel="0" collapsed="false">
      <c r="A143" s="64" t="str">
        <f aca="false">'Ratings worksheet'!A143</f>
        <v>Tanzania</v>
      </c>
      <c r="B143" s="247" t="n">
        <f aca="false">C143</f>
        <v>0.3</v>
      </c>
      <c r="C143" s="0" t="n">
        <f aca="false">VLOOKUP(A143,$K$2:$L$226,2,FALSE())</f>
        <v>0.3</v>
      </c>
      <c r="E143" s="0" t="s">
        <v>295</v>
      </c>
      <c r="F143" s="91" t="n">
        <v>0.19</v>
      </c>
      <c r="K143" s="0" t="s">
        <v>201</v>
      </c>
      <c r="L143" s="76" t="n">
        <v>0.32</v>
      </c>
    </row>
    <row r="144" customFormat="false" ht="15.75" hidden="false" customHeight="false" outlineLevel="0" collapsed="false">
      <c r="A144" s="64" t="str">
        <f aca="false">'Ratings worksheet'!A144</f>
        <v>Thailand</v>
      </c>
      <c r="B144" s="247" t="n">
        <f aca="false">C144</f>
        <v>0.2</v>
      </c>
      <c r="C144" s="0" t="n">
        <f aca="false">VLOOKUP(A144,$K$2:$L$226,2,FALSE())</f>
        <v>0.2</v>
      </c>
      <c r="E144" s="0" t="s">
        <v>232</v>
      </c>
      <c r="F144" s="91" t="n">
        <v>0.3</v>
      </c>
      <c r="K144" s="0" t="s">
        <v>526</v>
      </c>
      <c r="L144" s="76" t="n">
        <v>0.25</v>
      </c>
    </row>
    <row r="145" customFormat="false" ht="15.75" hidden="false" customHeight="false" outlineLevel="0" collapsed="false">
      <c r="A145" s="64" t="s">
        <v>209</v>
      </c>
      <c r="B145" s="247" t="n">
        <f aca="false">C145</f>
        <v>0.27</v>
      </c>
      <c r="C145" s="0" t="n">
        <f aca="false">VLOOKUP(A145,$K$2:$L$226,2,FALSE())</f>
        <v>0.27</v>
      </c>
      <c r="E145" s="0" t="s">
        <v>206</v>
      </c>
      <c r="F145" s="91" t="n">
        <v>0.27</v>
      </c>
      <c r="K145" s="0" t="s">
        <v>227</v>
      </c>
      <c r="L145" s="76" t="n">
        <v>0.25</v>
      </c>
    </row>
    <row r="146" customFormat="false" ht="15.75" hidden="false" customHeight="false" outlineLevel="0" collapsed="false">
      <c r="A146" s="64" t="str">
        <f aca="false">'Ratings worksheet'!A146</f>
        <v>Trinidad and Tobago</v>
      </c>
      <c r="B146" s="247" t="n">
        <f aca="false">C146</f>
        <v>0.3</v>
      </c>
      <c r="C146" s="0" t="n">
        <f aca="false">VLOOKUP(A146,$K$2:$L$226,2,FALSE())</f>
        <v>0.3</v>
      </c>
      <c r="E146" s="0" t="s">
        <v>336</v>
      </c>
      <c r="F146" s="91" t="n">
        <v>0.25</v>
      </c>
      <c r="K146" s="0" t="s">
        <v>333</v>
      </c>
      <c r="L146" s="76" t="n">
        <v>0.258</v>
      </c>
    </row>
    <row r="147" customFormat="false" ht="15.75" hidden="false" customHeight="false" outlineLevel="0" collapsed="false">
      <c r="A147" s="64" t="str">
        <f aca="false">'Ratings worksheet'!A147</f>
        <v>Tunisia</v>
      </c>
      <c r="B147" s="247" t="n">
        <f aca="false">C147</f>
        <v>0.15</v>
      </c>
      <c r="C147" s="0" t="n">
        <f aca="false">VLOOKUP(A147,$K$2:$L$226,2,FALSE())</f>
        <v>0.15</v>
      </c>
      <c r="E147" s="0" t="s">
        <v>233</v>
      </c>
      <c r="F147" s="91" t="n">
        <v>0.24</v>
      </c>
      <c r="K147" s="0" t="s">
        <v>528</v>
      </c>
      <c r="L147" s="76" t="n">
        <v>0.3</v>
      </c>
    </row>
    <row r="148" customFormat="false" ht="15.75" hidden="false" customHeight="false" outlineLevel="0" collapsed="false">
      <c r="A148" s="64" t="str">
        <f aca="false">'Ratings worksheet'!A148</f>
        <v>Turkey</v>
      </c>
      <c r="B148" s="247" t="n">
        <f aca="false">C148</f>
        <v>0.25</v>
      </c>
      <c r="C148" s="0" t="n">
        <f aca="false">VLOOKUP(A148,$K$2:$L$226,2,FALSE())</f>
        <v>0.25</v>
      </c>
      <c r="E148" s="0" t="s">
        <v>629</v>
      </c>
      <c r="F148" s="91" t="n">
        <v>0.35</v>
      </c>
      <c r="K148" s="0" t="s">
        <v>239</v>
      </c>
      <c r="L148" s="76" t="n">
        <v>0.28</v>
      </c>
    </row>
    <row r="149" customFormat="false" ht="15.75" hidden="false" customHeight="false" outlineLevel="0" collapsed="false">
      <c r="A149" s="64" t="str">
        <f aca="false">'Ratings worksheet'!A149</f>
        <v>Turks and Caicos Islands</v>
      </c>
      <c r="B149" s="247" t="n">
        <f aca="false">C149</f>
        <v>0</v>
      </c>
      <c r="C149" s="0" t="n">
        <f aca="false">VLOOKUP(A149,$K$2:$L$226,2,FALSE())</f>
        <v>0</v>
      </c>
      <c r="E149" s="0" t="s">
        <v>530</v>
      </c>
      <c r="F149" s="91" t="n">
        <v>0.35</v>
      </c>
      <c r="K149" s="0" t="s">
        <v>266</v>
      </c>
      <c r="L149" s="76" t="n">
        <v>0.3</v>
      </c>
    </row>
    <row r="150" customFormat="false" ht="15.75" hidden="false" customHeight="false" outlineLevel="0" collapsed="false">
      <c r="A150" s="64" t="str">
        <f aca="false">'Ratings worksheet'!A150</f>
        <v>Uganda</v>
      </c>
      <c r="B150" s="247" t="n">
        <f aca="false">C150</f>
        <v>0.3</v>
      </c>
      <c r="C150" s="0" t="n">
        <f aca="false">VLOOKUP(A150,$K$2:$L$226,2,FALSE())</f>
        <v>0.3</v>
      </c>
      <c r="E150" s="0" t="s">
        <v>270</v>
      </c>
      <c r="F150" s="91" t="n">
        <v>0.36</v>
      </c>
      <c r="K150" s="0" t="s">
        <v>202</v>
      </c>
      <c r="L150" s="76" t="n">
        <v>0.3</v>
      </c>
    </row>
    <row r="151" customFormat="false" ht="15.75" hidden="false" customHeight="false" outlineLevel="0" collapsed="false">
      <c r="A151" s="64" t="str">
        <f aca="false">'Ratings worksheet'!A151</f>
        <v>Ukraine</v>
      </c>
      <c r="B151" s="247" t="n">
        <f aca="false">C151</f>
        <v>0.18</v>
      </c>
      <c r="C151" s="0" t="n">
        <f aca="false">VLOOKUP(A151,$K$2:$L$226,2,FALSE())</f>
        <v>0.18</v>
      </c>
      <c r="E151" s="0" t="s">
        <v>207</v>
      </c>
      <c r="F151" s="91" t="n">
        <v>0.275</v>
      </c>
      <c r="K151" s="0" t="s">
        <v>203</v>
      </c>
      <c r="L151" s="76" t="n">
        <v>0.3</v>
      </c>
    </row>
    <row r="152" customFormat="false" ht="15.75" hidden="false" customHeight="false" outlineLevel="0" collapsed="false">
      <c r="A152" s="64" t="str">
        <f aca="false">'Ratings worksheet'!A152</f>
        <v>United Arab Emirates</v>
      </c>
      <c r="B152" s="247" t="n">
        <f aca="false">C152</f>
        <v>0.09</v>
      </c>
      <c r="C152" s="0" t="n">
        <f aca="false">VLOOKUP(A152,$K$2:$L$226,2,FALSE())</f>
        <v>0.09</v>
      </c>
      <c r="E152" s="0" t="s">
        <v>337</v>
      </c>
      <c r="F152" s="91" t="n">
        <v>0.206</v>
      </c>
      <c r="K152" s="0" t="s">
        <v>630</v>
      </c>
      <c r="L152" s="76" t="n">
        <v>0.3</v>
      </c>
    </row>
    <row r="153" customFormat="false" ht="15.75" hidden="false" customHeight="false" outlineLevel="0" collapsed="false">
      <c r="A153" s="64" t="str">
        <f aca="false">'Ratings worksheet'!A153</f>
        <v>United Kingdom</v>
      </c>
      <c r="B153" s="247" t="n">
        <f aca="false">C153</f>
        <v>0.25</v>
      </c>
      <c r="C153" s="0" t="n">
        <f aca="false">VLOOKUP(A153,$K$2:$L$226,2,FALSE())</f>
        <v>0.25</v>
      </c>
      <c r="E153" s="0" t="s">
        <v>338</v>
      </c>
      <c r="F153" s="91" t="n">
        <v>0.146</v>
      </c>
      <c r="K153" s="0" t="s">
        <v>534</v>
      </c>
      <c r="L153" s="76" t="n">
        <v>0.21</v>
      </c>
    </row>
    <row r="154" customFormat="false" ht="15.75" hidden="false" customHeight="false" outlineLevel="0" collapsed="false">
      <c r="A154" s="64" t="str">
        <f aca="false">'Ratings worksheet'!A154</f>
        <v>United States</v>
      </c>
      <c r="B154" s="247" t="n">
        <f aca="false">C154</f>
        <v>0.25</v>
      </c>
      <c r="C154" s="0" t="n">
        <v>0.25</v>
      </c>
      <c r="E154" s="0" t="s">
        <v>531</v>
      </c>
      <c r="F154" s="91" t="n">
        <v>0.28</v>
      </c>
      <c r="K154" s="0" t="s">
        <v>334</v>
      </c>
      <c r="L154" s="76" t="n">
        <v>0.22</v>
      </c>
    </row>
    <row r="155" customFormat="false" ht="15.75" hidden="false" customHeight="false" outlineLevel="0" collapsed="false">
      <c r="A155" s="64" t="str">
        <f aca="false">'Ratings worksheet'!A155</f>
        <v>Uruguay</v>
      </c>
      <c r="B155" s="247" t="n">
        <f aca="false">C155</f>
        <v>0.25</v>
      </c>
      <c r="C155" s="0" t="n">
        <f aca="false">VLOOKUP(A155,$K$2:$L$226,2,FALSE())</f>
        <v>0.25</v>
      </c>
      <c r="E155" s="0" t="s">
        <v>234</v>
      </c>
      <c r="F155" s="91" t="n">
        <v>0.2</v>
      </c>
      <c r="K155" s="0" t="s">
        <v>307</v>
      </c>
      <c r="L155" s="76" t="n">
        <v>0.15</v>
      </c>
    </row>
    <row r="156" customFormat="false" ht="15.75" hidden="false" customHeight="false" outlineLevel="0" collapsed="false">
      <c r="A156" s="158" t="s">
        <v>298</v>
      </c>
      <c r="B156" s="247" t="n">
        <f aca="false">C156</f>
        <v>0.15</v>
      </c>
      <c r="C156" s="0" t="n">
        <f aca="false">VLOOKUP(A156,$K$2:$L$226,2,FALSE())</f>
        <v>0.15</v>
      </c>
      <c r="E156" s="224" t="s">
        <v>296</v>
      </c>
      <c r="F156" s="91" t="n">
        <v>0.18</v>
      </c>
      <c r="K156" s="0" t="s">
        <v>228</v>
      </c>
      <c r="L156" s="76" t="n">
        <v>0.29</v>
      </c>
    </row>
    <row r="157" customFormat="false" ht="15.75" hidden="false" customHeight="false" outlineLevel="0" collapsed="false">
      <c r="A157" s="64" t="str">
        <f aca="false">'Ratings worksheet'!A157</f>
        <v>Venezuela</v>
      </c>
      <c r="B157" s="247" t="n">
        <f aca="false">C157</f>
        <v>0.34</v>
      </c>
      <c r="C157" s="0" t="n">
        <f aca="false">VLOOKUP(A157,$K$2:$L$226,2,FALSE())</f>
        <v>0.34</v>
      </c>
      <c r="E157" s="0" t="s">
        <v>208</v>
      </c>
      <c r="F157" s="91" t="n">
        <v>0.3</v>
      </c>
      <c r="K157" s="0" t="s">
        <v>631</v>
      </c>
      <c r="L157" s="76" t="n">
        <v>0.15</v>
      </c>
    </row>
    <row r="158" customFormat="false" ht="15.75" hidden="false" customHeight="false" outlineLevel="0" collapsed="false">
      <c r="A158" s="64" t="s">
        <v>236</v>
      </c>
      <c r="B158" s="247" t="n">
        <f aca="false">C158</f>
        <v>0.2</v>
      </c>
      <c r="C158" s="0" t="n">
        <f aca="false">VLOOKUP(A158,$K$2:$L$226,2,FALSE())</f>
        <v>0.2</v>
      </c>
      <c r="E158" s="0" t="s">
        <v>235</v>
      </c>
      <c r="F158" s="91" t="n">
        <v>0.2</v>
      </c>
      <c r="K158" s="0" t="s">
        <v>267</v>
      </c>
      <c r="L158" s="76" t="n">
        <v>0.25</v>
      </c>
    </row>
    <row r="159" customFormat="false" ht="12.75" hidden="false" customHeight="false" outlineLevel="0" collapsed="false">
      <c r="A159" s="80" t="s">
        <v>212</v>
      </c>
      <c r="B159" s="247" t="n">
        <f aca="false">C159</f>
        <v>0.3</v>
      </c>
      <c r="C159" s="0" t="n">
        <f aca="false">VLOOKUP(A159,$K$2:$L$226,2,FALSE())</f>
        <v>0.3</v>
      </c>
      <c r="E159" s="0" t="s">
        <v>252</v>
      </c>
      <c r="F159" s="91" t="n">
        <v>0.3</v>
      </c>
      <c r="K159" s="0" t="s">
        <v>229</v>
      </c>
      <c r="L159" s="76" t="n">
        <v>0.3</v>
      </c>
    </row>
    <row r="160" customFormat="false" ht="12.75" hidden="false" customHeight="false" outlineLevel="0" collapsed="false">
      <c r="E160" s="0" t="s">
        <v>210</v>
      </c>
      <c r="F160" s="91" t="n">
        <v>0.15</v>
      </c>
      <c r="K160" s="0" t="s">
        <v>268</v>
      </c>
      <c r="L160" s="76" t="n">
        <v>0.1</v>
      </c>
    </row>
    <row r="161" customFormat="false" ht="12.75" hidden="false" customHeight="false" outlineLevel="0" collapsed="false">
      <c r="E161" s="0" t="s">
        <v>62</v>
      </c>
      <c r="F161" s="91" t="n">
        <v>0.25</v>
      </c>
      <c r="K161" s="0" t="s">
        <v>269</v>
      </c>
      <c r="L161" s="76" t="n">
        <v>0.295</v>
      </c>
    </row>
    <row r="162" customFormat="false" ht="12.75" hidden="false" customHeight="false" outlineLevel="0" collapsed="false">
      <c r="E162" s="0" t="s">
        <v>405</v>
      </c>
      <c r="F162" s="91" t="n">
        <v>0.2</v>
      </c>
      <c r="K162" s="0" t="s">
        <v>230</v>
      </c>
      <c r="L162" s="76" t="n">
        <v>0.25</v>
      </c>
    </row>
    <row r="163" customFormat="false" ht="12.75" hidden="false" customHeight="false" outlineLevel="0" collapsed="false">
      <c r="E163" s="0" t="s">
        <v>253</v>
      </c>
      <c r="F163" s="91" t="n">
        <v>0</v>
      </c>
      <c r="K163" s="0" t="s">
        <v>291</v>
      </c>
      <c r="L163" s="76" t="n">
        <v>0.19</v>
      </c>
    </row>
    <row r="164" customFormat="false" ht="12.75" hidden="false" customHeight="false" outlineLevel="0" collapsed="false">
      <c r="E164" s="0" t="s">
        <v>211</v>
      </c>
      <c r="F164" s="91" t="n">
        <v>0.3</v>
      </c>
      <c r="K164" s="0" t="s">
        <v>335</v>
      </c>
      <c r="L164" s="76" t="n">
        <v>0.315</v>
      </c>
    </row>
    <row r="165" customFormat="false" ht="12.75" hidden="false" customHeight="false" outlineLevel="0" collapsed="false">
      <c r="E165" s="0" t="s">
        <v>297</v>
      </c>
      <c r="F165" s="91" t="n">
        <v>0.18</v>
      </c>
      <c r="K165" s="0" t="s">
        <v>596</v>
      </c>
      <c r="L165" s="76" t="n">
        <v>0.375</v>
      </c>
    </row>
    <row r="166" customFormat="false" ht="12.75" hidden="false" customHeight="false" outlineLevel="0" collapsed="false">
      <c r="E166" s="0" t="s">
        <v>312</v>
      </c>
      <c r="F166" s="91" t="n">
        <v>0.25</v>
      </c>
      <c r="K166" s="0" t="s">
        <v>308</v>
      </c>
      <c r="L166" s="76" t="n">
        <v>0.1</v>
      </c>
    </row>
    <row r="167" customFormat="false" ht="12.75" hidden="false" customHeight="false" outlineLevel="0" collapsed="false">
      <c r="E167" s="0" t="s">
        <v>339</v>
      </c>
      <c r="F167" s="91" t="n">
        <v>0.25</v>
      </c>
      <c r="K167" s="0" t="s">
        <v>292</v>
      </c>
      <c r="L167" s="76" t="n">
        <v>0.16</v>
      </c>
    </row>
    <row r="168" customFormat="false" ht="12.75" hidden="false" customHeight="false" outlineLevel="0" collapsed="false">
      <c r="E168" s="0" t="s">
        <v>314</v>
      </c>
      <c r="F168" s="91" t="n">
        <v>0.25</v>
      </c>
      <c r="K168" s="0" t="s">
        <v>404</v>
      </c>
      <c r="L168" s="76" t="n">
        <v>0.2</v>
      </c>
    </row>
    <row r="169" customFormat="false" ht="12.75" hidden="false" customHeight="false" outlineLevel="0" collapsed="false">
      <c r="E169" s="0" t="s">
        <v>271</v>
      </c>
      <c r="F169" s="91" t="n">
        <v>0.25</v>
      </c>
      <c r="K169" s="0" t="s">
        <v>204</v>
      </c>
      <c r="L169" s="76" t="n">
        <v>0.28</v>
      </c>
    </row>
    <row r="170" customFormat="false" ht="12.75" hidden="false" customHeight="false" outlineLevel="0" collapsed="false">
      <c r="E170" s="0" t="s">
        <v>298</v>
      </c>
      <c r="F170" s="91" t="n">
        <v>0.15</v>
      </c>
      <c r="K170" s="0" t="s">
        <v>632</v>
      </c>
      <c r="L170" s="76" t="n">
        <v>0</v>
      </c>
    </row>
    <row r="171" customFormat="false" ht="12.75" hidden="false" customHeight="false" outlineLevel="0" collapsed="false">
      <c r="E171" s="0" t="s">
        <v>567</v>
      </c>
      <c r="F171" s="91" t="n">
        <v>0</v>
      </c>
      <c r="K171" s="0" t="s">
        <v>633</v>
      </c>
      <c r="L171" s="76" t="n">
        <v>0.25</v>
      </c>
    </row>
    <row r="172" customFormat="false" ht="12.75" hidden="false" customHeight="false" outlineLevel="0" collapsed="false">
      <c r="E172" s="0" t="s">
        <v>272</v>
      </c>
      <c r="F172" s="91" t="n">
        <v>0.34</v>
      </c>
      <c r="K172" s="0" t="s">
        <v>627</v>
      </c>
      <c r="L172" s="76" t="n">
        <v>0.33</v>
      </c>
    </row>
    <row r="173" customFormat="false" ht="12.75" hidden="false" customHeight="false" outlineLevel="0" collapsed="false">
      <c r="E173" s="0" t="s">
        <v>236</v>
      </c>
      <c r="F173" s="91" t="n">
        <v>0.2</v>
      </c>
      <c r="K173" s="0" t="s">
        <v>628</v>
      </c>
      <c r="L173" s="76" t="n">
        <v>0.3</v>
      </c>
    </row>
    <row r="174" customFormat="false" ht="12.75" hidden="false" customHeight="false" outlineLevel="0" collapsed="false">
      <c r="E174" s="0" t="s">
        <v>634</v>
      </c>
      <c r="F174" s="91" t="n">
        <v>0.2</v>
      </c>
      <c r="K174" s="0" t="s">
        <v>635</v>
      </c>
      <c r="L174" s="76" t="n">
        <v>0.2</v>
      </c>
    </row>
    <row r="175" customFormat="false" ht="12.75" hidden="false" customHeight="false" outlineLevel="0" collapsed="false">
      <c r="E175" s="0" t="s">
        <v>212</v>
      </c>
      <c r="F175" s="91" t="n">
        <v>0.35</v>
      </c>
      <c r="K175" s="0" t="s">
        <v>597</v>
      </c>
      <c r="L175" s="76" t="n">
        <v>0.28</v>
      </c>
    </row>
    <row r="176" customFormat="false" ht="12.75" hidden="false" customHeight="false" outlineLevel="0" collapsed="false">
      <c r="E176" s="0" t="s">
        <v>84</v>
      </c>
      <c r="F176" s="91" t="n">
        <v>0.2472</v>
      </c>
      <c r="K176" s="0" t="s">
        <v>544</v>
      </c>
      <c r="L176" s="76" t="n">
        <v>0.27</v>
      </c>
    </row>
    <row r="177" customFormat="false" ht="12.75" hidden="false" customHeight="false" outlineLevel="0" collapsed="false">
      <c r="K177" s="0" t="s">
        <v>545</v>
      </c>
      <c r="L177" s="76" t="n">
        <v>0.17</v>
      </c>
    </row>
    <row r="178" customFormat="false" ht="12.75" hidden="false" customHeight="false" outlineLevel="0" collapsed="false">
      <c r="K178" s="0" t="s">
        <v>546</v>
      </c>
      <c r="L178" s="76" t="n">
        <v>0.25</v>
      </c>
    </row>
    <row r="179" customFormat="false" ht="12.75" hidden="false" customHeight="false" outlineLevel="0" collapsed="false">
      <c r="K179" s="0" t="s">
        <v>310</v>
      </c>
      <c r="L179" s="76" t="n">
        <v>0.2</v>
      </c>
    </row>
    <row r="180" customFormat="false" ht="12.75" hidden="false" customHeight="false" outlineLevel="0" collapsed="false">
      <c r="K180" s="0" t="s">
        <v>205</v>
      </c>
      <c r="L180" s="76" t="n">
        <v>0.3</v>
      </c>
    </row>
    <row r="181" customFormat="false" ht="12.75" hidden="false" customHeight="false" outlineLevel="0" collapsed="false">
      <c r="K181" s="0" t="s">
        <v>293</v>
      </c>
      <c r="L181" s="76" t="n">
        <v>0.15</v>
      </c>
    </row>
    <row r="182" customFormat="false" ht="12.75" hidden="false" customHeight="false" outlineLevel="0" collapsed="false">
      <c r="K182" s="0" t="s">
        <v>547</v>
      </c>
      <c r="L182" s="76" t="n">
        <v>0.25</v>
      </c>
    </row>
    <row r="183" customFormat="false" ht="12.75" hidden="false" customHeight="false" outlineLevel="0" collapsed="false">
      <c r="K183" s="0" t="s">
        <v>527</v>
      </c>
      <c r="L183" s="76" t="n">
        <v>0.25</v>
      </c>
    </row>
    <row r="184" customFormat="false" ht="12.75" hidden="false" customHeight="false" outlineLevel="0" collapsed="false">
      <c r="K184" s="0" t="s">
        <v>231</v>
      </c>
      <c r="L184" s="76" t="n">
        <v>0.17</v>
      </c>
    </row>
    <row r="185" customFormat="false" ht="12.75" hidden="false" customHeight="false" outlineLevel="0" collapsed="false">
      <c r="K185" s="0" t="s">
        <v>599</v>
      </c>
      <c r="L185" s="76" t="n">
        <v>0.345</v>
      </c>
    </row>
    <row r="186" customFormat="false" ht="12.75" hidden="false" customHeight="false" outlineLevel="0" collapsed="false">
      <c r="K186" s="0" t="s">
        <v>294</v>
      </c>
      <c r="L186" s="76" t="n">
        <v>0.21</v>
      </c>
    </row>
    <row r="187" customFormat="false" ht="12.75" hidden="false" customHeight="false" outlineLevel="0" collapsed="false">
      <c r="K187" s="0" t="s">
        <v>295</v>
      </c>
      <c r="L187" s="76" t="n">
        <v>0.22</v>
      </c>
    </row>
    <row r="188" customFormat="false" ht="12.75" hidden="false" customHeight="false" outlineLevel="0" collapsed="false">
      <c r="K188" s="0" t="s">
        <v>232</v>
      </c>
      <c r="L188" s="76" t="n">
        <v>0.3</v>
      </c>
    </row>
    <row r="189" customFormat="false" ht="12.75" hidden="false" customHeight="false" outlineLevel="0" collapsed="false">
      <c r="K189" s="0" t="s">
        <v>206</v>
      </c>
      <c r="L189" s="76" t="n">
        <v>0.27</v>
      </c>
    </row>
    <row r="190" customFormat="false" ht="12.75" hidden="false" customHeight="false" outlineLevel="0" collapsed="false">
      <c r="K190" s="0" t="s">
        <v>554</v>
      </c>
      <c r="L190" s="76" t="n">
        <v>0.3</v>
      </c>
    </row>
    <row r="191" customFormat="false" ht="12.75" hidden="false" customHeight="false" outlineLevel="0" collapsed="false">
      <c r="K191" s="0" t="s">
        <v>336</v>
      </c>
      <c r="L191" s="76" t="n">
        <v>0.25</v>
      </c>
    </row>
    <row r="192" customFormat="false" ht="12.75" hidden="false" customHeight="false" outlineLevel="0" collapsed="false">
      <c r="K192" s="0" t="s">
        <v>233</v>
      </c>
      <c r="L192" s="76" t="n">
        <v>0.3</v>
      </c>
    </row>
    <row r="193" customFormat="false" ht="12.75" hidden="false" customHeight="false" outlineLevel="0" collapsed="false">
      <c r="K193" s="0" t="s">
        <v>530</v>
      </c>
      <c r="L193" s="76" t="n">
        <v>0.35</v>
      </c>
    </row>
    <row r="194" customFormat="false" ht="12.75" hidden="false" customHeight="false" outlineLevel="0" collapsed="false">
      <c r="K194" s="0" t="s">
        <v>270</v>
      </c>
      <c r="L194" s="76" t="n">
        <v>0.36</v>
      </c>
    </row>
    <row r="195" customFormat="false" ht="12.75" hidden="false" customHeight="false" outlineLevel="0" collapsed="false">
      <c r="K195" s="0" t="s">
        <v>207</v>
      </c>
      <c r="L195" s="76" t="n">
        <v>0.25</v>
      </c>
    </row>
    <row r="196" customFormat="false" ht="12.75" hidden="false" customHeight="false" outlineLevel="0" collapsed="false">
      <c r="K196" s="0" t="s">
        <v>337</v>
      </c>
      <c r="L196" s="76" t="n">
        <v>0.206</v>
      </c>
    </row>
    <row r="197" customFormat="false" ht="12.75" hidden="false" customHeight="false" outlineLevel="0" collapsed="false">
      <c r="K197" s="0" t="s">
        <v>338</v>
      </c>
      <c r="L197" s="76" t="n">
        <v>0.1961</v>
      </c>
    </row>
    <row r="198" customFormat="false" ht="12.75" hidden="false" customHeight="false" outlineLevel="0" collapsed="false">
      <c r="K198" s="0" t="s">
        <v>562</v>
      </c>
      <c r="L198" s="76" t="n">
        <v>0.25</v>
      </c>
    </row>
    <row r="199" customFormat="false" ht="12.75" hidden="false" customHeight="false" outlineLevel="0" collapsed="false">
      <c r="K199" s="0" t="s">
        <v>234</v>
      </c>
      <c r="L199" s="76" t="n">
        <v>0.2</v>
      </c>
    </row>
    <row r="200" customFormat="false" ht="12.75" hidden="false" customHeight="false" outlineLevel="0" collapsed="false">
      <c r="K200" s="0" t="s">
        <v>296</v>
      </c>
      <c r="L200" s="76" t="n">
        <v>0.18</v>
      </c>
    </row>
    <row r="201" customFormat="false" ht="12.75" hidden="false" customHeight="false" outlineLevel="0" collapsed="false">
      <c r="K201" s="0" t="s">
        <v>208</v>
      </c>
      <c r="L201" s="76" t="n">
        <v>0.3</v>
      </c>
    </row>
    <row r="202" customFormat="false" ht="12.75" hidden="false" customHeight="false" outlineLevel="0" collapsed="false">
      <c r="K202" s="0" t="s">
        <v>235</v>
      </c>
      <c r="L202" s="76" t="n">
        <v>0.2</v>
      </c>
    </row>
    <row r="203" customFormat="false" ht="12.75" hidden="false" customHeight="false" outlineLevel="0" collapsed="false">
      <c r="K203" s="0" t="s">
        <v>563</v>
      </c>
      <c r="L203" s="76" t="n">
        <v>0.1</v>
      </c>
    </row>
    <row r="204" customFormat="false" ht="12.75" hidden="false" customHeight="false" outlineLevel="0" collapsed="false">
      <c r="K204" s="0" t="s">
        <v>209</v>
      </c>
      <c r="L204" s="76" t="n">
        <v>0.27</v>
      </c>
    </row>
    <row r="205" customFormat="false" ht="12.75" hidden="false" customHeight="false" outlineLevel="0" collapsed="false">
      <c r="K205" s="0" t="s">
        <v>636</v>
      </c>
      <c r="L205" s="76" t="n">
        <v>0</v>
      </c>
    </row>
    <row r="206" customFormat="false" ht="12.75" hidden="false" customHeight="false" outlineLevel="0" collapsed="false">
      <c r="K206" s="0" t="s">
        <v>564</v>
      </c>
      <c r="L206" s="76" t="n">
        <v>0.25</v>
      </c>
    </row>
    <row r="207" customFormat="false" ht="12.75" hidden="false" customHeight="false" outlineLevel="0" collapsed="false">
      <c r="K207" s="0" t="s">
        <v>252</v>
      </c>
      <c r="L207" s="76" t="n">
        <v>0.3</v>
      </c>
    </row>
    <row r="208" customFormat="false" ht="12.75" hidden="false" customHeight="false" outlineLevel="0" collapsed="false">
      <c r="K208" s="0" t="s">
        <v>210</v>
      </c>
      <c r="L208" s="76" t="n">
        <v>0.15</v>
      </c>
    </row>
    <row r="209" customFormat="false" ht="12.75" hidden="false" customHeight="false" outlineLevel="0" collapsed="false">
      <c r="K209" s="0" t="s">
        <v>62</v>
      </c>
      <c r="L209" s="76" t="n">
        <v>0.25</v>
      </c>
    </row>
    <row r="210" customFormat="false" ht="12.75" hidden="false" customHeight="false" outlineLevel="0" collapsed="false">
      <c r="K210" s="0" t="s">
        <v>405</v>
      </c>
      <c r="L210" s="76" t="n">
        <v>0.08</v>
      </c>
    </row>
    <row r="211" customFormat="false" ht="12.75" hidden="false" customHeight="false" outlineLevel="0" collapsed="false">
      <c r="K211" s="0" t="s">
        <v>253</v>
      </c>
      <c r="L211" s="76" t="n">
        <v>0</v>
      </c>
    </row>
    <row r="212" customFormat="false" ht="12.75" hidden="false" customHeight="false" outlineLevel="0" collapsed="false">
      <c r="K212" s="0" t="s">
        <v>211</v>
      </c>
      <c r="L212" s="76" t="n">
        <v>0.3</v>
      </c>
    </row>
    <row r="213" customFormat="false" ht="12.75" hidden="false" customHeight="false" outlineLevel="0" collapsed="false">
      <c r="K213" s="0" t="s">
        <v>297</v>
      </c>
      <c r="L213" s="76" t="n">
        <v>0.18</v>
      </c>
    </row>
    <row r="214" customFormat="false" ht="12.75" hidden="false" customHeight="false" outlineLevel="0" collapsed="false">
      <c r="K214" s="0" t="s">
        <v>312</v>
      </c>
      <c r="L214" s="76" t="n">
        <v>0.09</v>
      </c>
    </row>
    <row r="215" customFormat="false" ht="12.75" hidden="false" customHeight="false" outlineLevel="0" collapsed="false">
      <c r="K215" s="0" t="s">
        <v>339</v>
      </c>
      <c r="L215" s="76" t="n">
        <v>0.25</v>
      </c>
    </row>
    <row r="216" customFormat="false" ht="12.75" hidden="false" customHeight="false" outlineLevel="0" collapsed="false">
      <c r="K216" s="0" t="s">
        <v>314</v>
      </c>
      <c r="L216" s="76" t="n">
        <v>0.2563</v>
      </c>
    </row>
    <row r="217" customFormat="false" ht="12.75" hidden="false" customHeight="false" outlineLevel="0" collapsed="false">
      <c r="K217" s="0" t="s">
        <v>637</v>
      </c>
      <c r="L217" s="76" t="n">
        <v>0.231</v>
      </c>
    </row>
    <row r="218" customFormat="false" ht="12.75" hidden="false" customHeight="false" outlineLevel="0" collapsed="false">
      <c r="K218" s="0" t="s">
        <v>271</v>
      </c>
      <c r="L218" s="76" t="n">
        <v>0.25</v>
      </c>
    </row>
    <row r="219" customFormat="false" ht="12.75" hidden="false" customHeight="false" outlineLevel="0" collapsed="false">
      <c r="K219" s="0" t="s">
        <v>298</v>
      </c>
      <c r="L219" s="76" t="n">
        <v>0.15</v>
      </c>
    </row>
    <row r="220" customFormat="false" ht="12.75" hidden="false" customHeight="false" outlineLevel="0" collapsed="false">
      <c r="K220" s="0" t="s">
        <v>567</v>
      </c>
      <c r="L220" s="76" t="n">
        <v>0</v>
      </c>
    </row>
    <row r="221" customFormat="false" ht="12.75" hidden="false" customHeight="false" outlineLevel="0" collapsed="false">
      <c r="K221" s="0" t="s">
        <v>272</v>
      </c>
      <c r="L221" s="76" t="n">
        <v>0.34</v>
      </c>
    </row>
    <row r="222" customFormat="false" ht="12.75" hidden="false" customHeight="false" outlineLevel="0" collapsed="false">
      <c r="K222" s="0" t="s">
        <v>236</v>
      </c>
      <c r="L222" s="76" t="n">
        <v>0.2</v>
      </c>
    </row>
    <row r="223" customFormat="false" ht="12.75" hidden="false" customHeight="false" outlineLevel="0" collapsed="false">
      <c r="K223" s="0" t="s">
        <v>638</v>
      </c>
      <c r="L223" s="76" t="n">
        <v>0</v>
      </c>
    </row>
    <row r="224" customFormat="false" ht="12.75" hidden="false" customHeight="false" outlineLevel="0" collapsed="false">
      <c r="K224" s="0" t="s">
        <v>634</v>
      </c>
      <c r="L224" s="76" t="n">
        <v>0.2</v>
      </c>
    </row>
    <row r="225" customFormat="false" ht="12.75" hidden="false" customHeight="false" outlineLevel="0" collapsed="false">
      <c r="K225" s="0" t="s">
        <v>212</v>
      </c>
      <c r="L225" s="76" t="n">
        <v>0.3</v>
      </c>
    </row>
    <row r="226" customFormat="false" ht="12.75" hidden="false" customHeight="false" outlineLevel="0" collapsed="false">
      <c r="K226" s="0" t="s">
        <v>84</v>
      </c>
      <c r="L226" s="76" t="n">
        <v>0.2472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1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 activeCellId="0" sqref="G1"/>
    </sheetView>
  </sheetViews>
  <sheetFormatPr defaultColWidth="10.65234375" defaultRowHeight="15.75" zeroHeight="false" outlineLevelRow="0" outlineLevelCol="0"/>
  <cols>
    <col collapsed="false" customWidth="true" hidden="false" outlineLevel="0" max="1" min="1" style="68" width="26.83"/>
    <col collapsed="false" customWidth="true" hidden="false" outlineLevel="0" max="2" min="2" style="252" width="14.33"/>
    <col collapsed="false" customWidth="true" hidden="false" outlineLevel="0" max="3" min="3" style="218" width="28.18"/>
    <col collapsed="false" customWidth="true" hidden="false" outlineLevel="0" max="4" min="4" style="208" width="22.17"/>
    <col collapsed="false" customWidth="true" hidden="false" outlineLevel="0" max="6" min="5" style="98" width="20.83"/>
    <col collapsed="false" customWidth="true" hidden="false" outlineLevel="0" max="7" min="7" style="99" width="20.83"/>
    <col collapsed="false" customWidth="true" hidden="false" outlineLevel="0" max="10" min="10" style="0" width="18.5"/>
    <col collapsed="false" customWidth="true" hidden="false" outlineLevel="0" max="22" min="22" style="0" width="22.66"/>
  </cols>
  <sheetData>
    <row r="1" s="45" customFormat="true" ht="15.75" hidden="false" customHeight="true" outlineLevel="0" collapsed="false">
      <c r="A1" s="253" t="s">
        <v>61</v>
      </c>
      <c r="B1" s="254" t="s">
        <v>85</v>
      </c>
      <c r="C1" s="255" t="s">
        <v>101</v>
      </c>
      <c r="D1" s="253" t="s">
        <v>100</v>
      </c>
      <c r="E1" s="256" t="s">
        <v>639</v>
      </c>
      <c r="F1" s="256" t="s">
        <v>343</v>
      </c>
      <c r="G1" s="256" t="s">
        <v>131</v>
      </c>
      <c r="H1" s="257"/>
      <c r="I1" s="258" t="s">
        <v>85</v>
      </c>
      <c r="J1" s="258"/>
      <c r="K1" s="259"/>
      <c r="N1" s="260" t="s">
        <v>61</v>
      </c>
      <c r="O1" s="261" t="s">
        <v>640</v>
      </c>
    </row>
    <row r="2" customFormat="false" ht="15.75" hidden="false" customHeight="false" outlineLevel="0" collapsed="false">
      <c r="A2" s="64" t="str">
        <f aca="false">'ERPs by country'!A9</f>
        <v>Abu Dhabi</v>
      </c>
      <c r="B2" s="262" t="e">
        <f aca="false">VLOOKUP(A2,$N$2:$O$142,2,FALSE())</f>
        <v>#N/A</v>
      </c>
      <c r="C2" s="182" t="n">
        <f aca="false">VLOOKUP(A2,Table1[[Country]:[Country Risk Premium]],5)</f>
        <v>0.0486906451636496</v>
      </c>
      <c r="D2" s="182" t="n">
        <f aca="false">VLOOKUP(A2,Table1[[Country]:[Country Risk Premium]],4)</f>
        <v>0.00419504851160823</v>
      </c>
      <c r="E2" s="182" t="n">
        <f aca="false">C2</f>
        <v>0.0486906451636496</v>
      </c>
      <c r="F2" s="67" t="n">
        <f aca="false">VLOOKUP(A2,'Country Tax Rates'!$A$2:$B$159,2)</f>
        <v>0.09</v>
      </c>
      <c r="G2" s="67" t="n">
        <f aca="false">VLOOKUP(A2,Table1[[Country]:[Country Risk Premium]],6)</f>
        <v>0.0063906451636496</v>
      </c>
      <c r="I2" s="80" t="s">
        <v>641</v>
      </c>
      <c r="J2" s="80" t="s">
        <v>642</v>
      </c>
      <c r="K2" s="80" t="s">
        <v>130</v>
      </c>
      <c r="L2" s="80" t="s">
        <v>132</v>
      </c>
      <c r="M2" s="80" t="s">
        <v>107</v>
      </c>
      <c r="N2" s="263" t="s">
        <v>273</v>
      </c>
      <c r="O2" s="264" t="n">
        <v>74</v>
      </c>
    </row>
    <row r="3" customFormat="false" ht="15.75" hidden="false" customHeight="true" outlineLevel="0" collapsed="false">
      <c r="A3" s="64" t="str">
        <f aca="false">'ERPs by country'!A10</f>
        <v>Albania</v>
      </c>
      <c r="B3" s="262" t="n">
        <f aca="false">VLOOKUP(A3,$N$2:$O$142,2,FALSE())</f>
        <v>74</v>
      </c>
      <c r="C3" s="182" t="n">
        <f aca="false">VLOOKUP(A3,Table1[[Country]:[Country Risk Premium]],5)</f>
        <v>0.0888604147637328</v>
      </c>
      <c r="D3" s="182" t="n">
        <f aca="false">VLOOKUP(A3,Table1[[Country]:[Country Risk Premium]],4)</f>
        <v>0.0305639248702886</v>
      </c>
      <c r="E3" s="182" t="n">
        <f aca="false">C3</f>
        <v>0.0888604147637328</v>
      </c>
      <c r="F3" s="67" t="n">
        <f aca="false">VLOOKUP(A3,'Country Tax Rates'!$A$2:$B$159,2)</f>
        <v>0.15</v>
      </c>
      <c r="G3" s="67" t="n">
        <f aca="false">VLOOKUP(A3,Table1[[Country]:[Country Risk Premium]],6)</f>
        <v>0.0465604147637328</v>
      </c>
      <c r="H3" s="264"/>
      <c r="I3" s="80" t="n">
        <v>0</v>
      </c>
      <c r="J3" s="265" t="n">
        <v>50</v>
      </c>
      <c r="K3" s="247" t="n">
        <f aca="false">$K$18+L3*'Relative Equity Volatility'!$D$7</f>
        <v>0.30889117303269</v>
      </c>
      <c r="L3" s="247" t="n">
        <f aca="false">J41</f>
        <v>0.175</v>
      </c>
      <c r="M3" s="80" t="s">
        <v>643</v>
      </c>
      <c r="N3" s="263" t="s">
        <v>409</v>
      </c>
      <c r="O3" s="264" t="n">
        <v>67</v>
      </c>
    </row>
    <row r="4" customFormat="false" ht="15.75" hidden="false" customHeight="false" outlineLevel="0" collapsed="false">
      <c r="A4" s="64" t="str">
        <f aca="false">'ERPs by country'!A11</f>
        <v>Andorra (Principality of)</v>
      </c>
      <c r="B4" s="262" t="e">
        <f aca="false">VLOOKUP(A4,$N$2:$O$142,2,FALSE())</f>
        <v>#N/A</v>
      </c>
      <c r="C4" s="182" t="n">
        <f aca="false">VLOOKUP(A4,Table1[[Country]:[Country Risk Premium]],5)</f>
        <v>0.0629935176727701</v>
      </c>
      <c r="D4" s="182" t="n">
        <f aca="false">VLOOKUP(A4,Table1[[Country]:[Country Risk Premium]],4)</f>
        <v>0.0135839666090171</v>
      </c>
      <c r="E4" s="182" t="n">
        <f aca="false">C4</f>
        <v>0.0629935176727701</v>
      </c>
      <c r="F4" s="67" t="n">
        <f aca="false">VLOOKUP(A4,'Country Tax Rates'!$A$2:$B$159,2)</f>
        <v>0.1</v>
      </c>
      <c r="G4" s="67" t="n">
        <f aca="false">VLOOKUP(A4,Table1[[Country]:[Country Risk Premium]],6)</f>
        <v>0.0206935176727701</v>
      </c>
      <c r="H4" s="264"/>
      <c r="I4" s="265" t="n">
        <v>50.001</v>
      </c>
      <c r="J4" s="265" t="n">
        <v>55</v>
      </c>
      <c r="K4" s="247" t="n">
        <f aca="false">$K$18+L4*'Relative Equity Volatility'!$D$7</f>
        <v>0.197653540763958</v>
      </c>
      <c r="L4" s="247" t="n">
        <f aca="false">J40</f>
        <v>0.101979631675048</v>
      </c>
      <c r="M4" s="266" t="s">
        <v>644</v>
      </c>
      <c r="N4" s="263" t="s">
        <v>183</v>
      </c>
      <c r="O4" s="264" t="n">
        <v>63.5</v>
      </c>
    </row>
    <row r="5" customFormat="false" ht="15.75" hidden="false" customHeight="false" outlineLevel="0" collapsed="false">
      <c r="A5" s="64" t="str">
        <f aca="false">'ERPs by country'!A12</f>
        <v>Angola</v>
      </c>
      <c r="B5" s="262" t="n">
        <f aca="false">VLOOKUP(A5,$N$2:$O$142,2,FALSE())</f>
        <v>63.5</v>
      </c>
      <c r="C5" s="182" t="n">
        <f aca="false">VLOOKUP(A5,Table1[[Country]:[Country Risk Premium]],5)</f>
        <v>0.12644349465472</v>
      </c>
      <c r="D5" s="182" t="n">
        <f aca="false">VLOOKUP(A5,Table1[[Country]:[Country Risk Premium]],4)</f>
        <v>0.0552348054028417</v>
      </c>
      <c r="E5" s="182" t="n">
        <f aca="false">C5</f>
        <v>0.12644349465472</v>
      </c>
      <c r="F5" s="67" t="n">
        <f aca="false">VLOOKUP(A5,'Country Tax Rates'!$A$2:$B$159,2)</f>
        <v>0.25</v>
      </c>
      <c r="G5" s="67" t="n">
        <f aca="false">VLOOKUP(A5,Table1[[Country]:[Country Risk Premium]],6)</f>
        <v>0.0841434946547197</v>
      </c>
      <c r="H5" s="264"/>
      <c r="I5" s="265" t="n">
        <v>55.001</v>
      </c>
      <c r="J5" s="265" t="n">
        <v>57</v>
      </c>
      <c r="K5" s="247" t="n">
        <f aca="false">$K$18+L5*'Relative Equity Volatility'!$D$7</f>
        <v>0.171786643672995</v>
      </c>
      <c r="L5" s="247" t="n">
        <f aca="false">J39</f>
        <v>0.0849996734137763</v>
      </c>
      <c r="M5" s="80" t="s">
        <v>135</v>
      </c>
      <c r="N5" s="263" t="s">
        <v>254</v>
      </c>
      <c r="O5" s="264" t="n">
        <v>69.5</v>
      </c>
    </row>
    <row r="6" customFormat="false" ht="15.75" hidden="false" customHeight="false" outlineLevel="0" collapsed="false">
      <c r="A6" s="64" t="str">
        <f aca="false">'ERPs by country'!A13</f>
        <v>Argentina</v>
      </c>
      <c r="B6" s="262" t="n">
        <f aca="false">VLOOKUP(A6,$N$2:$O$142,2,FALSE())</f>
        <v>69.5</v>
      </c>
      <c r="C6" s="182" t="n">
        <f aca="false">VLOOKUP(A6,Table1[[Country]:[Country Risk Premium]],5)</f>
        <v>0.139376943200201</v>
      </c>
      <c r="D6" s="182" t="n">
        <f aca="false">VLOOKUP(A6,Table1[[Country]:[Country Risk Premium]],4)</f>
        <v>0.0637247845334774</v>
      </c>
      <c r="E6" s="182" t="n">
        <f aca="false">C6</f>
        <v>0.139376943200201</v>
      </c>
      <c r="F6" s="67" t="n">
        <f aca="false">VLOOKUP(A6,'Country Tax Rates'!$A$2:$B$159,2)</f>
        <v>0.35</v>
      </c>
      <c r="G6" s="67" t="n">
        <f aca="false">VLOOKUP(A6,Table1[[Country]:[Country Risk Premium]],6)</f>
        <v>0.097076943200201</v>
      </c>
      <c r="H6" s="264"/>
      <c r="I6" s="265" t="n">
        <v>57.001</v>
      </c>
      <c r="J6" s="265" t="n">
        <v>60</v>
      </c>
      <c r="K6" s="247" t="n">
        <f aca="false">$K$18+L6*'Relative Equity Volatility'!$D$7</f>
        <v>0.158853195127514</v>
      </c>
      <c r="L6" s="247" t="n">
        <f aca="false">J38</f>
        <v>0.0765096942831406</v>
      </c>
      <c r="M6" s="80" t="s">
        <v>134</v>
      </c>
      <c r="N6" s="263" t="s">
        <v>274</v>
      </c>
      <c r="O6" s="264" t="n">
        <v>66.25</v>
      </c>
    </row>
    <row r="7" customFormat="false" ht="15.75" hidden="false" customHeight="false" outlineLevel="0" collapsed="false">
      <c r="A7" s="64" t="str">
        <f aca="false">'ERPs by country'!A14</f>
        <v>Armenia</v>
      </c>
      <c r="B7" s="262" t="n">
        <f aca="false">VLOOKUP(A7,$N$2:$O$142,2,FALSE())</f>
        <v>66.25</v>
      </c>
      <c r="C7" s="182" t="n">
        <f aca="false">VLOOKUP(A7,Table1[[Country]:[Country Risk Premium]],5)</f>
        <v>0.0888604147637328</v>
      </c>
      <c r="D7" s="182" t="n">
        <f aca="false">VLOOKUP(A7,Table1[[Country]:[Country Risk Premium]],4)</f>
        <v>0.0305639248702886</v>
      </c>
      <c r="E7" s="182" t="n">
        <f aca="false">C7</f>
        <v>0.0888604147637328</v>
      </c>
      <c r="F7" s="67" t="n">
        <f aca="false">VLOOKUP(A7,'Country Tax Rates'!$A$2:$B$159,2)</f>
        <v>0.18</v>
      </c>
      <c r="G7" s="67" t="n">
        <f aca="false">VLOOKUP(A7,Table1[[Country]:[Country Risk Premium]],6)</f>
        <v>0.0465604147637328</v>
      </c>
      <c r="H7" s="264"/>
      <c r="I7" s="265" t="n">
        <v>60.001</v>
      </c>
      <c r="J7" s="265" t="n">
        <v>62</v>
      </c>
      <c r="K7" s="247" t="n">
        <f aca="false">$K$18+L7*'Relative Equity Volatility'!$D$7</f>
        <v>0.139376943200201</v>
      </c>
      <c r="L7" s="247" t="n">
        <f aca="false">J37</f>
        <v>0.0637247845334774</v>
      </c>
      <c r="M7" s="80" t="s">
        <v>133</v>
      </c>
      <c r="N7" s="263" t="s">
        <v>237</v>
      </c>
      <c r="O7" s="264" t="n">
        <v>79.5</v>
      </c>
    </row>
    <row r="8" customFormat="false" ht="15.75" hidden="false" customHeight="false" outlineLevel="0" collapsed="false">
      <c r="A8" s="64" t="str">
        <f aca="false">'ERPs by country'!A15</f>
        <v>Aruba</v>
      </c>
      <c r="B8" s="262" t="e">
        <f aca="false">VLOOKUP(A8,$N$2:$O$142,2,FALSE())</f>
        <v>#N/A</v>
      </c>
      <c r="C8" s="182" t="n">
        <f aca="false">VLOOKUP(A8,Table1[[Country]:[Country Risk Premium]],5)</f>
        <v>0.0707535868000589</v>
      </c>
      <c r="D8" s="182" t="n">
        <f aca="false">VLOOKUP(A8,Table1[[Country]:[Country Risk Premium]],4)</f>
        <v>0.0186779540873986</v>
      </c>
      <c r="E8" s="182" t="n">
        <f aca="false">C8</f>
        <v>0.0707535868000589</v>
      </c>
      <c r="F8" s="67" t="n">
        <f aca="false">VLOOKUP(A8,'Country Tax Rates'!$A$2:$B$159,2)</f>
        <v>0.22</v>
      </c>
      <c r="G8" s="67" t="n">
        <f aca="false">VLOOKUP(A8,Table1[[Country]:[Country Risk Premium]],6)</f>
        <v>0.0284535868000589</v>
      </c>
      <c r="H8" s="264"/>
      <c r="I8" s="265" t="n">
        <v>62.001</v>
      </c>
      <c r="J8" s="265" t="n">
        <v>64</v>
      </c>
      <c r="K8" s="247" t="n">
        <f aca="false">$K$18+L8*'Relative Equity Volatility'!$D$7</f>
        <v>0.12644349465472</v>
      </c>
      <c r="L8" s="247" t="n">
        <f aca="false">J36</f>
        <v>0.0552348054028417</v>
      </c>
      <c r="M8" s="80" t="s">
        <v>118</v>
      </c>
      <c r="N8" s="263" t="s">
        <v>316</v>
      </c>
      <c r="O8" s="264" t="n">
        <v>77.25</v>
      </c>
    </row>
    <row r="9" customFormat="false" ht="15.75" hidden="false" customHeight="false" outlineLevel="0" collapsed="false">
      <c r="A9" s="64" t="str">
        <f aca="false">'ERPs by country'!A16</f>
        <v>Australia</v>
      </c>
      <c r="B9" s="262" t="n">
        <f aca="false">VLOOKUP(A9,$N$2:$O$142,2,FALSE())</f>
        <v>79.5</v>
      </c>
      <c r="C9" s="182" t="n">
        <f aca="false">VLOOKUP(A9,Table1[[Country]:[Country Risk Premium]],5)</f>
        <v>0.0423</v>
      </c>
      <c r="D9" s="182" t="n">
        <f aca="false">VLOOKUP(A9,Table1[[Country]:[Country Risk Premium]],4)</f>
        <v>0</v>
      </c>
      <c r="E9" s="182" t="n">
        <f aca="false">C9</f>
        <v>0.0423</v>
      </c>
      <c r="F9" s="67" t="n">
        <f aca="false">VLOOKUP(A9,'Country Tax Rates'!$A$2:$B$159,2)</f>
        <v>0.3</v>
      </c>
      <c r="G9" s="67" t="n">
        <f aca="false">VLOOKUP(A9,Table1[[Country]:[Country Risk Premium]],6)</f>
        <v>0</v>
      </c>
      <c r="H9" s="264"/>
      <c r="I9" s="265" t="n">
        <v>64.001</v>
      </c>
      <c r="J9" s="265" t="n">
        <v>66</v>
      </c>
      <c r="K9" s="247" t="n">
        <f aca="false">$K$18+L9*'Relative Equity Volatility'!$D$7</f>
        <v>0.113510046109238</v>
      </c>
      <c r="L9" s="247" t="n">
        <f aca="false">J35</f>
        <v>0.046744826272206</v>
      </c>
      <c r="M9" s="80" t="s">
        <v>117</v>
      </c>
      <c r="N9" s="263" t="s">
        <v>275</v>
      </c>
      <c r="O9" s="264" t="n">
        <v>74.25</v>
      </c>
    </row>
    <row r="10" customFormat="false" ht="15.75" hidden="false" customHeight="false" outlineLevel="0" collapsed="false">
      <c r="A10" s="64" t="str">
        <f aca="false">'ERPs by country'!A17</f>
        <v>Austria</v>
      </c>
      <c r="B10" s="262" t="n">
        <f aca="false">VLOOKUP(A10,$N$2:$O$142,2,FALSE())</f>
        <v>77.25</v>
      </c>
      <c r="C10" s="182" t="n">
        <f aca="false">VLOOKUP(A10,Table1[[Country]:[Country Risk Premium]],5)</f>
        <v>0.0458550758137721</v>
      </c>
      <c r="D10" s="182" t="n">
        <f aca="false">VLOOKUP(A10,Table1[[Country]:[Country Risk Premium]],4)</f>
        <v>0.00233367916999202</v>
      </c>
      <c r="E10" s="182" t="n">
        <f aca="false">C10</f>
        <v>0.0458550758137721</v>
      </c>
      <c r="F10" s="67" t="n">
        <f aca="false">VLOOKUP(A10,'Country Tax Rates'!$A$2:$B$159,2)</f>
        <v>0.23</v>
      </c>
      <c r="G10" s="67" t="n">
        <f aca="false">VLOOKUP(A10,Table1[[Country]:[Country Risk Premium]],6)</f>
        <v>0.00355507581377215</v>
      </c>
      <c r="H10" s="264"/>
      <c r="I10" s="265" t="n">
        <v>66.001</v>
      </c>
      <c r="J10" s="265" t="n">
        <v>68</v>
      </c>
      <c r="K10" s="247" t="n">
        <f aca="false">$K$18+L10*'Relative Equity Volatility'!$D$7</f>
        <v>0.100576597563757</v>
      </c>
      <c r="L10" s="247" t="n">
        <f aca="false">J34</f>
        <v>0.0382548471415703</v>
      </c>
      <c r="M10" s="80" t="s">
        <v>116</v>
      </c>
      <c r="N10" s="263" t="s">
        <v>241</v>
      </c>
      <c r="O10" s="264" t="n">
        <v>77</v>
      </c>
    </row>
    <row r="11" customFormat="false" ht="15.75" hidden="false" customHeight="false" outlineLevel="0" collapsed="false">
      <c r="A11" s="64" t="str">
        <f aca="false">'ERPs by country'!A18</f>
        <v>Azerbaijan</v>
      </c>
      <c r="B11" s="262" t="n">
        <f aca="false">VLOOKUP(A11,$N$2:$O$142,2,FALSE())</f>
        <v>74.25</v>
      </c>
      <c r="C11" s="182" t="n">
        <f aca="false">VLOOKUP(A11,Table1[[Country]:[Country Risk Premium]],5)</f>
        <v>0.0707535868000589</v>
      </c>
      <c r="D11" s="182" t="n">
        <f aca="false">VLOOKUP(A11,Table1[[Country]:[Country Risk Premium]],4)</f>
        <v>0.0186779540873986</v>
      </c>
      <c r="E11" s="182" t="n">
        <f aca="false">C11</f>
        <v>0.0707535868000589</v>
      </c>
      <c r="F11" s="67" t="n">
        <f aca="false">VLOOKUP(A11,'Country Tax Rates'!$A$2:$B$159,2)</f>
        <v>0.2</v>
      </c>
      <c r="G11" s="67" t="n">
        <f aca="false">VLOOKUP(A11,Table1[[Country]:[Country Risk Premium]],6)</f>
        <v>0.0284535868000589</v>
      </c>
      <c r="H11" s="264"/>
      <c r="I11" s="265" t="n">
        <v>68.001</v>
      </c>
      <c r="J11" s="265" t="n">
        <v>69</v>
      </c>
      <c r="K11" s="247" t="n">
        <f aca="false">$K$18+L11*'Relative Equity Volatility'!$D$7</f>
        <v>0.0888604147637328</v>
      </c>
      <c r="L11" s="247" t="n">
        <f aca="false">J33</f>
        <v>0.0305639248702886</v>
      </c>
      <c r="M11" s="80" t="s">
        <v>121</v>
      </c>
      <c r="N11" s="263" t="s">
        <v>301</v>
      </c>
      <c r="O11" s="264" t="n">
        <v>70.5</v>
      </c>
    </row>
    <row r="12" customFormat="false" ht="15.75" hidden="false" customHeight="false" outlineLevel="0" collapsed="false">
      <c r="A12" s="64" t="str">
        <f aca="false">'ERPs by country'!A19</f>
        <v>Bahamas</v>
      </c>
      <c r="B12" s="262" t="n">
        <f aca="false">VLOOKUP(A12,$N$2:$O$142,2,FALSE())</f>
        <v>77</v>
      </c>
      <c r="C12" s="182" t="n">
        <f aca="false">VLOOKUP(A12,Table1[[Country]:[Country Risk Premium]],5)</f>
        <v>0.100576597563757</v>
      </c>
      <c r="D12" s="182" t="n">
        <f aca="false">VLOOKUP(A12,Table1[[Country]:[Country Risk Premium]],4)</f>
        <v>0.0382548471415703</v>
      </c>
      <c r="E12" s="182" t="n">
        <f aca="false">C12</f>
        <v>0.100576597563757</v>
      </c>
      <c r="F12" s="67" t="n">
        <f aca="false">VLOOKUP(A12,'Country Tax Rates'!$A$2:$B$159,2)</f>
        <v>0</v>
      </c>
      <c r="G12" s="67" t="n">
        <f aca="false">VLOOKUP(A12,Table1[[Country]:[Country Risk Premium]],6)</f>
        <v>0.058276597563757</v>
      </c>
      <c r="H12" s="264"/>
      <c r="I12" s="265" t="n">
        <v>69.001</v>
      </c>
      <c r="J12" s="265" t="n">
        <v>72</v>
      </c>
      <c r="K12" s="247" t="n">
        <f aca="false">$K$18+L12*'Relative Equity Volatility'!$D$7</f>
        <v>0.0812525038546261</v>
      </c>
      <c r="L12" s="247" t="n">
        <f aca="false">J32</f>
        <v>0.0255698194993264</v>
      </c>
      <c r="M12" s="80" t="s">
        <v>120</v>
      </c>
      <c r="N12" s="263" t="s">
        <v>213</v>
      </c>
      <c r="O12" s="264" t="n">
        <v>66</v>
      </c>
    </row>
    <row r="13" customFormat="false" ht="15.75" hidden="false" customHeight="false" outlineLevel="0" collapsed="false">
      <c r="A13" s="64" t="str">
        <f aca="false">'ERPs by country'!A20</f>
        <v>Bahrain</v>
      </c>
      <c r="B13" s="262" t="n">
        <f aca="false">VLOOKUP(A13,$N$2:$O$142,2,FALSE())</f>
        <v>70.5</v>
      </c>
      <c r="C13" s="182" t="n">
        <f aca="false">VLOOKUP(A13,Table1[[Country]:[Country Risk Premium]],5)</f>
        <v>0.113510046109238</v>
      </c>
      <c r="D13" s="182" t="n">
        <f aca="false">VLOOKUP(A13,Table1[[Country]:[Country Risk Premium]],4)</f>
        <v>0.046744826272206</v>
      </c>
      <c r="E13" s="182" t="n">
        <f aca="false">C13</f>
        <v>0.113510046109238</v>
      </c>
      <c r="F13" s="67" t="n">
        <f aca="false">VLOOKUP(A13,'Country Tax Rates'!$A$2:$B$159,2)</f>
        <v>0</v>
      </c>
      <c r="G13" s="67" t="n">
        <f aca="false">VLOOKUP(A13,Table1[[Country]:[Country Risk Premium]],6)</f>
        <v>0.0712100461092384</v>
      </c>
      <c r="H13" s="264"/>
      <c r="I13" s="265" t="n">
        <v>72.001</v>
      </c>
      <c r="J13" s="265" t="n">
        <v>74</v>
      </c>
      <c r="K13" s="247" t="n">
        <f aca="false">$K$18+L13*'Relative Equity Volatility'!$D$7</f>
        <v>0.0669496313455056</v>
      </c>
      <c r="L13" s="247" t="n">
        <f aca="false">J29</f>
        <v>0.0161809014019175</v>
      </c>
      <c r="M13" s="80" t="s">
        <v>123</v>
      </c>
      <c r="N13" s="263" t="s">
        <v>276</v>
      </c>
      <c r="O13" s="264" t="n">
        <v>64.75</v>
      </c>
    </row>
    <row r="14" customFormat="false" ht="15.75" hidden="false" customHeight="false" outlineLevel="0" collapsed="false">
      <c r="A14" s="64" t="str">
        <f aca="false">'ERPs by country'!A21</f>
        <v>Bangladesh</v>
      </c>
      <c r="B14" s="262" t="n">
        <f aca="false">VLOOKUP(A14,$N$2:$O$142,2,FALSE())</f>
        <v>66</v>
      </c>
      <c r="C14" s="182" t="n">
        <f aca="false">VLOOKUP(A14,Table1[[Country]:[Country Risk Premium]],5)</f>
        <v>0.113510046109238</v>
      </c>
      <c r="D14" s="182" t="n">
        <f aca="false">VLOOKUP(A14,Table1[[Country]:[Country Risk Premium]],4)</f>
        <v>0.046744826272206</v>
      </c>
      <c r="E14" s="182" t="n">
        <f aca="false">C14</f>
        <v>0.113510046109238</v>
      </c>
      <c r="F14" s="67" t="n">
        <f aca="false">VLOOKUP(A14,'Country Tax Rates'!$A$2:$B$159,2)</f>
        <v>0.275</v>
      </c>
      <c r="G14" s="67" t="n">
        <f aca="false">VLOOKUP(A14,Table1[[Country]:[Country Risk Premium]],6)</f>
        <v>0.0712100461092384</v>
      </c>
      <c r="H14" s="264"/>
      <c r="I14" s="265" t="n">
        <v>74.001</v>
      </c>
      <c r="J14" s="265" t="n">
        <v>76</v>
      </c>
      <c r="K14" s="247" t="n">
        <f aca="false">$K$18+L14*'Relative Equity Volatility'!$D$7</f>
        <v>0.0629935176727701</v>
      </c>
      <c r="L14" s="247" t="n">
        <f aca="false">J28</f>
        <v>0.0135839666090171</v>
      </c>
      <c r="M14" s="80" t="s">
        <v>122</v>
      </c>
      <c r="N14" s="263" t="s">
        <v>317</v>
      </c>
      <c r="O14" s="264" t="n">
        <v>75.25</v>
      </c>
    </row>
    <row r="15" customFormat="false" ht="15.75" hidden="false" customHeight="false" outlineLevel="0" collapsed="false">
      <c r="A15" s="64" t="str">
        <f aca="false">'ERPs by country'!A22</f>
        <v>Barbados</v>
      </c>
      <c r="B15" s="262" t="e">
        <f aca="false">VLOOKUP(A15,$N$2:$O$142,2,FALSE())</f>
        <v>#N/A</v>
      </c>
      <c r="C15" s="182" t="n">
        <f aca="false">VLOOKUP(A15,Table1[[Country]:[Country Risk Premium]],5)</f>
        <v>0.113510046109238</v>
      </c>
      <c r="D15" s="182" t="n">
        <f aca="false">VLOOKUP(A15,Table1[[Country]:[Country Risk Premium]],4)</f>
        <v>0.046744826272206</v>
      </c>
      <c r="E15" s="182" t="n">
        <f aca="false">C15</f>
        <v>0.113510046109238</v>
      </c>
      <c r="F15" s="67" t="n">
        <f aca="false">VLOOKUP(A15,'Country Tax Rates'!$A$2:$B$159,2)</f>
        <v>0.09</v>
      </c>
      <c r="G15" s="67" t="n">
        <f aca="false">VLOOKUP(A15,Table1[[Country]:[Country Risk Premium]],6)</f>
        <v>0.0712100461092384</v>
      </c>
      <c r="H15" s="264"/>
      <c r="I15" s="265" t="n">
        <v>76.001</v>
      </c>
      <c r="J15" s="265" t="n">
        <v>80</v>
      </c>
      <c r="K15" s="247" t="n">
        <f aca="false">$K$18+L15*'Relative Equity Volatility'!$D$7</f>
        <v>0.0532553917091136</v>
      </c>
      <c r="L15" s="247" t="n">
        <f aca="false">J26</f>
        <v>0.00719151173418554</v>
      </c>
      <c r="M15" s="80" t="s">
        <v>110</v>
      </c>
      <c r="N15" s="263" t="s">
        <v>256</v>
      </c>
      <c r="O15" s="264" t="n">
        <v>60.5</v>
      </c>
    </row>
    <row r="16" customFormat="false" ht="15.75" hidden="false" customHeight="false" outlineLevel="0" collapsed="false">
      <c r="A16" s="64" t="str">
        <f aca="false">'ERPs by country'!A23</f>
        <v>Belarus</v>
      </c>
      <c r="B16" s="262" t="n">
        <f aca="false">VLOOKUP(A16,$N$2:$O$142,2,FALSE())</f>
        <v>64.75</v>
      </c>
      <c r="C16" s="182" t="n">
        <f aca="false">VLOOKUP(A16,Table1[[Country]:[Country Risk Premium]],5)</f>
        <v>0.30889117303269</v>
      </c>
      <c r="D16" s="182" t="n">
        <f aca="false">VLOOKUP(A16,Table1[[Country]:[Country Risk Premium]],4)</f>
        <v>0.175</v>
      </c>
      <c r="E16" s="182" t="n">
        <f aca="false">C16</f>
        <v>0.30889117303269</v>
      </c>
      <c r="F16" s="67" t="n">
        <f aca="false">VLOOKUP(A16,'Country Tax Rates'!$A$2:$B$159,2)</f>
        <v>0.25</v>
      </c>
      <c r="G16" s="67" t="n">
        <f aca="false">VLOOKUP(A16,Table1[[Country]:[Country Risk Premium]],6)</f>
        <v>0.26659117303269</v>
      </c>
      <c r="H16" s="264"/>
      <c r="I16" s="265" t="n">
        <v>80.001</v>
      </c>
      <c r="J16" s="265" t="n">
        <v>82.5</v>
      </c>
      <c r="K16" s="247" t="n">
        <f aca="false">$K$18+L16*'Relative Equity Volatility'!$D$7</f>
        <v>0.0500600691272888</v>
      </c>
      <c r="L16" s="247" t="n">
        <f aca="false">J24</f>
        <v>0.00509398747838143</v>
      </c>
      <c r="M16" s="80" t="s">
        <v>114</v>
      </c>
      <c r="N16" s="263" t="s">
        <v>185</v>
      </c>
      <c r="O16" s="264" t="n">
        <v>77.5</v>
      </c>
    </row>
    <row r="17" customFormat="false" ht="15.75" hidden="false" customHeight="false" outlineLevel="0" collapsed="false">
      <c r="A17" s="64" t="str">
        <f aca="false">'ERPs by country'!A24</f>
        <v>Belgium</v>
      </c>
      <c r="B17" s="262" t="n">
        <f aca="false">VLOOKUP(A17,$N$2:$O$142,2,FALSE())</f>
        <v>75.25</v>
      </c>
      <c r="C17" s="182" t="n">
        <f aca="false">VLOOKUP(A17,Table1[[Country]:[Country Risk Premium]],5)</f>
        <v>0.0500600691272888</v>
      </c>
      <c r="D17" s="182" t="n">
        <f aca="false">VLOOKUP(A17,Table1[[Country]:[Country Risk Premium]],4)</f>
        <v>0.00509398747838143</v>
      </c>
      <c r="E17" s="182" t="n">
        <f aca="false">C17</f>
        <v>0.0500600691272888</v>
      </c>
      <c r="F17" s="67" t="n">
        <f aca="false">VLOOKUP(A17,'Country Tax Rates'!$A$2:$B$159,2)</f>
        <v>0.25</v>
      </c>
      <c r="G17" s="67" t="n">
        <f aca="false">VLOOKUP(A17,Table1[[Country]:[Country Risk Premium]],6)</f>
        <v>0.0077600691272888</v>
      </c>
      <c r="H17" s="264"/>
      <c r="I17" s="265" t="n">
        <v>82.501</v>
      </c>
      <c r="J17" s="265" t="n">
        <v>85</v>
      </c>
      <c r="K17" s="247" t="n">
        <f aca="false">$K$18+L17*'Relative Equity Volatility'!$D$7</f>
        <v>0.0458550758137721</v>
      </c>
      <c r="L17" s="247" t="n">
        <f aca="false">J22</f>
        <v>0.00233367916999202</v>
      </c>
      <c r="M17" s="80" t="s">
        <v>112</v>
      </c>
      <c r="N17" s="263" t="s">
        <v>257</v>
      </c>
      <c r="O17" s="264" t="n">
        <v>69.5</v>
      </c>
    </row>
    <row r="18" customFormat="false" ht="15.75" hidden="false" customHeight="false" outlineLevel="0" collapsed="false">
      <c r="A18" s="64" t="str">
        <f aca="false">'ERPs by country'!A25</f>
        <v>Belize</v>
      </c>
      <c r="B18" s="262" t="e">
        <f aca="false">VLOOKUP(A18,$N$2:$O$142,2,FALSE())</f>
        <v>#N/A</v>
      </c>
      <c r="C18" s="182" t="n">
        <f aca="false">VLOOKUP(A18,Table1[[Country]:[Country Risk Premium]],5)</f>
        <v>0.139376943200201</v>
      </c>
      <c r="D18" s="182" t="n">
        <f aca="false">VLOOKUP(A18,Table1[[Country]:[Country Risk Premium]],4)</f>
        <v>0.0637247845334774</v>
      </c>
      <c r="E18" s="182" t="n">
        <f aca="false">C18</f>
        <v>0.139376943200201</v>
      </c>
      <c r="F18" s="67" t="n">
        <f aca="false">VLOOKUP(A18,'Country Tax Rates'!$A$2:$B$159,2)</f>
        <v>0</v>
      </c>
      <c r="G18" s="67" t="n">
        <f aca="false">VLOOKUP(A18,Table1[[Country]:[Country Risk Premium]],6)</f>
        <v>0.097076943200201</v>
      </c>
      <c r="H18" s="264"/>
      <c r="I18" s="265" t="n">
        <v>85.001</v>
      </c>
      <c r="J18" s="265" t="n">
        <v>90.0001</v>
      </c>
      <c r="K18" s="247" t="n">
        <f aca="false">'ERPs by country'!E3</f>
        <v>0.0423</v>
      </c>
      <c r="L18" s="247" t="n">
        <f aca="false">J21</f>
        <v>0</v>
      </c>
      <c r="M18" s="80" t="s">
        <v>115</v>
      </c>
      <c r="N18" s="263" t="s">
        <v>518</v>
      </c>
      <c r="O18" s="264" t="n">
        <v>80.75</v>
      </c>
    </row>
    <row r="19" customFormat="false" ht="15.75" hidden="false" customHeight="false" outlineLevel="0" collapsed="false">
      <c r="A19" s="64" t="str">
        <f aca="false">'ERPs by country'!A26</f>
        <v>Benin</v>
      </c>
      <c r="B19" s="262" t="e">
        <f aca="false">VLOOKUP(A19,$N$2:$O$142,2,FALSE())</f>
        <v>#N/A</v>
      </c>
      <c r="C19" s="182" t="n">
        <f aca="false">VLOOKUP(A19,Table1[[Country]:[Country Risk Premium]],5)</f>
        <v>0.100576597563757</v>
      </c>
      <c r="D19" s="182" t="n">
        <f aca="false">VLOOKUP(A19,Table1[[Country]:[Country Risk Premium]],4)</f>
        <v>0.0382548471415703</v>
      </c>
      <c r="E19" s="182" t="n">
        <f aca="false">C19</f>
        <v>0.100576597563757</v>
      </c>
      <c r="F19" s="67" t="n">
        <f aca="false">VLOOKUP(A19,'Country Tax Rates'!$A$2:$B$159,2)</f>
        <v>0.3</v>
      </c>
      <c r="G19" s="67" t="n">
        <f aca="false">VLOOKUP(A19,Table1[[Country]:[Country Risk Premium]],6)</f>
        <v>0.058276597563757</v>
      </c>
      <c r="H19" s="264"/>
      <c r="N19" s="263" t="s">
        <v>278</v>
      </c>
      <c r="O19" s="264" t="n">
        <v>71.75</v>
      </c>
    </row>
    <row r="20" customFormat="false" ht="15.75" hidden="false" customHeight="false" outlineLevel="0" collapsed="false">
      <c r="A20" s="64" t="str">
        <f aca="false">'ERPs by country'!A27</f>
        <v>Bermuda</v>
      </c>
      <c r="B20" s="262" t="e">
        <f aca="false">VLOOKUP(A20,$N$2:$O$142,2,FALSE())</f>
        <v>#N/A</v>
      </c>
      <c r="C20" s="182" t="n">
        <f aca="false">VLOOKUP(A20,Table1[[Country]:[Country Risk Premium]],5)</f>
        <v>0.0532553917091136</v>
      </c>
      <c r="D20" s="182" t="n">
        <f aca="false">VLOOKUP(A20,Table1[[Country]:[Country Risk Premium]],4)</f>
        <v>0.00719151173418554</v>
      </c>
      <c r="E20" s="182" t="n">
        <f aca="false">C20</f>
        <v>0.0532553917091136</v>
      </c>
      <c r="F20" s="67" t="n">
        <f aca="false">VLOOKUP(A20,'Country Tax Rates'!$A$2:$B$159,2)</f>
        <v>0</v>
      </c>
      <c r="G20" s="67" t="n">
        <f aca="false">VLOOKUP(A20,Table1[[Country]:[Country Risk Premium]],6)</f>
        <v>0.0109553917091136</v>
      </c>
      <c r="H20" s="264"/>
      <c r="I20" s="53" t="s">
        <v>107</v>
      </c>
      <c r="J20" s="80" t="s">
        <v>645</v>
      </c>
      <c r="N20" s="263" t="s">
        <v>186</v>
      </c>
      <c r="O20" s="264" t="n">
        <v>60</v>
      </c>
    </row>
    <row r="21" customFormat="false" ht="15.75" hidden="false" customHeight="false" outlineLevel="0" collapsed="false">
      <c r="A21" s="64" t="str">
        <f aca="false">'ERPs by country'!A28</f>
        <v>Bolivia</v>
      </c>
      <c r="B21" s="262" t="n">
        <f aca="false">VLOOKUP(A21,$N$2:$O$142,2,FALSE())</f>
        <v>60.5</v>
      </c>
      <c r="C21" s="182" t="n">
        <f aca="false">VLOOKUP(A21,Table1[[Country]:[Country Risk Premium]],5)</f>
        <v>0.197653540763958</v>
      </c>
      <c r="D21" s="182" t="n">
        <f aca="false">VLOOKUP(A21,Table1[[Country]:[Country Risk Premium]],4)</f>
        <v>0.101979631675048</v>
      </c>
      <c r="E21" s="182" t="n">
        <f aca="false">C21</f>
        <v>0.197653540763958</v>
      </c>
      <c r="F21" s="67" t="n">
        <f aca="false">VLOOKUP(A21,'Country Tax Rates'!$A$2:$B$159,2)</f>
        <v>0.25</v>
      </c>
      <c r="G21" s="67" t="n">
        <f aca="false">VLOOKUP(A21,Table1[[Country]:[Country Risk Premium]],6)</f>
        <v>0.155353540763958</v>
      </c>
      <c r="H21" s="264"/>
      <c r="I21" s="54" t="s">
        <v>115</v>
      </c>
      <c r="J21" s="247" t="n">
        <f aca="false">'Default Spreads for Ratings'!C8/10000</f>
        <v>0</v>
      </c>
      <c r="K21" s="267"/>
      <c r="N21" s="263" t="s">
        <v>187</v>
      </c>
      <c r="O21" s="264" t="n">
        <v>61</v>
      </c>
    </row>
    <row r="22" customFormat="false" ht="15.75" hidden="false" customHeight="false" outlineLevel="0" collapsed="false">
      <c r="A22" s="64" t="str">
        <f aca="false">'ERPs by country'!A29</f>
        <v>Bosnia and Herzegovina</v>
      </c>
      <c r="B22" s="262" t="e">
        <f aca="false">VLOOKUP(A22,$N$2:$O$142,2,FALSE())</f>
        <v>#N/A</v>
      </c>
      <c r="C22" s="182" t="n">
        <f aca="false">VLOOKUP(A22,Table1[[Country]:[Country Risk Premium]],5)</f>
        <v>0.12644349465472</v>
      </c>
      <c r="D22" s="182" t="n">
        <f aca="false">VLOOKUP(A22,Table1[[Country]:[Country Risk Premium]],4)</f>
        <v>0.0552348054028417</v>
      </c>
      <c r="E22" s="182" t="n">
        <f aca="false">C22</f>
        <v>0.12644349465472</v>
      </c>
      <c r="F22" s="67" t="n">
        <f aca="false">VLOOKUP(A22,'Country Tax Rates'!$A$2:$B$159,2)</f>
        <v>0.1</v>
      </c>
      <c r="G22" s="67" t="n">
        <f aca="false">VLOOKUP(A22,Table1[[Country]:[Country Risk Premium]],6)</f>
        <v>0.0841434946547197</v>
      </c>
      <c r="H22" s="264"/>
      <c r="I22" s="54" t="s">
        <v>112</v>
      </c>
      <c r="J22" s="247" t="n">
        <f aca="false">'Default Spreads for Ratings'!C5/10000</f>
        <v>0.00233367916999202</v>
      </c>
      <c r="K22" s="267"/>
      <c r="N22" s="263" t="s">
        <v>313</v>
      </c>
      <c r="O22" s="264" t="n">
        <v>82.5</v>
      </c>
    </row>
    <row r="23" customFormat="false" ht="15.75" hidden="false" customHeight="false" outlineLevel="0" collapsed="false">
      <c r="A23" s="64" t="str">
        <f aca="false">'ERPs by country'!A30</f>
        <v>Botswana</v>
      </c>
      <c r="B23" s="262" t="n">
        <f aca="false">VLOOKUP(A23,$N$2:$O$142,2,FALSE())</f>
        <v>77.5</v>
      </c>
      <c r="C23" s="182" t="n">
        <f aca="false">VLOOKUP(A23,Table1[[Country]:[Country Risk Premium]],5)</f>
        <v>0.0629935176727701</v>
      </c>
      <c r="D23" s="182" t="n">
        <f aca="false">VLOOKUP(A23,Table1[[Country]:[Country Risk Premium]],4)</f>
        <v>0.0135839666090171</v>
      </c>
      <c r="E23" s="182" t="n">
        <f aca="false">C23</f>
        <v>0.0629935176727701</v>
      </c>
      <c r="F23" s="67" t="n">
        <f aca="false">VLOOKUP(A23,'Country Tax Rates'!$A$2:$B$159,2)</f>
        <v>0.22</v>
      </c>
      <c r="G23" s="67" t="n">
        <f aca="false">VLOOKUP(A23,Table1[[Country]:[Country Risk Premium]],6)</f>
        <v>0.0206935176727701</v>
      </c>
      <c r="H23" s="264"/>
      <c r="I23" s="54" t="s">
        <v>113</v>
      </c>
      <c r="J23" s="247" t="n">
        <f aca="false">'Default Spreads for Ratings'!C6/10000</f>
        <v>0.00419504851160823</v>
      </c>
      <c r="K23" s="267"/>
      <c r="N23" s="263" t="s">
        <v>258</v>
      </c>
      <c r="O23" s="264" t="n">
        <v>76</v>
      </c>
    </row>
    <row r="24" customFormat="false" ht="15.75" hidden="false" customHeight="false" outlineLevel="0" collapsed="false">
      <c r="A24" s="64" t="str">
        <f aca="false">'ERPs by country'!A31</f>
        <v>Brazil</v>
      </c>
      <c r="B24" s="262" t="n">
        <f aca="false">VLOOKUP(A24,$N$2:$O$142,2,FALSE())</f>
        <v>69.5</v>
      </c>
      <c r="C24" s="182" t="n">
        <f aca="false">VLOOKUP(A24,Table1[[Country]:[Country Risk Premium]],5)</f>
        <v>0.0747097004727944</v>
      </c>
      <c r="D24" s="182" t="n">
        <f aca="false">VLOOKUP(A24,Table1[[Country]:[Country Risk Premium]],4)</f>
        <v>0.0212748888802989</v>
      </c>
      <c r="E24" s="182" t="n">
        <f aca="false">C24</f>
        <v>0.0747097004727944</v>
      </c>
      <c r="F24" s="67" t="n">
        <f aca="false">VLOOKUP(A24,'Country Tax Rates'!$A$2:$B$159,2)</f>
        <v>0.34</v>
      </c>
      <c r="G24" s="67" t="n">
        <f aca="false">VLOOKUP(A24,Table1[[Country]:[Country Risk Premium]],6)</f>
        <v>0.0324097004727944</v>
      </c>
      <c r="H24" s="264"/>
      <c r="I24" s="54" t="s">
        <v>114</v>
      </c>
      <c r="J24" s="247" t="n">
        <f aca="false">'Default Spreads for Ratings'!C7/10000</f>
        <v>0.00509398747838143</v>
      </c>
      <c r="K24" s="267"/>
      <c r="N24" s="263" t="s">
        <v>646</v>
      </c>
      <c r="O24" s="264" t="n">
        <v>71.25</v>
      </c>
    </row>
    <row r="25" customFormat="false" ht="15.75" hidden="false" customHeight="false" outlineLevel="0" collapsed="false">
      <c r="A25" s="64" t="str">
        <f aca="false">'ERPs by country'!A32</f>
        <v>Bulgaria</v>
      </c>
      <c r="B25" s="262" t="n">
        <f aca="false">VLOOKUP(A25,$N$2:$O$142,2,FALSE())</f>
        <v>71.75</v>
      </c>
      <c r="C25" s="182" t="n">
        <f aca="false">VLOOKUP(A25,Table1[[Country]:[Country Risk Premium]],5)</f>
        <v>0.0629935176727701</v>
      </c>
      <c r="D25" s="182" t="n">
        <f aca="false">VLOOKUP(A25,Table1[[Country]:[Country Risk Premium]],4)</f>
        <v>0.0135839666090171</v>
      </c>
      <c r="E25" s="182" t="n">
        <f aca="false">C25</f>
        <v>0.0629935176727701</v>
      </c>
      <c r="F25" s="67" t="n">
        <f aca="false">VLOOKUP(A25,'Country Tax Rates'!$A$2:$B$159,2)</f>
        <v>0.1</v>
      </c>
      <c r="G25" s="67" t="n">
        <f aca="false">VLOOKUP(A25,Table1[[Country]:[Country Risk Premium]],6)</f>
        <v>0.0206935176727701</v>
      </c>
      <c r="H25" s="264"/>
      <c r="I25" s="54" t="s">
        <v>109</v>
      </c>
      <c r="J25" s="247" t="n">
        <f aca="false">'Default Spreads for Ratings'!C2/10000</f>
        <v>0.00599292644515462</v>
      </c>
      <c r="K25" s="267"/>
      <c r="N25" s="263" t="s">
        <v>259</v>
      </c>
      <c r="O25" s="264" t="n">
        <v>64.5</v>
      </c>
    </row>
    <row r="26" customFormat="false" ht="15.75" hidden="false" customHeight="false" outlineLevel="0" collapsed="false">
      <c r="A26" s="64" t="str">
        <f aca="false">'ERPs by country'!A33</f>
        <v>Burkina Faso</v>
      </c>
      <c r="B26" s="262" t="n">
        <f aca="false">VLOOKUP(A26,$N$2:$O$142,2,FALSE())</f>
        <v>60</v>
      </c>
      <c r="C26" s="182" t="n">
        <f aca="false">VLOOKUP(A26,Table1[[Country]:[Country Risk Premium]],5)</f>
        <v>0.139376943200201</v>
      </c>
      <c r="D26" s="182" t="n">
        <f aca="false">VLOOKUP(A26,Table1[[Country]:[Country Risk Premium]],4)</f>
        <v>0.0637247845334774</v>
      </c>
      <c r="E26" s="182" t="n">
        <f aca="false">C26</f>
        <v>0.139376943200201</v>
      </c>
      <c r="F26" s="67" t="n">
        <f aca="false">VLOOKUP(A26,'Country Tax Rates'!$A$2:$B$159,2)</f>
        <v>0.275</v>
      </c>
      <c r="G26" s="67" t="n">
        <f aca="false">VLOOKUP(A26,Table1[[Country]:[Country Risk Premium]],6)</f>
        <v>0.097076943200201</v>
      </c>
      <c r="H26" s="264"/>
      <c r="I26" s="54" t="s">
        <v>110</v>
      </c>
      <c r="J26" s="247" t="n">
        <f aca="false">'Default Spreads for Ratings'!C3/10000</f>
        <v>0.00719151173418554</v>
      </c>
      <c r="K26" s="267"/>
      <c r="N26" s="263" t="s">
        <v>647</v>
      </c>
      <c r="O26" s="264" t="n">
        <v>56.75</v>
      </c>
    </row>
    <row r="27" customFormat="false" ht="15.75" hidden="false" customHeight="false" outlineLevel="0" collapsed="false">
      <c r="A27" s="64" t="str">
        <f aca="false">'ERPs by country'!A34</f>
        <v>Cambodia</v>
      </c>
      <c r="B27" s="262" t="e">
        <f aca="false">VLOOKUP(A27,$N$2:$O$142,2,FALSE())</f>
        <v>#N/A</v>
      </c>
      <c r="C27" s="182" t="n">
        <f aca="false">VLOOKUP(A27,Table1[[Country]:[Country Risk Premium]],5)</f>
        <v>0.113510046109238</v>
      </c>
      <c r="D27" s="182" t="n">
        <f aca="false">VLOOKUP(A27,Table1[[Country]:[Country Risk Premium]],4)</f>
        <v>0.046744826272206</v>
      </c>
      <c r="E27" s="182" t="n">
        <f aca="false">C27</f>
        <v>0.113510046109238</v>
      </c>
      <c r="F27" s="67" t="n">
        <f aca="false">VLOOKUP(A27,'Country Tax Rates'!$A$2:$B$159,2)</f>
        <v>0.2</v>
      </c>
      <c r="G27" s="67" t="n">
        <f aca="false">VLOOKUP(A27,Table1[[Country]:[Country Risk Premium]],6)</f>
        <v>0.0712100461092384</v>
      </c>
      <c r="H27" s="264"/>
      <c r="I27" s="54" t="s">
        <v>111</v>
      </c>
      <c r="J27" s="247" t="n">
        <f aca="false">'Default Spreads for Ratings'!C4/10000</f>
        <v>0.0101879749567629</v>
      </c>
      <c r="K27" s="267"/>
      <c r="N27" s="263" t="s">
        <v>648</v>
      </c>
      <c r="O27" s="264" t="n">
        <v>63</v>
      </c>
    </row>
    <row r="28" customFormat="false" ht="15.75" hidden="false" customHeight="false" outlineLevel="0" collapsed="false">
      <c r="A28" s="64" t="str">
        <f aca="false">'ERPs by country'!A35</f>
        <v>Cameroon</v>
      </c>
      <c r="B28" s="262" t="n">
        <f aca="false">VLOOKUP(A28,$N$2:$O$142,2,FALSE())</f>
        <v>61</v>
      </c>
      <c r="C28" s="182" t="n">
        <f aca="false">VLOOKUP(A28,Table1[[Country]:[Country Risk Premium]],5)</f>
        <v>0.139376943200201</v>
      </c>
      <c r="D28" s="182" t="n">
        <f aca="false">VLOOKUP(A28,Table1[[Country]:[Country Risk Premium]],4)</f>
        <v>0.0637247845334774</v>
      </c>
      <c r="E28" s="182" t="n">
        <f aca="false">C28</f>
        <v>0.139376943200201</v>
      </c>
      <c r="F28" s="67" t="n">
        <f aca="false">VLOOKUP(A28,'Country Tax Rates'!$A$2:$B$159,2)</f>
        <v>0.33</v>
      </c>
      <c r="G28" s="67" t="n">
        <f aca="false">VLOOKUP(A28,Table1[[Country]:[Country Risk Premium]],6)</f>
        <v>0.097076943200201</v>
      </c>
      <c r="H28" s="264"/>
      <c r="I28" s="54" t="s">
        <v>122</v>
      </c>
      <c r="J28" s="247" t="n">
        <f aca="false">'Default Spreads for Ratings'!C15/10000</f>
        <v>0.0135839666090171</v>
      </c>
      <c r="K28" s="267"/>
      <c r="N28" s="263" t="s">
        <v>260</v>
      </c>
      <c r="O28" s="264" t="n">
        <v>75.5</v>
      </c>
    </row>
    <row r="29" customFormat="false" ht="15.75" hidden="false" customHeight="false" outlineLevel="0" collapsed="false">
      <c r="A29" s="64" t="str">
        <f aca="false">'ERPs by country'!A36</f>
        <v>Canada</v>
      </c>
      <c r="B29" s="262" t="n">
        <f aca="false">VLOOKUP(A29,$N$2:$O$142,2,FALSE())</f>
        <v>82.5</v>
      </c>
      <c r="C29" s="182" t="n">
        <f aca="false">VLOOKUP(A29,Table1[[Country]:[Country Risk Premium]],5)</f>
        <v>0.0423</v>
      </c>
      <c r="D29" s="182" t="n">
        <f aca="false">VLOOKUP(A29,Table1[[Country]:[Country Risk Premium]],4)</f>
        <v>0</v>
      </c>
      <c r="E29" s="182" t="n">
        <f aca="false">C29</f>
        <v>0.0423</v>
      </c>
      <c r="F29" s="67" t="n">
        <f aca="false">VLOOKUP(A29,'Country Tax Rates'!$A$2:$B$159,2)</f>
        <v>0.2614</v>
      </c>
      <c r="G29" s="67" t="n">
        <f aca="false">VLOOKUP(A29,Table1[[Country]:[Country Risk Premium]],6)</f>
        <v>0</v>
      </c>
      <c r="H29" s="264"/>
      <c r="I29" s="54" t="s">
        <v>123</v>
      </c>
      <c r="J29" s="247" t="n">
        <f aca="false">'Default Spreads for Ratings'!C16/10000</f>
        <v>0.0161809014019175</v>
      </c>
      <c r="K29" s="267"/>
      <c r="N29" s="263" t="s">
        <v>455</v>
      </c>
      <c r="O29" s="264" t="n">
        <v>65</v>
      </c>
    </row>
    <row r="30" customFormat="false" ht="15.75" hidden="false" customHeight="false" outlineLevel="0" collapsed="false">
      <c r="A30" s="64" t="str">
        <f aca="false">'ERPs by country'!A37</f>
        <v>Cape Verde</v>
      </c>
      <c r="B30" s="262" t="e">
        <f aca="false">VLOOKUP(A30,$N$2:$O$142,2,FALSE())</f>
        <v>#N/A</v>
      </c>
      <c r="C30" s="182" t="n">
        <f aca="false">VLOOKUP(A30,Table1[[Country]:[Country Risk Premium]],5)</f>
        <v>0.113510046109238</v>
      </c>
      <c r="D30" s="182" t="n">
        <f aca="false">VLOOKUP(A30,Table1[[Country]:[Country Risk Premium]],4)</f>
        <v>0.046744826272206</v>
      </c>
      <c r="E30" s="182" t="n">
        <f aca="false">C30</f>
        <v>0.113510046109238</v>
      </c>
      <c r="F30" s="67" t="n">
        <f aca="false">VLOOKUP(A30,'Country Tax Rates'!$A$2:$B$159,2)</f>
        <v>0.2686</v>
      </c>
      <c r="G30" s="67" t="n">
        <f aca="false">VLOOKUP(A30,Table1[[Country]:[Country Risk Premium]],6)</f>
        <v>0.0712100461092384</v>
      </c>
      <c r="H30" s="264"/>
      <c r="I30" s="54" t="s">
        <v>124</v>
      </c>
      <c r="J30" s="247" t="n">
        <f aca="false">'Default Spreads for Ratings'!C17/10000</f>
        <v>0.0186779540873986</v>
      </c>
      <c r="K30" s="267"/>
      <c r="N30" s="263" t="s">
        <v>279</v>
      </c>
      <c r="O30" s="264" t="n">
        <v>72.75</v>
      </c>
    </row>
    <row r="31" customFormat="false" ht="15.75" hidden="false" customHeight="false" outlineLevel="0" collapsed="false">
      <c r="A31" s="64" t="str">
        <f aca="false">'ERPs by country'!A38</f>
        <v>Cayman Islands</v>
      </c>
      <c r="B31" s="262" t="e">
        <f aca="false">VLOOKUP(A31,$N$2:$O$142,2,FALSE())</f>
        <v>#N/A</v>
      </c>
      <c r="C31" s="182" t="n">
        <f aca="false">VLOOKUP(A31,Table1[[Country]:[Country Risk Premium]],5)</f>
        <v>0.0500600691272888</v>
      </c>
      <c r="D31" s="182" t="n">
        <f aca="false">VLOOKUP(A31,Table1[[Country]:[Country Risk Premium]],4)</f>
        <v>0.00509398747838143</v>
      </c>
      <c r="E31" s="182" t="n">
        <f aca="false">C31</f>
        <v>0.0500600691272888</v>
      </c>
      <c r="F31" s="67" t="n">
        <f aca="false">VLOOKUP(A31,'Country Tax Rates'!$A$2:$B$159,2)</f>
        <v>0</v>
      </c>
      <c r="G31" s="67" t="n">
        <f aca="false">VLOOKUP(A31,Table1[[Country]:[Country Risk Premium]],6)</f>
        <v>0.0077600691272888</v>
      </c>
      <c r="H31" s="264"/>
      <c r="I31" s="54" t="s">
        <v>119</v>
      </c>
      <c r="J31" s="247" t="n">
        <f aca="false">'Default Spreads for Ratings'!C12/10000</f>
        <v>0.0212748888802989</v>
      </c>
      <c r="K31" s="267"/>
      <c r="N31" s="263" t="s">
        <v>245</v>
      </c>
      <c r="O31" s="264" t="n">
        <v>56.75</v>
      </c>
    </row>
    <row r="32" customFormat="false" ht="15.75" hidden="false" customHeight="false" outlineLevel="0" collapsed="false">
      <c r="A32" s="64" t="str">
        <f aca="false">'ERPs by country'!A39</f>
        <v>Chile</v>
      </c>
      <c r="B32" s="262" t="n">
        <f aca="false">VLOOKUP(A32,$N$2:$O$142,2,FALSE())</f>
        <v>76</v>
      </c>
      <c r="C32" s="182" t="n">
        <f aca="false">VLOOKUP(A32,Table1[[Country]:[Country Risk Premium]],5)</f>
        <v>0.0532553917091136</v>
      </c>
      <c r="D32" s="182" t="n">
        <f aca="false">VLOOKUP(A32,Table1[[Country]:[Country Risk Premium]],4)</f>
        <v>0.00719151173418554</v>
      </c>
      <c r="E32" s="182" t="n">
        <f aca="false">C32</f>
        <v>0.0532553917091136</v>
      </c>
      <c r="F32" s="67" t="n">
        <f aca="false">VLOOKUP(A32,'Country Tax Rates'!$A$2:$B$159,2)</f>
        <v>0.27</v>
      </c>
      <c r="G32" s="67" t="n">
        <f aca="false">VLOOKUP(A32,Table1[[Country]:[Country Risk Premium]],6)</f>
        <v>0.0109553917091136</v>
      </c>
      <c r="H32" s="264"/>
      <c r="I32" s="54" t="s">
        <v>120</v>
      </c>
      <c r="J32" s="247" t="n">
        <f aca="false">'Default Spreads for Ratings'!C13/10000</f>
        <v>0.0255698194993264</v>
      </c>
      <c r="K32" s="267"/>
      <c r="N32" s="263" t="s">
        <v>318</v>
      </c>
      <c r="O32" s="264" t="n">
        <v>74.75</v>
      </c>
    </row>
    <row r="33" customFormat="false" ht="15.75" hidden="false" customHeight="false" outlineLevel="0" collapsed="false">
      <c r="A33" s="64" t="str">
        <f aca="false">'ERPs by country'!A40</f>
        <v>China</v>
      </c>
      <c r="B33" s="262" t="e">
        <f aca="false">VLOOKUP(A33,$N$2:$O$142,2,FALSE())</f>
        <v>#N/A</v>
      </c>
      <c r="C33" s="182" t="n">
        <f aca="false">VLOOKUP(A33,Table1[[Country]:[Country Risk Premium]],5)</f>
        <v>0.051429493090928</v>
      </c>
      <c r="D33" s="182" t="n">
        <f aca="false">VLOOKUP(A33,Table1[[Country]:[Country Risk Premium]],4)</f>
        <v>0.00599292644515462</v>
      </c>
      <c r="E33" s="182" t="n">
        <f aca="false">C33</f>
        <v>0.051429493090928</v>
      </c>
      <c r="F33" s="67" t="n">
        <f aca="false">VLOOKUP(A33,'Country Tax Rates'!$A$2:$B$159,2)</f>
        <v>0.25</v>
      </c>
      <c r="G33" s="67" t="n">
        <f aca="false">VLOOKUP(A33,Table1[[Country]:[Country Risk Premium]],6)</f>
        <v>0.009129493090928</v>
      </c>
      <c r="H33" s="264"/>
      <c r="I33" s="54" t="s">
        <v>121</v>
      </c>
      <c r="J33" s="247" t="n">
        <f aca="false">'Default Spreads for Ratings'!C14/10000</f>
        <v>0.0305639248702886</v>
      </c>
      <c r="K33" s="267"/>
      <c r="N33" s="263" t="s">
        <v>280</v>
      </c>
      <c r="O33" s="264" t="n">
        <v>80.5</v>
      </c>
    </row>
    <row r="34" customFormat="false" ht="15.75" hidden="false" customHeight="false" outlineLevel="0" collapsed="false">
      <c r="A34" s="64" t="str">
        <f aca="false">'ERPs by country'!A41</f>
        <v>Colombia</v>
      </c>
      <c r="B34" s="262" t="n">
        <f aca="false">VLOOKUP(A34,$N$2:$O$142,2,FALSE())</f>
        <v>64.5</v>
      </c>
      <c r="C34" s="182" t="n">
        <f aca="false">VLOOKUP(A34,Table1[[Country]:[Country Risk Premium]],5)</f>
        <v>0.0707535868000589</v>
      </c>
      <c r="D34" s="182" t="n">
        <f aca="false">VLOOKUP(A34,Table1[[Country]:[Country Risk Premium]],4)</f>
        <v>0.0186779540873986</v>
      </c>
      <c r="E34" s="182" t="n">
        <f aca="false">C34</f>
        <v>0.0707535868000589</v>
      </c>
      <c r="F34" s="67" t="n">
        <f aca="false">VLOOKUP(A34,'Country Tax Rates'!$A$2:$B$159,2)</f>
        <v>0.35</v>
      </c>
      <c r="G34" s="67" t="n">
        <f aca="false">VLOOKUP(A34,Table1[[Country]:[Country Risk Premium]],6)</f>
        <v>0.0284535868000589</v>
      </c>
      <c r="H34" s="264"/>
      <c r="I34" s="54" t="s">
        <v>116</v>
      </c>
      <c r="J34" s="247" t="n">
        <f aca="false">'Default Spreads for Ratings'!C9/10000</f>
        <v>0.0382548471415703</v>
      </c>
      <c r="K34" s="267"/>
      <c r="N34" s="263" t="s">
        <v>319</v>
      </c>
      <c r="O34" s="264" t="n">
        <v>86.75</v>
      </c>
    </row>
    <row r="35" customFormat="false" ht="15.75" hidden="false" customHeight="false" outlineLevel="0" collapsed="false">
      <c r="A35" s="64" t="str">
        <f aca="false">'ERPs by country'!A42</f>
        <v>Congo (Democratic Republic of)</v>
      </c>
      <c r="B35" s="262" t="n">
        <f aca="false">O26</f>
        <v>56.75</v>
      </c>
      <c r="C35" s="182" t="n">
        <f aca="false">VLOOKUP(A35,Table1[[Country]:[Country Risk Premium]],5)</f>
        <v>0.12644349465472</v>
      </c>
      <c r="D35" s="182" t="n">
        <f aca="false">VLOOKUP(A35,Table1[[Country]:[Country Risk Premium]],4)</f>
        <v>0.0552348054028417</v>
      </c>
      <c r="E35" s="182" t="n">
        <f aca="false">C35</f>
        <v>0.12644349465472</v>
      </c>
      <c r="F35" s="67" t="n">
        <f aca="false">VLOOKUP(A35,'Country Tax Rates'!$A$2:$B$159,2)</f>
        <v>0.3</v>
      </c>
      <c r="G35" s="67" t="n">
        <f aca="false">VLOOKUP(A35,Table1[[Country]:[Country Risk Premium]],6)</f>
        <v>0.0841434946547197</v>
      </c>
      <c r="H35" s="264"/>
      <c r="I35" s="54" t="s">
        <v>117</v>
      </c>
      <c r="J35" s="247" t="n">
        <f aca="false">'Default Spreads for Ratings'!C10/10000</f>
        <v>0.046744826272206</v>
      </c>
      <c r="K35" s="267"/>
      <c r="N35" s="263" t="s">
        <v>247</v>
      </c>
      <c r="O35" s="264" t="n">
        <v>73.5</v>
      </c>
    </row>
    <row r="36" customFormat="false" ht="15.75" hidden="false" customHeight="false" outlineLevel="0" collapsed="false">
      <c r="A36" s="64" t="str">
        <f aca="false">'ERPs by country'!A43</f>
        <v>Congo (Republic of)</v>
      </c>
      <c r="B36" s="262" t="n">
        <f aca="false">O27</f>
        <v>63</v>
      </c>
      <c r="C36" s="182" t="n">
        <f aca="false">VLOOKUP(A36,Table1[[Country]:[Country Risk Premium]],5)</f>
        <v>0.158853195127514</v>
      </c>
      <c r="D36" s="182" t="n">
        <f aca="false">VLOOKUP(A36,Table1[[Country]:[Country Risk Premium]],4)</f>
        <v>0.0765096942831406</v>
      </c>
      <c r="E36" s="182" t="n">
        <f aca="false">C36</f>
        <v>0.158853195127514</v>
      </c>
      <c r="F36" s="67" t="n">
        <f aca="false">VLOOKUP(A36,'Country Tax Rates'!$A$2:$B$159,2)</f>
        <v>0.2686</v>
      </c>
      <c r="G36" s="67" t="n">
        <f aca="false">VLOOKUP(A36,Table1[[Country]:[Country Risk Premium]],6)</f>
        <v>0.116553195127514</v>
      </c>
      <c r="H36" s="264"/>
      <c r="I36" s="54" t="s">
        <v>118</v>
      </c>
      <c r="J36" s="247" t="n">
        <f aca="false">'Default Spreads for Ratings'!C11/10000</f>
        <v>0.0552348054028417</v>
      </c>
      <c r="K36" s="267"/>
      <c r="N36" s="263" t="s">
        <v>261</v>
      </c>
      <c r="O36" s="264" t="n">
        <v>69.75</v>
      </c>
    </row>
    <row r="37" customFormat="false" ht="15.75" hidden="false" customHeight="false" outlineLevel="0" collapsed="false">
      <c r="A37" s="64" t="str">
        <f aca="false">'ERPs by country'!A44</f>
        <v>Cook Islands</v>
      </c>
      <c r="B37" s="262" t="e">
        <f aca="false">VLOOKUP(A37,$N$2:$O$142,2,FALSE())</f>
        <v>#N/A</v>
      </c>
      <c r="C37" s="182" t="n">
        <f aca="false">VLOOKUP(A37,Table1[[Country]:[Country Risk Premium]],5)</f>
        <v>0.100576597563757</v>
      </c>
      <c r="D37" s="182" t="n">
        <f aca="false">VLOOKUP(A37,Table1[[Country]:[Country Risk Premium]],4)</f>
        <v>0.0382548471415703</v>
      </c>
      <c r="E37" s="182" t="n">
        <f aca="false">C37</f>
        <v>0.100576597563757</v>
      </c>
      <c r="F37" s="67" t="n">
        <f aca="false">VLOOKUP(A37,'Country Tax Rates'!$A$2:$B$159,2)</f>
        <v>0.2</v>
      </c>
      <c r="G37" s="67" t="n">
        <f aca="false">VLOOKUP(A37,Table1[[Country]:[Country Risk Premium]],6)</f>
        <v>0.058276597563757</v>
      </c>
      <c r="H37" s="264"/>
      <c r="I37" s="54" t="s">
        <v>133</v>
      </c>
      <c r="J37" s="247" t="n">
        <f aca="false">'Default Spreads for Ratings'!C19/10000</f>
        <v>0.0637247845334774</v>
      </c>
      <c r="K37" s="267"/>
      <c r="N37" s="263" t="s">
        <v>192</v>
      </c>
      <c r="O37" s="264" t="n">
        <v>62.75</v>
      </c>
    </row>
    <row r="38" customFormat="false" ht="15.75" hidden="false" customHeight="false" outlineLevel="0" collapsed="false">
      <c r="A38" s="64" t="str">
        <f aca="false">'ERPs by country'!A45</f>
        <v>Costa Rica</v>
      </c>
      <c r="B38" s="262" t="n">
        <f aca="false">VLOOKUP(A38,$N$2:$O$142,2,FALSE())</f>
        <v>75.5</v>
      </c>
      <c r="C38" s="182" t="n">
        <f aca="false">VLOOKUP(A38,Table1[[Country]:[Country Risk Premium]],5)</f>
        <v>0.0812525038546261</v>
      </c>
      <c r="D38" s="182" t="n">
        <f aca="false">VLOOKUP(A38,Table1[[Country]:[Country Risk Premium]],4)</f>
        <v>0.0255698194993264</v>
      </c>
      <c r="E38" s="182" t="n">
        <f aca="false">C38</f>
        <v>0.0812525038546261</v>
      </c>
      <c r="F38" s="67" t="n">
        <f aca="false">VLOOKUP(A38,'Country Tax Rates'!$A$2:$B$159,2)</f>
        <v>0.3</v>
      </c>
      <c r="G38" s="67" t="n">
        <f aca="false">VLOOKUP(A38,Table1[[Country]:[Country Risk Premium]],6)</f>
        <v>0.0389525038546261</v>
      </c>
      <c r="H38" s="264"/>
      <c r="I38" s="54" t="s">
        <v>134</v>
      </c>
      <c r="J38" s="247" t="n">
        <f aca="false">'Default Spreads for Ratings'!C20/10000</f>
        <v>0.0765096942831406</v>
      </c>
      <c r="K38" s="267"/>
      <c r="N38" s="263" t="s">
        <v>262</v>
      </c>
      <c r="O38" s="264" t="n">
        <v>72.25</v>
      </c>
    </row>
    <row r="39" customFormat="false" ht="15.75" hidden="false" customHeight="false" outlineLevel="0" collapsed="false">
      <c r="A39" s="64" t="str">
        <f aca="false">'ERPs by country'!A46</f>
        <v>Côte d'Ivoire</v>
      </c>
      <c r="B39" s="262" t="n">
        <f aca="false">O29</f>
        <v>65</v>
      </c>
      <c r="C39" s="182" t="n">
        <f aca="false">VLOOKUP(A39,Table1[[Country]:[Country Risk Premium]],5)</f>
        <v>0.0812525038546261</v>
      </c>
      <c r="D39" s="182" t="n">
        <f aca="false">VLOOKUP(A39,Table1[[Country]:[Country Risk Premium]],4)</f>
        <v>0.0255698194993264</v>
      </c>
      <c r="E39" s="182" t="n">
        <f aca="false">C39</f>
        <v>0.0812525038546261</v>
      </c>
      <c r="F39" s="67" t="n">
        <f aca="false">VLOOKUP(A39,'Country Tax Rates'!$A$2:$B$159,2)</f>
        <v>0.25</v>
      </c>
      <c r="G39" s="67" t="n">
        <f aca="false">VLOOKUP(A39,Table1[[Country]:[Country Risk Premium]],6)</f>
        <v>0.0389525038546261</v>
      </c>
      <c r="H39" s="264"/>
      <c r="I39" s="54" t="s">
        <v>135</v>
      </c>
      <c r="J39" s="247" t="n">
        <f aca="false">'Default Spreads for Ratings'!C21/10000</f>
        <v>0.0849996734137763</v>
      </c>
      <c r="K39" s="267"/>
      <c r="N39" s="263" t="s">
        <v>281</v>
      </c>
      <c r="O39" s="264" t="n">
        <v>69.5</v>
      </c>
    </row>
    <row r="40" customFormat="false" ht="15.75" hidden="false" customHeight="false" outlineLevel="0" collapsed="false">
      <c r="A40" s="64" t="str">
        <f aca="false">'ERPs by country'!A47</f>
        <v>Croatia</v>
      </c>
      <c r="B40" s="262" t="n">
        <f aca="false">VLOOKUP(A40,$N$2:$O$142,2,FALSE())</f>
        <v>72.75</v>
      </c>
      <c r="C40" s="182" t="n">
        <f aca="false">VLOOKUP(A40,Table1[[Country]:[Country Risk Premium]],5)</f>
        <v>0.0578201382545776</v>
      </c>
      <c r="D40" s="182" t="n">
        <f aca="false">VLOOKUP(A40,Table1[[Country]:[Country Risk Premium]],4)</f>
        <v>0.0101879749567629</v>
      </c>
      <c r="E40" s="182" t="n">
        <f aca="false">C40</f>
        <v>0.0578201382545776</v>
      </c>
      <c r="F40" s="67" t="n">
        <f aca="false">VLOOKUP(A40,'Country Tax Rates'!$A$2:$B$159,2)</f>
        <v>0.18</v>
      </c>
      <c r="G40" s="67" t="n">
        <f aca="false">VLOOKUP(A40,Table1[[Country]:[Country Risk Premium]],6)</f>
        <v>0.0155201382545776</v>
      </c>
      <c r="H40" s="264"/>
      <c r="I40" s="54" t="s">
        <v>126</v>
      </c>
      <c r="J40" s="247" t="n">
        <f aca="false">'Default Spreads for Ratings'!C18/10000</f>
        <v>0.101979631675048</v>
      </c>
      <c r="K40" s="267"/>
      <c r="N40" s="263" t="s">
        <v>193</v>
      </c>
      <c r="O40" s="264" t="n">
        <v>57.5</v>
      </c>
    </row>
    <row r="41" customFormat="false" ht="15.75" hidden="false" customHeight="false" outlineLevel="0" collapsed="false">
      <c r="A41" s="64" t="str">
        <f aca="false">'ERPs by country'!A48</f>
        <v>Cuba</v>
      </c>
      <c r="B41" s="262" t="n">
        <f aca="false">VLOOKUP(A41,$N$2:$O$142,2,FALSE())</f>
        <v>56.75</v>
      </c>
      <c r="C41" s="182" t="n">
        <f aca="false">VLOOKUP(A41,Table1[[Country]:[Country Risk Premium]],5)</f>
        <v>0.197653540763958</v>
      </c>
      <c r="D41" s="182" t="n">
        <f aca="false">VLOOKUP(A41,Table1[[Country]:[Country Risk Premium]],4)</f>
        <v>0.101979631675048</v>
      </c>
      <c r="E41" s="182" t="n">
        <f aca="false">C41</f>
        <v>0.197653540763958</v>
      </c>
      <c r="F41" s="67" t="n">
        <f aca="false">VLOOKUP(A41,'Country Tax Rates'!$A$2:$B$159,2)</f>
        <v>0.35</v>
      </c>
      <c r="G41" s="67" t="n">
        <f aca="false">VLOOKUP(A41,Table1[[Country]:[Country Risk Premium]],6)</f>
        <v>0.155353540763958</v>
      </c>
      <c r="H41" s="264"/>
      <c r="I41" s="54" t="s">
        <v>125</v>
      </c>
      <c r="J41" s="247" t="n">
        <f aca="false">'ERPs by country'!C207/10000</f>
        <v>0.175</v>
      </c>
      <c r="K41" s="268"/>
      <c r="N41" s="263" t="s">
        <v>320</v>
      </c>
      <c r="O41" s="264" t="n">
        <v>78.5</v>
      </c>
    </row>
    <row r="42" customFormat="false" ht="15.75" hidden="false" customHeight="false" outlineLevel="0" collapsed="false">
      <c r="A42" s="64" t="str">
        <f aca="false">'ERPs by country'!A49</f>
        <v>Curacao</v>
      </c>
      <c r="B42" s="262" t="e">
        <f aca="false">VLOOKUP(A42,$N$2:$O$142,2,FALSE())</f>
        <v>#N/A</v>
      </c>
      <c r="C42" s="182" t="n">
        <f aca="false">VLOOKUP(A42,Table1[[Country]:[Country Risk Premium]],5)</f>
        <v>0.0707535868000589</v>
      </c>
      <c r="D42" s="182" t="n">
        <f aca="false">VLOOKUP(A42,Table1[[Country]:[Country Risk Premium]],4)</f>
        <v>0.0186779540873986</v>
      </c>
      <c r="E42" s="182" t="n">
        <f aca="false">C42</f>
        <v>0.0707535868000589</v>
      </c>
      <c r="F42" s="67" t="n">
        <f aca="false">VLOOKUP(A42,'Country Tax Rates'!$A$2:$B$159,2)</f>
        <v>0.22</v>
      </c>
      <c r="G42" s="67" t="n">
        <f aca="false">VLOOKUP(A42,Table1[[Country]:[Country Risk Premium]],6)</f>
        <v>0.0284535868000589</v>
      </c>
      <c r="H42" s="264"/>
      <c r="N42" s="263" t="s">
        <v>321</v>
      </c>
      <c r="O42" s="264" t="n">
        <v>73.5</v>
      </c>
    </row>
    <row r="43" customFormat="false" ht="15.75" hidden="false" customHeight="false" outlineLevel="0" collapsed="false">
      <c r="A43" s="64" t="str">
        <f aca="false">'ERPs by country'!A50</f>
        <v>Cyprus</v>
      </c>
      <c r="B43" s="262" t="n">
        <f aca="false">VLOOKUP(A43,$N$2:$O$142,2,FALSE())</f>
        <v>74.75</v>
      </c>
      <c r="C43" s="182" t="n">
        <f aca="false">VLOOKUP(A43,Table1[[Country]:[Country Risk Premium]],5)</f>
        <v>0.0578201382545776</v>
      </c>
      <c r="D43" s="182" t="n">
        <f aca="false">VLOOKUP(A43,Table1[[Country]:[Country Risk Premium]],4)</f>
        <v>0.0101879749567629</v>
      </c>
      <c r="E43" s="182" t="n">
        <f aca="false">C43</f>
        <v>0.0578201382545776</v>
      </c>
      <c r="F43" s="67" t="n">
        <f aca="false">VLOOKUP(A43,'Country Tax Rates'!$A$2:$B$159,2)</f>
        <v>0.125</v>
      </c>
      <c r="G43" s="67" t="n">
        <f aca="false">VLOOKUP(A43,Table1[[Country]:[Country Risk Premium]],6)</f>
        <v>0.0155201382545776</v>
      </c>
      <c r="H43" s="264"/>
      <c r="N43" s="263" t="s">
        <v>194</v>
      </c>
      <c r="O43" s="264" t="n">
        <v>70.25</v>
      </c>
    </row>
    <row r="44" customFormat="false" ht="15.75" hidden="false" customHeight="false" outlineLevel="0" collapsed="false">
      <c r="A44" s="64" t="str">
        <f aca="false">'ERPs by country'!A51</f>
        <v>Czech Republic</v>
      </c>
      <c r="B44" s="262" t="n">
        <f aca="false">VLOOKUP(A44,$N$2:$O$142,2,FALSE())</f>
        <v>80.5</v>
      </c>
      <c r="C44" s="182" t="n">
        <f aca="false">VLOOKUP(A44,Table1[[Country]:[Country Risk Premium]],5)</f>
        <v>0.0500600691272888</v>
      </c>
      <c r="D44" s="182" t="n">
        <f aca="false">VLOOKUP(A44,Table1[[Country]:[Country Risk Premium]],4)</f>
        <v>0.00509398747838143</v>
      </c>
      <c r="E44" s="182" t="n">
        <f aca="false">C44</f>
        <v>0.0500600691272888</v>
      </c>
      <c r="F44" s="67" t="n">
        <f aca="false">VLOOKUP(A44,'Country Tax Rates'!$A$2:$B$159,2)</f>
        <v>0.21</v>
      </c>
      <c r="G44" s="67" t="n">
        <f aca="false">VLOOKUP(A44,Table1[[Country]:[Country Risk Premium]],6)</f>
        <v>0.0077600691272888</v>
      </c>
      <c r="H44" s="264"/>
      <c r="N44" s="263" t="s">
        <v>520</v>
      </c>
      <c r="O44" s="264" t="n">
        <v>65.5</v>
      </c>
    </row>
    <row r="45" customFormat="false" ht="15.75" hidden="false" customHeight="false" outlineLevel="0" collapsed="false">
      <c r="A45" s="64" t="str">
        <f aca="false">'ERPs by country'!A52</f>
        <v>Denmark</v>
      </c>
      <c r="B45" s="262" t="n">
        <f aca="false">VLOOKUP(A45,$N$2:$O$142,2,FALSE())</f>
        <v>86.75</v>
      </c>
      <c r="C45" s="182" t="n">
        <f aca="false">VLOOKUP(A45,Table1[[Country]:[Country Risk Premium]],5)</f>
        <v>0.0423</v>
      </c>
      <c r="D45" s="182" t="n">
        <f aca="false">VLOOKUP(A45,Table1[[Country]:[Country Risk Premium]],4)</f>
        <v>0</v>
      </c>
      <c r="E45" s="182" t="n">
        <f aca="false">C45</f>
        <v>0.0423</v>
      </c>
      <c r="F45" s="67" t="n">
        <f aca="false">VLOOKUP(A45,'Country Tax Rates'!$A$2:$B$159,2)</f>
        <v>0.22</v>
      </c>
      <c r="G45" s="67" t="n">
        <f aca="false">VLOOKUP(A45,Table1[[Country]:[Country Risk Premium]],6)</f>
        <v>0</v>
      </c>
      <c r="H45" s="264"/>
      <c r="N45" s="263" t="s">
        <v>322</v>
      </c>
      <c r="O45" s="264" t="n">
        <v>80.25</v>
      </c>
    </row>
    <row r="46" customFormat="false" ht="15.75" hidden="false" customHeight="false" outlineLevel="0" collapsed="false">
      <c r="A46" s="64" t="str">
        <f aca="false">'ERPs by country'!A53</f>
        <v>Dominican Republic</v>
      </c>
      <c r="B46" s="262" t="n">
        <f aca="false">VLOOKUP(A46,$N$2:$O$142,2,FALSE())</f>
        <v>73.5</v>
      </c>
      <c r="C46" s="182" t="n">
        <f aca="false">VLOOKUP(A46,Table1[[Country]:[Country Risk Premium]],5)</f>
        <v>0.0812525038546261</v>
      </c>
      <c r="D46" s="182" t="n">
        <f aca="false">VLOOKUP(A46,Table1[[Country]:[Country Risk Premium]],4)</f>
        <v>0.0255698194993264</v>
      </c>
      <c r="E46" s="182" t="n">
        <f aca="false">C46</f>
        <v>0.0812525038546261</v>
      </c>
      <c r="F46" s="67" t="n">
        <f aca="false">VLOOKUP(A46,'Country Tax Rates'!$A$2:$B$159,2)</f>
        <v>0.27</v>
      </c>
      <c r="G46" s="67" t="n">
        <f aca="false">VLOOKUP(A46,Table1[[Country]:[Country Risk Premium]],6)</f>
        <v>0.0389525038546261</v>
      </c>
      <c r="H46" s="264"/>
      <c r="N46" s="263" t="s">
        <v>195</v>
      </c>
      <c r="O46" s="264" t="n">
        <v>69</v>
      </c>
    </row>
    <row r="47" customFormat="false" ht="15.75" hidden="false" customHeight="false" outlineLevel="0" collapsed="false">
      <c r="A47" s="64" t="str">
        <f aca="false">'ERPs by country'!A54</f>
        <v>Ecuador</v>
      </c>
      <c r="B47" s="262" t="n">
        <f aca="false">VLOOKUP(A47,$N$2:$O$142,2,FALSE())</f>
        <v>69.75</v>
      </c>
      <c r="C47" s="182" t="n">
        <f aca="false">VLOOKUP(A47,Table1[[Country]:[Country Risk Premium]],5)</f>
        <v>0.171786643672995</v>
      </c>
      <c r="D47" s="182" t="n">
        <f aca="false">VLOOKUP(A47,Table1[[Country]:[Country Risk Premium]],4)</f>
        <v>0.0849996734137763</v>
      </c>
      <c r="E47" s="182" t="n">
        <f aca="false">C47</f>
        <v>0.171786643672995</v>
      </c>
      <c r="F47" s="67" t="n">
        <f aca="false">VLOOKUP(A47,'Country Tax Rates'!$A$2:$B$159,2)</f>
        <v>0.25</v>
      </c>
      <c r="G47" s="67" t="n">
        <f aca="false">VLOOKUP(A47,Table1[[Country]:[Country Risk Premium]],6)</f>
        <v>0.129486643672995</v>
      </c>
      <c r="H47" s="264"/>
      <c r="N47" s="263" t="s">
        <v>323</v>
      </c>
      <c r="O47" s="264" t="n">
        <v>70</v>
      </c>
    </row>
    <row r="48" customFormat="false" ht="15.75" hidden="false" customHeight="false" outlineLevel="0" collapsed="false">
      <c r="A48" s="64" t="str">
        <f aca="false">'ERPs by country'!A55</f>
        <v>Egypt</v>
      </c>
      <c r="B48" s="262" t="n">
        <f aca="false">VLOOKUP(A48,$N$2:$O$142,2,FALSE())</f>
        <v>62.75</v>
      </c>
      <c r="C48" s="182" t="n">
        <f aca="false">VLOOKUP(A48,Table1[[Country]:[Country Risk Premium]],5)</f>
        <v>0.139376943200201</v>
      </c>
      <c r="D48" s="182" t="n">
        <f aca="false">VLOOKUP(A48,Table1[[Country]:[Country Risk Premium]],4)</f>
        <v>0.0637247845334774</v>
      </c>
      <c r="E48" s="182" t="n">
        <f aca="false">C48</f>
        <v>0.139376943200201</v>
      </c>
      <c r="F48" s="67" t="n">
        <f aca="false">VLOOKUP(A48,'Country Tax Rates'!$A$2:$B$159,2)</f>
        <v>0.225</v>
      </c>
      <c r="G48" s="67" t="n">
        <f aca="false">VLOOKUP(A48,Table1[[Country]:[Country Risk Premium]],6)</f>
        <v>0.097076943200201</v>
      </c>
      <c r="H48" s="264"/>
      <c r="N48" s="263" t="s">
        <v>263</v>
      </c>
      <c r="O48" s="264" t="n">
        <v>71.75</v>
      </c>
    </row>
    <row r="49" customFormat="false" ht="15.75" hidden="false" customHeight="false" outlineLevel="0" collapsed="false">
      <c r="A49" s="64" t="str">
        <f aca="false">'ERPs by country'!A56</f>
        <v>El Salvador</v>
      </c>
      <c r="B49" s="262" t="n">
        <f aca="false">VLOOKUP(A49,$N$2:$O$142,2,FALSE())</f>
        <v>72.25</v>
      </c>
      <c r="C49" s="182" t="n">
        <f aca="false">VLOOKUP(A49,Table1[[Country]:[Country Risk Premium]],5)</f>
        <v>0.12644349465472</v>
      </c>
      <c r="D49" s="182" t="n">
        <f aca="false">VLOOKUP(A49,Table1[[Country]:[Country Risk Premium]],4)</f>
        <v>0.0552348054028417</v>
      </c>
      <c r="E49" s="182" t="n">
        <f aca="false">C49</f>
        <v>0.12644349465472</v>
      </c>
      <c r="F49" s="67" t="n">
        <f aca="false">VLOOKUP(A49,'Country Tax Rates'!$A$2:$B$159,2)</f>
        <v>0.3</v>
      </c>
      <c r="G49" s="67" t="n">
        <f aca="false">VLOOKUP(A49,Table1[[Country]:[Country Risk Premium]],6)</f>
        <v>0.0841434946547197</v>
      </c>
      <c r="H49" s="264"/>
      <c r="N49" s="263" t="s">
        <v>480</v>
      </c>
      <c r="O49" s="264" t="n">
        <v>59.5</v>
      </c>
    </row>
    <row r="50" customFormat="false" ht="15.75" hidden="false" customHeight="false" outlineLevel="0" collapsed="false">
      <c r="A50" s="64" t="str">
        <f aca="false">'ERPs by country'!A57</f>
        <v>Estonia</v>
      </c>
      <c r="B50" s="262" t="n">
        <f aca="false">VLOOKUP(A50,$N$2:$O$142,2,FALSE())</f>
        <v>69.5</v>
      </c>
      <c r="C50" s="182" t="n">
        <f aca="false">VLOOKUP(A50,Table1[[Country]:[Country Risk Premium]],5)</f>
        <v>0.051429493090928</v>
      </c>
      <c r="D50" s="182" t="n">
        <f aca="false">VLOOKUP(A50,Table1[[Country]:[Country Risk Premium]],4)</f>
        <v>0.00599292644515462</v>
      </c>
      <c r="E50" s="182" t="n">
        <f aca="false">C50</f>
        <v>0.051429493090928</v>
      </c>
      <c r="F50" s="67" t="n">
        <f aca="false">VLOOKUP(A50,'Country Tax Rates'!$A$2:$B$159,2)</f>
        <v>0.2</v>
      </c>
      <c r="G50" s="67" t="n">
        <f aca="false">VLOOKUP(A50,Table1[[Country]:[Country Risk Premium]],6)</f>
        <v>0.009129493090928</v>
      </c>
      <c r="H50" s="264"/>
      <c r="N50" s="263" t="s">
        <v>481</v>
      </c>
      <c r="O50" s="264" t="n">
        <v>60.75</v>
      </c>
    </row>
    <row r="51" customFormat="false" ht="15.75" hidden="false" customHeight="false" outlineLevel="0" collapsed="false">
      <c r="A51" s="64" t="str">
        <f aca="false">'ERPs by country'!A58</f>
        <v>Ethiopia</v>
      </c>
      <c r="B51" s="262" t="n">
        <f aca="false">VLOOKUP(A51,$N$2:$O$142,2,FALSE())</f>
        <v>57.5</v>
      </c>
      <c r="C51" s="182" t="n">
        <f aca="false">VLOOKUP(A51,Table1[[Country]:[Country Risk Premium]],5)</f>
        <v>0.158853195127514</v>
      </c>
      <c r="D51" s="182" t="n">
        <f aca="false">VLOOKUP(A51,Table1[[Country]:[Country Risk Premium]],4)</f>
        <v>0.0765096942831406</v>
      </c>
      <c r="E51" s="182" t="n">
        <f aca="false">C51</f>
        <v>0.158853195127514</v>
      </c>
      <c r="F51" s="67" t="n">
        <f aca="false">VLOOKUP(A51,'Country Tax Rates'!$A$2:$B$159,2)</f>
        <v>0.3</v>
      </c>
      <c r="G51" s="67" t="n">
        <f aca="false">VLOOKUP(A51,Table1[[Country]:[Country Risk Premium]],6)</f>
        <v>0.116553195127514</v>
      </c>
      <c r="H51" s="264"/>
      <c r="N51" s="263" t="s">
        <v>482</v>
      </c>
      <c r="O51" s="264" t="n">
        <v>75.5</v>
      </c>
    </row>
    <row r="52" customFormat="false" ht="15.75" hidden="false" customHeight="false" outlineLevel="0" collapsed="false">
      <c r="A52" s="64" t="str">
        <f aca="false">'ERPs by country'!A59</f>
        <v>Fiji</v>
      </c>
      <c r="B52" s="262" t="e">
        <f aca="false">VLOOKUP(A52,$N$2:$O$142,2,FALSE())</f>
        <v>#N/A</v>
      </c>
      <c r="C52" s="182" t="n">
        <f aca="false">VLOOKUP(A52,Table1[[Country]:[Country Risk Premium]],5)</f>
        <v>0.100576597563757</v>
      </c>
      <c r="D52" s="182" t="n">
        <f aca="false">VLOOKUP(A52,Table1[[Country]:[Country Risk Premium]],4)</f>
        <v>0.0382548471415703</v>
      </c>
      <c r="E52" s="182" t="n">
        <f aca="false">C52</f>
        <v>0.100576597563757</v>
      </c>
      <c r="F52" s="67" t="n">
        <f aca="false">VLOOKUP(A52,'Country Tax Rates'!$A$2:$B$159,2)</f>
        <v>0.25</v>
      </c>
      <c r="G52" s="67" t="n">
        <f aca="false">VLOOKUP(A52,Table1[[Country]:[Country Risk Premium]],6)</f>
        <v>0.058276597563757</v>
      </c>
      <c r="H52" s="264"/>
      <c r="N52" s="263" t="s">
        <v>483</v>
      </c>
      <c r="O52" s="264" t="n">
        <v>56.75</v>
      </c>
    </row>
    <row r="53" customFormat="false" ht="15.75" hidden="false" customHeight="false" outlineLevel="0" collapsed="false">
      <c r="A53" s="64" t="str">
        <f aca="false">'ERPs by country'!A60</f>
        <v>Finland</v>
      </c>
      <c r="B53" s="262" t="n">
        <f aca="false">VLOOKUP(A53,$N$2:$O$142,2,FALSE())</f>
        <v>78.5</v>
      </c>
      <c r="C53" s="182" t="n">
        <f aca="false">VLOOKUP(A53,Table1[[Country]:[Country Risk Premium]],5)</f>
        <v>0.0458550758137721</v>
      </c>
      <c r="D53" s="182" t="n">
        <f aca="false">VLOOKUP(A53,Table1[[Country]:[Country Risk Premium]],4)</f>
        <v>0.00233367916999202</v>
      </c>
      <c r="E53" s="182" t="n">
        <f aca="false">C53</f>
        <v>0.0458550758137721</v>
      </c>
      <c r="F53" s="67" t="n">
        <f aca="false">VLOOKUP(A53,'Country Tax Rates'!$A$2:$B$159,2)</f>
        <v>0.2</v>
      </c>
      <c r="G53" s="67" t="n">
        <f aca="false">VLOOKUP(A53,Table1[[Country]:[Country Risk Premium]],6)</f>
        <v>0.00355507581377215</v>
      </c>
      <c r="H53" s="264"/>
      <c r="N53" s="263" t="s">
        <v>264</v>
      </c>
      <c r="O53" s="264" t="n">
        <v>67.25</v>
      </c>
    </row>
    <row r="54" customFormat="false" ht="15.75" hidden="false" customHeight="false" outlineLevel="0" collapsed="false">
      <c r="A54" s="64" t="str">
        <f aca="false">'ERPs by country'!A61</f>
        <v>France</v>
      </c>
      <c r="B54" s="262" t="n">
        <f aca="false">VLOOKUP(A54,$N$2:$O$142,2,FALSE())</f>
        <v>73.5</v>
      </c>
      <c r="C54" s="182" t="n">
        <f aca="false">VLOOKUP(A54,Table1[[Country]:[Country Risk Premium]],5)</f>
        <v>0.0500600691272888</v>
      </c>
      <c r="D54" s="182" t="n">
        <f aca="false">VLOOKUP(A54,Table1[[Country]:[Country Risk Premium]],4)</f>
        <v>0.00509398747838143</v>
      </c>
      <c r="E54" s="182" t="n">
        <f aca="false">C54</f>
        <v>0.0500600691272888</v>
      </c>
      <c r="F54" s="67" t="n">
        <f aca="false">VLOOKUP(A54,'Country Tax Rates'!$A$2:$B$159,2)</f>
        <v>0.2583</v>
      </c>
      <c r="G54" s="67" t="n">
        <f aca="false">VLOOKUP(A54,Table1[[Country]:[Country Risk Premium]],6)</f>
        <v>0.0077600691272888</v>
      </c>
      <c r="H54" s="264"/>
      <c r="N54" s="263" t="s">
        <v>217</v>
      </c>
      <c r="O54" s="264" t="n">
        <v>80</v>
      </c>
    </row>
    <row r="55" customFormat="false" ht="15.75" hidden="false" customHeight="false" outlineLevel="0" collapsed="false">
      <c r="A55" s="64" t="str">
        <f aca="false">'ERPs by country'!A62</f>
        <v>Gabon</v>
      </c>
      <c r="B55" s="262" t="n">
        <f aca="false">VLOOKUP(A55,$N$2:$O$142,2,FALSE())</f>
        <v>70.25</v>
      </c>
      <c r="C55" s="182" t="n">
        <f aca="false">VLOOKUP(A55,Table1[[Country]:[Country Risk Premium]],5)</f>
        <v>0.158853195127514</v>
      </c>
      <c r="D55" s="182" t="n">
        <f aca="false">VLOOKUP(A55,Table1[[Country]:[Country Risk Premium]],4)</f>
        <v>0.0765096942831406</v>
      </c>
      <c r="E55" s="182" t="n">
        <f aca="false">C55</f>
        <v>0.158853195127514</v>
      </c>
      <c r="F55" s="67" t="n">
        <f aca="false">VLOOKUP(A55,'Country Tax Rates'!$A$2:$B$159,2)</f>
        <v>0.3</v>
      </c>
      <c r="G55" s="67" t="n">
        <f aca="false">VLOOKUP(A55,Table1[[Country]:[Country Risk Premium]],6)</f>
        <v>0.116553195127514</v>
      </c>
      <c r="H55" s="264"/>
      <c r="N55" s="263" t="s">
        <v>283</v>
      </c>
      <c r="O55" s="264" t="n">
        <v>72</v>
      </c>
    </row>
    <row r="56" customFormat="false" ht="15.75" hidden="false" customHeight="false" outlineLevel="0" collapsed="false">
      <c r="A56" s="64" t="str">
        <f aca="false">'ERPs by country'!A63</f>
        <v>Georgia</v>
      </c>
      <c r="B56" s="262" t="e">
        <f aca="false">VLOOKUP(A56,$N$2:$O$142,2,FALSE())</f>
        <v>#N/A</v>
      </c>
      <c r="C56" s="182" t="n">
        <f aca="false">VLOOKUP(A56,Table1[[Country]:[Country Risk Premium]],5)</f>
        <v>0.0812525038546261</v>
      </c>
      <c r="D56" s="182" t="n">
        <f aca="false">VLOOKUP(A56,Table1[[Country]:[Country Risk Premium]],4)</f>
        <v>0.0255698194993264</v>
      </c>
      <c r="E56" s="182" t="n">
        <f aca="false">C56</f>
        <v>0.0812525038546261</v>
      </c>
      <c r="F56" s="67" t="n">
        <f aca="false">VLOOKUP(A56,'Country Tax Rates'!$A$2:$B$159,2)</f>
        <v>0.15</v>
      </c>
      <c r="G56" s="67" t="n">
        <f aca="false">VLOOKUP(A56,Table1[[Country]:[Country Risk Premium]],6)</f>
        <v>0.0389525038546261</v>
      </c>
      <c r="H56" s="264"/>
      <c r="N56" s="263" t="s">
        <v>325</v>
      </c>
      <c r="O56" s="264" t="n">
        <v>83.5</v>
      </c>
    </row>
    <row r="57" customFormat="false" ht="15.75" hidden="false" customHeight="false" outlineLevel="0" collapsed="false">
      <c r="A57" s="64" t="str">
        <f aca="false">'ERPs by country'!A64</f>
        <v>Germany</v>
      </c>
      <c r="B57" s="262" t="n">
        <f aca="false">VLOOKUP(A57,$N$2:$O$142,2,FALSE())</f>
        <v>80.25</v>
      </c>
      <c r="C57" s="182" t="n">
        <f aca="false">VLOOKUP(A57,Table1[[Country]:[Country Risk Premium]],5)</f>
        <v>0.0423</v>
      </c>
      <c r="D57" s="182" t="n">
        <f aca="false">VLOOKUP(A57,Table1[[Country]:[Country Risk Premium]],4)</f>
        <v>0</v>
      </c>
      <c r="E57" s="182" t="n">
        <f aca="false">C57</f>
        <v>0.0423</v>
      </c>
      <c r="F57" s="67" t="n">
        <f aca="false">VLOOKUP(A57,'Country Tax Rates'!$A$2:$B$159,2)</f>
        <v>0.2993</v>
      </c>
      <c r="G57" s="67" t="n">
        <f aca="false">VLOOKUP(A57,Table1[[Country]:[Country Risk Premium]],6)</f>
        <v>0</v>
      </c>
      <c r="H57" s="264"/>
      <c r="N57" s="263" t="s">
        <v>218</v>
      </c>
      <c r="O57" s="264" t="n">
        <v>72</v>
      </c>
    </row>
    <row r="58" customFormat="false" ht="15.75" hidden="false" customHeight="false" outlineLevel="0" collapsed="false">
      <c r="A58" s="64" t="str">
        <f aca="false">'ERPs by country'!A65</f>
        <v>Ghana</v>
      </c>
      <c r="B58" s="262" t="n">
        <f aca="false">VLOOKUP(A58,$N$2:$O$142,2,FALSE())</f>
        <v>69</v>
      </c>
      <c r="C58" s="182" t="n">
        <f aca="false">VLOOKUP(A58,Table1[[Country]:[Country Risk Premium]],5)</f>
        <v>0.139376943200201</v>
      </c>
      <c r="D58" s="182" t="n">
        <f aca="false">VLOOKUP(A58,Table1[[Country]:[Country Risk Premium]],4)</f>
        <v>0.0637247845334774</v>
      </c>
      <c r="E58" s="182" t="n">
        <f aca="false">C58</f>
        <v>0.139376943200201</v>
      </c>
      <c r="F58" s="67" t="n">
        <f aca="false">VLOOKUP(A58,'Country Tax Rates'!$A$2:$B$159,2)</f>
        <v>0.25</v>
      </c>
      <c r="G58" s="67" t="n">
        <f aca="false">VLOOKUP(A58,Table1[[Country]:[Country Risk Premium]],6)</f>
        <v>0.097076943200201</v>
      </c>
      <c r="H58" s="264"/>
      <c r="N58" s="263" t="s">
        <v>219</v>
      </c>
      <c r="O58" s="264" t="n">
        <v>68.5</v>
      </c>
    </row>
    <row r="59" customFormat="false" ht="15.75" hidden="false" customHeight="false" outlineLevel="0" collapsed="false">
      <c r="A59" s="64" t="str">
        <f aca="false">'ERPs by country'!A66</f>
        <v>Greece</v>
      </c>
      <c r="B59" s="262" t="n">
        <f aca="false">VLOOKUP(A59,$N$2:$O$142,2,FALSE())</f>
        <v>70</v>
      </c>
      <c r="C59" s="182" t="n">
        <f aca="false">VLOOKUP(A59,Table1[[Country]:[Country Risk Premium]],5)</f>
        <v>0.0707535868000589</v>
      </c>
      <c r="D59" s="182" t="n">
        <f aca="false">VLOOKUP(A59,Table1[[Country]:[Country Risk Premium]],4)</f>
        <v>0.0186779540873986</v>
      </c>
      <c r="E59" s="182" t="n">
        <f aca="false">C59</f>
        <v>0.0707535868000589</v>
      </c>
      <c r="F59" s="67" t="n">
        <f aca="false">VLOOKUP(A59,'Country Tax Rates'!$A$2:$B$159,2)</f>
        <v>0.22</v>
      </c>
      <c r="G59" s="67" t="n">
        <f aca="false">VLOOKUP(A59,Table1[[Country]:[Country Risk Premium]],6)</f>
        <v>0.0284535868000589</v>
      </c>
      <c r="H59" s="264"/>
      <c r="N59" s="263" t="s">
        <v>523</v>
      </c>
      <c r="O59" s="264" t="n">
        <v>61.25</v>
      </c>
    </row>
    <row r="60" customFormat="false" ht="15.75" hidden="false" customHeight="false" outlineLevel="0" collapsed="false">
      <c r="A60" s="64" t="str">
        <f aca="false">'ERPs by country'!A67</f>
        <v>Guatemala</v>
      </c>
      <c r="B60" s="262" t="n">
        <f aca="false">VLOOKUP(A60,$N$2:$O$142,2,FALSE())</f>
        <v>71.75</v>
      </c>
      <c r="C60" s="182" t="n">
        <f aca="false">VLOOKUP(A60,Table1[[Country]:[Country Risk Premium]],5)</f>
        <v>0.0747097004727944</v>
      </c>
      <c r="D60" s="182" t="n">
        <f aca="false">VLOOKUP(A60,Table1[[Country]:[Country Risk Premium]],4)</f>
        <v>0.0212748888802989</v>
      </c>
      <c r="E60" s="182" t="n">
        <f aca="false">C60</f>
        <v>0.0747097004727944</v>
      </c>
      <c r="F60" s="67" t="n">
        <f aca="false">VLOOKUP(A60,'Country Tax Rates'!$A$2:$B$159,2)</f>
        <v>0.25</v>
      </c>
      <c r="G60" s="67" t="n">
        <f aca="false">VLOOKUP(A60,Table1[[Country]:[Country Risk Premium]],6)</f>
        <v>0.0324097004727944</v>
      </c>
      <c r="H60" s="264"/>
      <c r="N60" s="263" t="s">
        <v>302</v>
      </c>
      <c r="O60" s="264" t="n">
        <v>66.25</v>
      </c>
    </row>
    <row r="61" customFormat="false" ht="15.75" hidden="false" customHeight="false" outlineLevel="0" collapsed="false">
      <c r="A61" s="64" t="str">
        <f aca="false">'ERPs by country'!A68</f>
        <v>Guernsey (States of)</v>
      </c>
      <c r="B61" s="262" t="e">
        <f aca="false">VLOOKUP(A61,$N$2:$O$142,2,FALSE())</f>
        <v>#N/A</v>
      </c>
      <c r="C61" s="182" t="n">
        <f aca="false">VLOOKUP(A61,Table1[[Country]:[Country Risk Premium]],5)</f>
        <v>0.051429493090928</v>
      </c>
      <c r="D61" s="182" t="n">
        <f aca="false">VLOOKUP(A61,Table1[[Country]:[Country Risk Premium]],4)</f>
        <v>0.00599292644515462</v>
      </c>
      <c r="E61" s="182" t="n">
        <f aca="false">C61</f>
        <v>0.051429493090928</v>
      </c>
      <c r="F61" s="67" t="n">
        <f aca="false">VLOOKUP(A61,'Country Tax Rates'!$A$2:$B$159,2)</f>
        <v>0</v>
      </c>
      <c r="G61" s="67" t="n">
        <f aca="false">VLOOKUP(A61,Table1[[Country]:[Country Risk Premium]],6)</f>
        <v>0.009129493090928</v>
      </c>
      <c r="H61" s="264"/>
      <c r="N61" s="263" t="s">
        <v>326</v>
      </c>
      <c r="O61" s="264" t="n">
        <v>84.5</v>
      </c>
    </row>
    <row r="62" customFormat="false" ht="15.75" hidden="false" customHeight="false" outlineLevel="0" collapsed="false">
      <c r="A62" s="64" t="str">
        <f aca="false">'ERPs by country'!A69</f>
        <v>Honduras</v>
      </c>
      <c r="B62" s="262" t="n">
        <f aca="false">VLOOKUP(A62,$N$2:$O$142,2,FALSE())</f>
        <v>67.25</v>
      </c>
      <c r="C62" s="182" t="n">
        <f aca="false">VLOOKUP(A62,Table1[[Country]:[Country Risk Premium]],5)</f>
        <v>0.100576597563757</v>
      </c>
      <c r="D62" s="182" t="n">
        <f aca="false">VLOOKUP(A62,Table1[[Country]:[Country Risk Premium]],4)</f>
        <v>0.0382548471415703</v>
      </c>
      <c r="E62" s="182" t="n">
        <f aca="false">C62</f>
        <v>0.100576597563757</v>
      </c>
      <c r="F62" s="67" t="n">
        <f aca="false">VLOOKUP(A62,'Country Tax Rates'!$A$2:$B$159,2)</f>
        <v>0.3</v>
      </c>
      <c r="G62" s="67" t="n">
        <f aca="false">VLOOKUP(A62,Table1[[Country]:[Country Risk Premium]],6)</f>
        <v>0.058276597563757</v>
      </c>
      <c r="H62" s="264"/>
      <c r="N62" s="263" t="s">
        <v>303</v>
      </c>
      <c r="O62" s="264" t="n">
        <v>74</v>
      </c>
    </row>
    <row r="63" customFormat="false" ht="15.75" hidden="false" customHeight="false" outlineLevel="0" collapsed="false">
      <c r="A63" s="64" t="str">
        <f aca="false">'ERPs by country'!A70</f>
        <v>Hong Kong</v>
      </c>
      <c r="B63" s="262" t="n">
        <f aca="false">VLOOKUP(A63,$N$2:$O$142,2,FALSE())</f>
        <v>80</v>
      </c>
      <c r="C63" s="182" t="n">
        <f aca="false">VLOOKUP(A63,Table1[[Country]:[Country Risk Premium]],5)</f>
        <v>0.0500600691272888</v>
      </c>
      <c r="D63" s="182" t="n">
        <f aca="false">VLOOKUP(A63,Table1[[Country]:[Country Risk Premium]],4)</f>
        <v>0.00509398747838143</v>
      </c>
      <c r="E63" s="182" t="n">
        <f aca="false">C63</f>
        <v>0.0500600691272888</v>
      </c>
      <c r="F63" s="67" t="n">
        <f aca="false">VLOOKUP(A63,'Country Tax Rates'!$A$2:$B$159,2)</f>
        <v>0.165</v>
      </c>
      <c r="G63" s="67" t="n">
        <f aca="false">VLOOKUP(A63,Table1[[Country]:[Country Risk Premium]],6)</f>
        <v>0.0077600691272888</v>
      </c>
      <c r="H63" s="264"/>
      <c r="N63" s="263" t="s">
        <v>328</v>
      </c>
      <c r="O63" s="264" t="n">
        <v>76.75</v>
      </c>
    </row>
    <row r="64" customFormat="false" ht="15.75" hidden="false" customHeight="false" outlineLevel="0" collapsed="false">
      <c r="A64" s="64" t="str">
        <f aca="false">'ERPs by country'!A71</f>
        <v>Hungary</v>
      </c>
      <c r="B64" s="262" t="n">
        <f aca="false">VLOOKUP(A64,$N$2:$O$142,2,FALSE())</f>
        <v>72</v>
      </c>
      <c r="C64" s="182" t="n">
        <f aca="false">VLOOKUP(A64,Table1[[Country]:[Country Risk Premium]],5)</f>
        <v>0.0669496313455056</v>
      </c>
      <c r="D64" s="182" t="n">
        <f aca="false">VLOOKUP(A64,Table1[[Country]:[Country Risk Premium]],4)</f>
        <v>0.0161809014019175</v>
      </c>
      <c r="E64" s="182" t="n">
        <f aca="false">C64</f>
        <v>0.0669496313455056</v>
      </c>
      <c r="F64" s="67" t="n">
        <f aca="false">VLOOKUP(A64,'Country Tax Rates'!$A$2:$B$159,2)</f>
        <v>0.09</v>
      </c>
      <c r="G64" s="67" t="n">
        <f aca="false">VLOOKUP(A64,Table1[[Country]:[Country Risk Premium]],6)</f>
        <v>0.0246496313455056</v>
      </c>
      <c r="H64" s="264"/>
      <c r="N64" s="263" t="s">
        <v>248</v>
      </c>
      <c r="O64" s="264" t="n">
        <v>76.75</v>
      </c>
    </row>
    <row r="65" customFormat="false" ht="15.75" hidden="false" customHeight="false" outlineLevel="0" collapsed="false">
      <c r="A65" s="64" t="str">
        <f aca="false">'ERPs by country'!A72</f>
        <v>Iceland</v>
      </c>
      <c r="B65" s="262" t="n">
        <f aca="false">VLOOKUP(A65,$N$2:$O$142,2,FALSE())</f>
        <v>83.5</v>
      </c>
      <c r="C65" s="182" t="n">
        <f aca="false">VLOOKUP(A65,Table1[[Country]:[Country Risk Premium]],5)</f>
        <v>0.051429493090928</v>
      </c>
      <c r="D65" s="182" t="n">
        <f aca="false">VLOOKUP(A65,Table1[[Country]:[Country Risk Premium]],4)</f>
        <v>0.00599292644515462</v>
      </c>
      <c r="E65" s="182" t="n">
        <f aca="false">C65</f>
        <v>0.051429493090928</v>
      </c>
      <c r="F65" s="67" t="n">
        <f aca="false">VLOOKUP(A65,'Country Tax Rates'!$A$2:$B$159,2)</f>
        <v>0.21</v>
      </c>
      <c r="G65" s="67" t="n">
        <f aca="false">VLOOKUP(A65,Table1[[Country]:[Country Risk Premium]],6)</f>
        <v>0.009129493090928</v>
      </c>
      <c r="H65" s="264"/>
      <c r="N65" s="263" t="s">
        <v>220</v>
      </c>
      <c r="O65" s="264" t="n">
        <v>80.25</v>
      </c>
    </row>
    <row r="66" customFormat="false" ht="15.75" hidden="false" customHeight="false" outlineLevel="0" collapsed="false">
      <c r="A66" s="64" t="str">
        <f aca="false">'ERPs by country'!A73</f>
        <v>India</v>
      </c>
      <c r="B66" s="262" t="n">
        <f aca="false">VLOOKUP(A66,$N$2:$O$142,2,FALSE())</f>
        <v>72</v>
      </c>
      <c r="C66" s="182" t="n">
        <f aca="false">VLOOKUP(A66,Table1[[Country]:[Country Risk Premium]],5)</f>
        <v>0.0707535868000589</v>
      </c>
      <c r="D66" s="182" t="n">
        <f aca="false">VLOOKUP(A66,Table1[[Country]:[Country Risk Premium]],4)</f>
        <v>0.0186779540873986</v>
      </c>
      <c r="E66" s="182" t="n">
        <f aca="false">C66</f>
        <v>0.0707535868000589</v>
      </c>
      <c r="F66" s="67" t="n">
        <f aca="false">VLOOKUP(A66,'Country Tax Rates'!$A$2:$B$159,2)</f>
        <v>0.3</v>
      </c>
      <c r="G66" s="67" t="n">
        <f aca="false">VLOOKUP(A66,Table1[[Country]:[Country Risk Premium]],6)</f>
        <v>0.0284535868000589</v>
      </c>
      <c r="H66" s="264"/>
      <c r="N66" s="263" t="s">
        <v>304</v>
      </c>
      <c r="O66" s="264" t="n">
        <v>65</v>
      </c>
    </row>
    <row r="67" customFormat="false" ht="15.75" hidden="false" customHeight="false" outlineLevel="0" collapsed="false">
      <c r="A67" s="64" t="str">
        <f aca="false">'ERPs by country'!A74</f>
        <v>Indonesia</v>
      </c>
      <c r="B67" s="262" t="n">
        <f aca="false">VLOOKUP(A67,$N$2:$O$142,2,FALSE())</f>
        <v>68.5</v>
      </c>
      <c r="C67" s="182" t="n">
        <f aca="false">VLOOKUP(A67,Table1[[Country]:[Country Risk Premium]],5)</f>
        <v>0.0669496313455056</v>
      </c>
      <c r="D67" s="182" t="n">
        <f aca="false">VLOOKUP(A67,Table1[[Country]:[Country Risk Premium]],4)</f>
        <v>0.0161809014019175</v>
      </c>
      <c r="E67" s="182" t="n">
        <f aca="false">C67</f>
        <v>0.0669496313455056</v>
      </c>
      <c r="F67" s="67" t="n">
        <f aca="false">VLOOKUP(A67,'Country Tax Rates'!$A$2:$B$159,2)</f>
        <v>0.22</v>
      </c>
      <c r="G67" s="67" t="n">
        <f aca="false">VLOOKUP(A67,Table1[[Country]:[Country Risk Premium]],6)</f>
        <v>0.0246496313455056</v>
      </c>
      <c r="H67" s="264"/>
      <c r="N67" s="263" t="s">
        <v>284</v>
      </c>
      <c r="O67" s="264" t="n">
        <v>74.75</v>
      </c>
    </row>
    <row r="68" customFormat="false" ht="15.75" hidden="false" customHeight="false" outlineLevel="0" collapsed="false">
      <c r="A68" s="64" t="str">
        <f aca="false">'ERPs by country'!A75</f>
        <v>Iraq</v>
      </c>
      <c r="B68" s="262" t="n">
        <f aca="false">VLOOKUP(A68,$N$2:$O$142,2,FALSE())</f>
        <v>66.25</v>
      </c>
      <c r="C68" s="182" t="n">
        <f aca="false">VLOOKUP(A68,Table1[[Country]:[Country Risk Premium]],5)</f>
        <v>0.139376943200201</v>
      </c>
      <c r="D68" s="182" t="n">
        <f aca="false">VLOOKUP(A68,Table1[[Country]:[Country Risk Premium]],4)</f>
        <v>0.0637247845334774</v>
      </c>
      <c r="E68" s="182" t="n">
        <f aca="false">C68</f>
        <v>0.139376943200201</v>
      </c>
      <c r="F68" s="67" t="n">
        <f aca="false">VLOOKUP(A68,'Country Tax Rates'!$A$2:$B$159,2)</f>
        <v>0.15</v>
      </c>
      <c r="G68" s="67" t="n">
        <f aca="false">VLOOKUP(A68,Table1[[Country]:[Country Risk Premium]],6)</f>
        <v>0.097076943200201</v>
      </c>
      <c r="H68" s="264"/>
      <c r="N68" s="263" t="s">
        <v>196</v>
      </c>
      <c r="O68" s="264" t="n">
        <v>62</v>
      </c>
    </row>
    <row r="69" customFormat="false" ht="15.75" hidden="false" customHeight="false" outlineLevel="0" collapsed="false">
      <c r="A69" s="64" t="str">
        <f aca="false">'ERPs by country'!A76</f>
        <v>Ireland</v>
      </c>
      <c r="B69" s="262" t="n">
        <f aca="false">VLOOKUP(A69,$N$2:$O$142,2,FALSE())</f>
        <v>84.5</v>
      </c>
      <c r="C69" s="182" t="n">
        <f aca="false">VLOOKUP(A69,Table1[[Country]:[Country Risk Premium]],5)</f>
        <v>0.0500600691272888</v>
      </c>
      <c r="D69" s="182" t="n">
        <f aca="false">VLOOKUP(A69,Table1[[Country]:[Country Risk Premium]],4)</f>
        <v>0.00509398747838143</v>
      </c>
      <c r="E69" s="182" t="n">
        <f aca="false">C69</f>
        <v>0.0500600691272888</v>
      </c>
      <c r="F69" s="67" t="n">
        <f aca="false">VLOOKUP(A69,'Country Tax Rates'!$A$2:$B$159,2)</f>
        <v>0.125</v>
      </c>
      <c r="G69" s="67" t="n">
        <f aca="false">VLOOKUP(A69,Table1[[Country]:[Country Risk Premium]],6)</f>
        <v>0.0077600691272888</v>
      </c>
      <c r="H69" s="264"/>
      <c r="N69" s="263" t="s">
        <v>524</v>
      </c>
      <c r="O69" s="264" t="n">
        <v>51</v>
      </c>
    </row>
    <row r="70" customFormat="false" ht="15.75" hidden="false" customHeight="false" outlineLevel="0" collapsed="false">
      <c r="A70" s="64" t="str">
        <f aca="false">'ERPs by country'!A77</f>
        <v>Isle of Man</v>
      </c>
      <c r="B70" s="262" t="e">
        <f aca="false">VLOOKUP(A70,$N$2:$O$142,2,FALSE())</f>
        <v>#N/A</v>
      </c>
      <c r="C70" s="182" t="n">
        <f aca="false">VLOOKUP(A70,Table1[[Country]:[Country Risk Premium]],5)</f>
        <v>0.0500600691272888</v>
      </c>
      <c r="D70" s="182" t="n">
        <f aca="false">VLOOKUP(A70,Table1[[Country]:[Country Risk Premium]],4)</f>
        <v>0.00509398747838143</v>
      </c>
      <c r="E70" s="182" t="n">
        <f aca="false">C70</f>
        <v>0.0500600691272888</v>
      </c>
      <c r="F70" s="67" t="n">
        <f aca="false">VLOOKUP(A70,'Country Tax Rates'!$A$2:$B$159,2)</f>
        <v>0</v>
      </c>
      <c r="G70" s="67" t="n">
        <f aca="false">VLOOKUP(A70,Table1[[Country]:[Country Risk Premium]],6)</f>
        <v>0.0077600691272888</v>
      </c>
      <c r="H70" s="264"/>
      <c r="N70" s="263" t="s">
        <v>649</v>
      </c>
      <c r="O70" s="264" t="n">
        <v>81</v>
      </c>
    </row>
    <row r="71" customFormat="false" ht="15.75" hidden="false" customHeight="false" outlineLevel="0" collapsed="false">
      <c r="A71" s="64" t="str">
        <f aca="false">'ERPs by country'!A78</f>
        <v>Israel</v>
      </c>
      <c r="B71" s="262" t="n">
        <f aca="false">VLOOKUP(A71,$N$2:$O$142,2,FALSE())</f>
        <v>74</v>
      </c>
      <c r="C71" s="182" t="n">
        <f aca="false">VLOOKUP(A71,Table1[[Country]:[Country Risk Premium]],5)</f>
        <v>0.0629935176727701</v>
      </c>
      <c r="D71" s="182" t="n">
        <f aca="false">VLOOKUP(A71,Table1[[Country]:[Country Risk Premium]],4)</f>
        <v>0.0135839666090171</v>
      </c>
      <c r="E71" s="182" t="n">
        <f aca="false">C71</f>
        <v>0.0629935176727701</v>
      </c>
      <c r="F71" s="67" t="n">
        <f aca="false">VLOOKUP(A71,'Country Tax Rates'!$A$2:$B$159,2)</f>
        <v>0.23</v>
      </c>
      <c r="G71" s="67" t="n">
        <f aca="false">VLOOKUP(A71,Table1[[Country]:[Country Risk Premium]],6)</f>
        <v>0.0206935176727701</v>
      </c>
      <c r="H71" s="264"/>
      <c r="N71" s="263" t="s">
        <v>305</v>
      </c>
      <c r="O71" s="264" t="n">
        <v>80.25</v>
      </c>
    </row>
    <row r="72" customFormat="false" ht="15.75" hidden="false" customHeight="false" outlineLevel="0" collapsed="false">
      <c r="A72" s="64" t="str">
        <f aca="false">'ERPs by country'!A79</f>
        <v>Italy</v>
      </c>
      <c r="B72" s="262" t="n">
        <f aca="false">VLOOKUP(A72,$N$2:$O$142,2,FALSE())</f>
        <v>76.75</v>
      </c>
      <c r="C72" s="182" t="n">
        <f aca="false">VLOOKUP(A72,Table1[[Country]:[Country Risk Premium]],5)</f>
        <v>0.0669496313455056</v>
      </c>
      <c r="D72" s="182" t="n">
        <f aca="false">VLOOKUP(A72,Table1[[Country]:[Country Risk Premium]],4)</f>
        <v>0.0161809014019175</v>
      </c>
      <c r="E72" s="182" t="n">
        <f aca="false">C72</f>
        <v>0.0669496313455056</v>
      </c>
      <c r="F72" s="67" t="n">
        <f aca="false">VLOOKUP(A72,'Country Tax Rates'!$A$2:$B$159,2)</f>
        <v>0.2781</v>
      </c>
      <c r="G72" s="67" t="n">
        <f aca="false">VLOOKUP(A72,Table1[[Country]:[Country Risk Premium]],6)</f>
        <v>0.0246496313455056</v>
      </c>
      <c r="H72" s="264"/>
      <c r="N72" s="263" t="s">
        <v>286</v>
      </c>
      <c r="O72" s="264" t="n">
        <v>72</v>
      </c>
    </row>
    <row r="73" customFormat="false" ht="15.75" hidden="false" customHeight="false" outlineLevel="0" collapsed="false">
      <c r="A73" s="64" t="str">
        <f aca="false">'ERPs by country'!A80</f>
        <v>Jamaica</v>
      </c>
      <c r="B73" s="262" t="n">
        <f aca="false">VLOOKUP(A73,$N$2:$O$142,2,FALSE())</f>
        <v>76.75</v>
      </c>
      <c r="C73" s="182" t="n">
        <f aca="false">VLOOKUP(A73,Table1[[Country]:[Country Risk Premium]],5)</f>
        <v>0.0888604147637328</v>
      </c>
      <c r="D73" s="182" t="n">
        <f aca="false">VLOOKUP(A73,Table1[[Country]:[Country Risk Premium]],4)</f>
        <v>0.0305639248702886</v>
      </c>
      <c r="E73" s="182" t="n">
        <f aca="false">C73</f>
        <v>0.0888604147637328</v>
      </c>
      <c r="F73" s="67" t="n">
        <f aca="false">VLOOKUP(A73,'Country Tax Rates'!$A$2:$B$159,2)</f>
        <v>0.25</v>
      </c>
      <c r="G73" s="67" t="n">
        <f aca="false">VLOOKUP(A73,Table1[[Country]:[Country Risk Premium]],6)</f>
        <v>0.0465604147637328</v>
      </c>
      <c r="H73" s="264"/>
      <c r="N73" s="263" t="s">
        <v>306</v>
      </c>
      <c r="O73" s="264" t="n">
        <v>51.5</v>
      </c>
    </row>
    <row r="74" customFormat="false" ht="15.75" hidden="false" customHeight="false" outlineLevel="0" collapsed="false">
      <c r="A74" s="64" t="str">
        <f aca="false">'ERPs by country'!A81</f>
        <v>Japan</v>
      </c>
      <c r="B74" s="262" t="n">
        <f aca="false">VLOOKUP(A74,$N$2:$O$142,2,FALSE())</f>
        <v>80.25</v>
      </c>
      <c r="C74" s="182" t="n">
        <f aca="false">VLOOKUP(A74,Table1[[Country]:[Country Risk Premium]],5)</f>
        <v>0.051429493090928</v>
      </c>
      <c r="D74" s="182" t="n">
        <f aca="false">VLOOKUP(A74,Table1[[Country]:[Country Risk Premium]],4)</f>
        <v>0.00599292644515462</v>
      </c>
      <c r="E74" s="182" t="n">
        <f aca="false">C74</f>
        <v>0.051429493090928</v>
      </c>
      <c r="F74" s="67" t="n">
        <f aca="false">VLOOKUP(A74,'Country Tax Rates'!$A$2:$B$159,2)</f>
        <v>0.2974</v>
      </c>
      <c r="G74" s="67" t="n">
        <f aca="false">VLOOKUP(A74,Table1[[Country]:[Country Risk Premium]],6)</f>
        <v>0.009129493090928</v>
      </c>
      <c r="H74" s="264"/>
      <c r="N74" s="263" t="s">
        <v>504</v>
      </c>
      <c r="O74" s="264" t="n">
        <v>57.75</v>
      </c>
    </row>
    <row r="75" customFormat="false" ht="15.75" hidden="false" customHeight="false" outlineLevel="0" collapsed="false">
      <c r="A75" s="64" t="str">
        <f aca="false">'ERPs by country'!A82</f>
        <v>Jersey (States of)</v>
      </c>
      <c r="B75" s="262" t="e">
        <f aca="false">VLOOKUP(A75,$N$2:$O$142,2,FALSE())</f>
        <v>#N/A</v>
      </c>
      <c r="C75" s="182" t="n">
        <f aca="false">VLOOKUP(A75,Table1[[Country]:[Country Risk Premium]],5)</f>
        <v>0.0500600691272888</v>
      </c>
      <c r="D75" s="182" t="n">
        <f aca="false">VLOOKUP(A75,Table1[[Country]:[Country Risk Premium]],4)</f>
        <v>0.00509398747838143</v>
      </c>
      <c r="E75" s="182" t="n">
        <f aca="false">C75</f>
        <v>0.0500600691272888</v>
      </c>
      <c r="F75" s="67" t="n">
        <f aca="false">VLOOKUP(A75,'Country Tax Rates'!$A$2:$B$159,2)</f>
        <v>0</v>
      </c>
      <c r="G75" s="67" t="n">
        <f aca="false">VLOOKUP(A75,Table1[[Country]:[Country Risk Premium]],6)</f>
        <v>0.0077600691272888</v>
      </c>
      <c r="H75" s="264"/>
      <c r="N75" s="263" t="s">
        <v>505</v>
      </c>
      <c r="O75" s="264" t="n">
        <v>71.5</v>
      </c>
    </row>
    <row r="76" customFormat="false" ht="15.75" hidden="false" customHeight="false" outlineLevel="0" collapsed="false">
      <c r="A76" s="64" t="str">
        <f aca="false">'ERPs by country'!A83</f>
        <v>Jordan</v>
      </c>
      <c r="B76" s="262" t="n">
        <f aca="false">VLOOKUP(A76,$N$2:$O$142,2,FALSE())</f>
        <v>65</v>
      </c>
      <c r="C76" s="182" t="n">
        <f aca="false">VLOOKUP(A76,Table1[[Country]:[Country Risk Premium]],5)</f>
        <v>0.0888604147637328</v>
      </c>
      <c r="D76" s="182" t="n">
        <f aca="false">VLOOKUP(A76,Table1[[Country]:[Country Risk Premium]],4)</f>
        <v>0.0305639248702886</v>
      </c>
      <c r="E76" s="182" t="n">
        <f aca="false">C76</f>
        <v>0.0888604147637328</v>
      </c>
      <c r="F76" s="67" t="n">
        <f aca="false">VLOOKUP(A76,'Country Tax Rates'!$A$2:$B$159,2)</f>
        <v>0.2</v>
      </c>
      <c r="G76" s="67" t="n">
        <f aca="false">VLOOKUP(A76,Table1[[Country]:[Country Risk Premium]],6)</f>
        <v>0.0465604147637328</v>
      </c>
      <c r="H76" s="264"/>
      <c r="N76" s="263" t="s">
        <v>287</v>
      </c>
      <c r="O76" s="264" t="n">
        <v>74</v>
      </c>
    </row>
    <row r="77" customFormat="false" ht="15.75" hidden="false" customHeight="false" outlineLevel="0" collapsed="false">
      <c r="A77" s="64" t="str">
        <f aca="false">'ERPs by country'!A84</f>
        <v>Kazakhstan</v>
      </c>
      <c r="B77" s="262" t="n">
        <f aca="false">VLOOKUP(A77,$N$2:$O$142,2,FALSE())</f>
        <v>74.75</v>
      </c>
      <c r="C77" s="182" t="n">
        <f aca="false">VLOOKUP(A77,Table1[[Country]:[Country Risk Premium]],5)</f>
        <v>0.0629935176727701</v>
      </c>
      <c r="D77" s="182" t="n">
        <f aca="false">VLOOKUP(A77,Table1[[Country]:[Country Risk Premium]],4)</f>
        <v>0.0135839666090171</v>
      </c>
      <c r="E77" s="182" t="n">
        <f aca="false">C77</f>
        <v>0.0629935176727701</v>
      </c>
      <c r="F77" s="67" t="n">
        <f aca="false">VLOOKUP(A77,'Country Tax Rates'!$A$2:$B$159,2)</f>
        <v>0.2</v>
      </c>
      <c r="G77" s="67" t="n">
        <f aca="false">VLOOKUP(A77,Table1[[Country]:[Country Risk Premium]],6)</f>
        <v>0.0206935176727701</v>
      </c>
      <c r="H77" s="264"/>
      <c r="N77" s="263" t="s">
        <v>331</v>
      </c>
      <c r="O77" s="264" t="n">
        <v>84.75</v>
      </c>
    </row>
    <row r="78" customFormat="false" ht="15.75" hidden="false" customHeight="false" outlineLevel="0" collapsed="false">
      <c r="A78" s="64" t="str">
        <f aca="false">'ERPs by country'!A85</f>
        <v>Kenya</v>
      </c>
      <c r="B78" s="262" t="n">
        <f aca="false">VLOOKUP(A78,$N$2:$O$142,2,FALSE())</f>
        <v>62</v>
      </c>
      <c r="C78" s="182" t="n">
        <f aca="false">VLOOKUP(A78,Table1[[Country]:[Country Risk Premium]],5)</f>
        <v>0.12644349465472</v>
      </c>
      <c r="D78" s="182" t="n">
        <f aca="false">VLOOKUP(A78,Table1[[Country]:[Country Risk Premium]],4)</f>
        <v>0.0552348054028417</v>
      </c>
      <c r="E78" s="182" t="n">
        <f aca="false">C78</f>
        <v>0.12644349465472</v>
      </c>
      <c r="F78" s="67" t="n">
        <f aca="false">VLOOKUP(A78,'Country Tax Rates'!$A$2:$B$159,2)</f>
        <v>0.3</v>
      </c>
      <c r="G78" s="67" t="n">
        <f aca="false">VLOOKUP(A78,Table1[[Country]:[Country Risk Premium]],6)</f>
        <v>0.0841434946547197</v>
      </c>
      <c r="H78" s="264"/>
      <c r="N78" s="263" t="s">
        <v>510</v>
      </c>
      <c r="O78" s="264" t="n">
        <v>62.5</v>
      </c>
    </row>
    <row r="79" customFormat="false" ht="15.75" hidden="false" customHeight="false" outlineLevel="0" collapsed="false">
      <c r="A79" s="64" t="str">
        <f aca="false">'ERPs by country'!A86</f>
        <v>Korea</v>
      </c>
      <c r="B79" s="262" t="e">
        <f aca="false">VLOOKUP(A79,$N$2:$O$142,2,FALSE())</f>
        <v>#N/A</v>
      </c>
      <c r="C79" s="182" t="n">
        <f aca="false">VLOOKUP(A79,Table1[[Country]:[Country Risk Premium]],5)</f>
        <v>0.0486906451636496</v>
      </c>
      <c r="D79" s="182" t="n">
        <f aca="false">VLOOKUP(A79,Table1[[Country]:[Country Risk Premium]],4)</f>
        <v>0.00419504851160823</v>
      </c>
      <c r="E79" s="182" t="n">
        <f aca="false">C79</f>
        <v>0.0486906451636496</v>
      </c>
      <c r="F79" s="67" t="n">
        <f aca="false">VLOOKUP(A79,'Country Tax Rates'!$A$2:$B$159,2)</f>
        <v>0.264</v>
      </c>
      <c r="G79" s="67" t="n">
        <f aca="false">VLOOKUP(A79,Table1[[Country]:[Country Risk Premium]],6)</f>
        <v>0.0063906451636496</v>
      </c>
      <c r="H79" s="264"/>
      <c r="N79" s="263" t="s">
        <v>511</v>
      </c>
      <c r="O79" s="264" t="n">
        <v>56</v>
      </c>
    </row>
    <row r="80" customFormat="false" ht="15.75" hidden="false" customHeight="false" outlineLevel="0" collapsed="false">
      <c r="A80" s="64" t="str">
        <f aca="false">'ERPs by country'!A87</f>
        <v>Kuwait</v>
      </c>
      <c r="B80" s="262" t="n">
        <f aca="false">VLOOKUP(A80,$N$2:$O$142,2,FALSE())</f>
        <v>80.25</v>
      </c>
      <c r="C80" s="182" t="n">
        <f aca="false">VLOOKUP(A80,Table1[[Country]:[Country Risk Premium]],5)</f>
        <v>0.051429493090928</v>
      </c>
      <c r="D80" s="182" t="n">
        <f aca="false">VLOOKUP(A80,Table1[[Country]:[Country Risk Premium]],4)</f>
        <v>0.00599292644515462</v>
      </c>
      <c r="E80" s="182" t="n">
        <f aca="false">C80</f>
        <v>0.051429493090928</v>
      </c>
      <c r="F80" s="67" t="n">
        <f aca="false">VLOOKUP(A80,'Country Tax Rates'!$A$2:$B$159,2)</f>
        <v>0.15</v>
      </c>
      <c r="G80" s="67" t="n">
        <f aca="false">VLOOKUP(A80,Table1[[Country]:[Country Risk Premium]],6)</f>
        <v>0.009129493090928</v>
      </c>
      <c r="H80" s="264"/>
      <c r="N80" s="263" t="s">
        <v>224</v>
      </c>
      <c r="O80" s="264" t="n">
        <v>75.25</v>
      </c>
    </row>
    <row r="81" customFormat="false" ht="15.75" hidden="false" customHeight="false" outlineLevel="0" collapsed="false">
      <c r="A81" s="64" t="str">
        <f aca="false">'ERPs by country'!A88</f>
        <v>Kyrgyzstan</v>
      </c>
      <c r="B81" s="262" t="e">
        <f aca="false">VLOOKUP(A81,$N$2:$O$142,2,FALSE())</f>
        <v>#N/A</v>
      </c>
      <c r="C81" s="182" t="n">
        <f aca="false">VLOOKUP(A81,Table1[[Country]:[Country Risk Premium]],5)</f>
        <v>0.12644349465472</v>
      </c>
      <c r="D81" s="182" t="n">
        <f aca="false">VLOOKUP(A81,Table1[[Country]:[Country Risk Premium]],4)</f>
        <v>0.0552348054028417</v>
      </c>
      <c r="E81" s="182" t="n">
        <f aca="false">C81</f>
        <v>0.12644349465472</v>
      </c>
      <c r="F81" s="67" t="n">
        <f aca="false">VLOOKUP(A81,'Country Tax Rates'!$A$2:$B$159,2)</f>
        <v>0.1</v>
      </c>
      <c r="G81" s="67" t="n">
        <f aca="false">VLOOKUP(A81,Table1[[Country]:[Country Risk Premium]],6)</f>
        <v>0.0841434946547197</v>
      </c>
      <c r="H81" s="264"/>
      <c r="N81" s="263" t="s">
        <v>197</v>
      </c>
      <c r="O81" s="264" t="n">
        <v>57.75</v>
      </c>
    </row>
    <row r="82" customFormat="false" ht="15.75" hidden="false" customHeight="false" outlineLevel="0" collapsed="false">
      <c r="A82" s="64" t="str">
        <f aca="false">'ERPs by country'!A89</f>
        <v>Laos</v>
      </c>
      <c r="B82" s="262" t="e">
        <f aca="false">VLOOKUP(A82,$N$2:$O$142,2,FALSE())</f>
        <v>#N/A</v>
      </c>
      <c r="C82" s="182" t="n">
        <f aca="false">VLOOKUP(A82,Table1[[Country]:[Country Risk Premium]],5)</f>
        <v>0.158853195127514</v>
      </c>
      <c r="D82" s="182" t="n">
        <f aca="false">VLOOKUP(A82,Table1[[Country]:[Country Risk Premium]],4)</f>
        <v>0.0765096942831406</v>
      </c>
      <c r="E82" s="182" t="n">
        <f aca="false">C82</f>
        <v>0.158853195127514</v>
      </c>
      <c r="F82" s="67" t="n">
        <f aca="false">VLOOKUP(A82,'Country Tax Rates'!$A$2:$B$159,2)</f>
        <v>0.2</v>
      </c>
      <c r="G82" s="67" t="n">
        <f aca="false">VLOOKUP(A82,Table1[[Country]:[Country Risk Premium]],6)</f>
        <v>0.116553195127514</v>
      </c>
      <c r="H82" s="264"/>
      <c r="N82" s="263" t="s">
        <v>332</v>
      </c>
      <c r="O82" s="264" t="n">
        <v>76.5</v>
      </c>
    </row>
    <row r="83" customFormat="false" ht="15.75" hidden="false" customHeight="false" outlineLevel="0" collapsed="false">
      <c r="A83" s="64" t="str">
        <f aca="false">'ERPs by country'!A90</f>
        <v>Latvia</v>
      </c>
      <c r="B83" s="262" t="n">
        <f aca="false">VLOOKUP(A83,$N$2:$O$142,2,FALSE())</f>
        <v>72</v>
      </c>
      <c r="C83" s="182" t="n">
        <f aca="false">VLOOKUP(A83,Table1[[Country]:[Country Risk Premium]],5)</f>
        <v>0.0578201382545776</v>
      </c>
      <c r="D83" s="182" t="n">
        <f aca="false">VLOOKUP(A83,Table1[[Country]:[Country Risk Premium]],4)</f>
        <v>0.0101879749567629</v>
      </c>
      <c r="E83" s="182" t="n">
        <f aca="false">C83</f>
        <v>0.0578201382545776</v>
      </c>
      <c r="F83" s="67" t="n">
        <f aca="false">VLOOKUP(A83,'Country Tax Rates'!$A$2:$B$159,2)</f>
        <v>0.2</v>
      </c>
      <c r="G83" s="67" t="n">
        <f aca="false">VLOOKUP(A83,Table1[[Country]:[Country Risk Premium]],6)</f>
        <v>0.0155201382545776</v>
      </c>
      <c r="H83" s="264"/>
      <c r="N83" s="263" t="s">
        <v>265</v>
      </c>
      <c r="O83" s="264" t="n">
        <v>69</v>
      </c>
    </row>
    <row r="84" customFormat="false" ht="15.75" hidden="false" customHeight="false" outlineLevel="0" collapsed="false">
      <c r="A84" s="64" t="str">
        <f aca="false">'ERPs by country'!A91</f>
        <v>Lebanon</v>
      </c>
      <c r="B84" s="262" t="n">
        <f aca="false">VLOOKUP(A84,$N$2:$O$142,2,FALSE())</f>
        <v>51.5</v>
      </c>
      <c r="C84" s="182" t="n">
        <f aca="false">VLOOKUP(A84,Table1[[Country]:[Country Risk Premium]],5)</f>
        <v>0.30889117303269</v>
      </c>
      <c r="D84" s="182" t="n">
        <f aca="false">VLOOKUP(A84,Table1[[Country]:[Country Risk Premium]],4)</f>
        <v>0.175</v>
      </c>
      <c r="E84" s="182" t="n">
        <f aca="false">C84</f>
        <v>0.30889117303269</v>
      </c>
      <c r="F84" s="67" t="n">
        <f aca="false">VLOOKUP(A84,'Country Tax Rates'!$A$2:$B$159,2)</f>
        <v>0.17</v>
      </c>
      <c r="G84" s="67" t="n">
        <f aca="false">VLOOKUP(A84,Table1[[Country]:[Country Risk Premium]],6)</f>
        <v>0.26659117303269</v>
      </c>
      <c r="H84" s="264"/>
      <c r="N84" s="263" t="s">
        <v>289</v>
      </c>
      <c r="O84" s="264" t="n">
        <v>64.5</v>
      </c>
    </row>
    <row r="85" customFormat="false" ht="15.75" hidden="false" customHeight="false" outlineLevel="0" collapsed="false">
      <c r="A85" s="64" t="str">
        <f aca="false">'ERPs by country'!A92</f>
        <v>Liechtenstein</v>
      </c>
      <c r="B85" s="262" t="e">
        <f aca="false">VLOOKUP(A85,$N$2:$O$142,2,FALSE())</f>
        <v>#N/A</v>
      </c>
      <c r="C85" s="182" t="n">
        <f aca="false">VLOOKUP(A85,Table1[[Country]:[Country Risk Premium]],5)</f>
        <v>0.0423</v>
      </c>
      <c r="D85" s="182" t="n">
        <f aca="false">VLOOKUP(A85,Table1[[Country]:[Country Risk Premium]],4)</f>
        <v>0</v>
      </c>
      <c r="E85" s="182" t="n">
        <f aca="false">C85</f>
        <v>0.0423</v>
      </c>
      <c r="F85" s="67" t="n">
        <f aca="false">VLOOKUP(A85,'Country Tax Rates'!$A$2:$B$159,2)</f>
        <v>0.125</v>
      </c>
      <c r="G85" s="67" t="n">
        <f aca="false">VLOOKUP(A85,Table1[[Country]:[Country Risk Premium]],6)</f>
        <v>0</v>
      </c>
      <c r="H85" s="264"/>
      <c r="N85" s="263" t="s">
        <v>226</v>
      </c>
      <c r="O85" s="264" t="n">
        <v>71.25</v>
      </c>
    </row>
    <row r="86" customFormat="false" ht="15.75" hidden="false" customHeight="false" outlineLevel="0" collapsed="false">
      <c r="A86" s="64" t="str">
        <f aca="false">'ERPs by country'!A93</f>
        <v>Lithuania</v>
      </c>
      <c r="B86" s="262" t="n">
        <f aca="false">VLOOKUP(A86,$N$2:$O$142,2,FALSE())</f>
        <v>74</v>
      </c>
      <c r="C86" s="182" t="n">
        <f aca="false">VLOOKUP(A86,Table1[[Country]:[Country Risk Premium]],5)</f>
        <v>0.0532553917091136</v>
      </c>
      <c r="D86" s="182" t="n">
        <f aca="false">VLOOKUP(A86,Table1[[Country]:[Country Risk Premium]],4)</f>
        <v>0.00719151173418554</v>
      </c>
      <c r="E86" s="182" t="n">
        <f aca="false">C86</f>
        <v>0.0532553917091136</v>
      </c>
      <c r="F86" s="67" t="n">
        <f aca="false">VLOOKUP(A86,'Country Tax Rates'!$A$2:$B$159,2)</f>
        <v>0.15</v>
      </c>
      <c r="G86" s="67" t="n">
        <f aca="false">VLOOKUP(A86,Table1[[Country]:[Country Risk Premium]],6)</f>
        <v>0.0109553917091136</v>
      </c>
      <c r="H86" s="264"/>
      <c r="N86" s="263" t="s">
        <v>199</v>
      </c>
      <c r="O86" s="264" t="n">
        <v>72.25</v>
      </c>
    </row>
    <row r="87" customFormat="false" ht="15.75" hidden="false" customHeight="false" outlineLevel="0" collapsed="false">
      <c r="A87" s="64" t="str">
        <f aca="false">'ERPs by country'!A94</f>
        <v>Luxembourg</v>
      </c>
      <c r="B87" s="262" t="n">
        <f aca="false">VLOOKUP(A87,$N$2:$O$142,2,FALSE())</f>
        <v>84.75</v>
      </c>
      <c r="C87" s="182" t="n">
        <f aca="false">VLOOKUP(A87,Table1[[Country]:[Country Risk Premium]],5)</f>
        <v>0.0423</v>
      </c>
      <c r="D87" s="182" t="n">
        <f aca="false">VLOOKUP(A87,Table1[[Country]:[Country Risk Premium]],4)</f>
        <v>0</v>
      </c>
      <c r="E87" s="182" t="n">
        <f aca="false">C87</f>
        <v>0.0423</v>
      </c>
      <c r="F87" s="67" t="n">
        <f aca="false">VLOOKUP(A87,'Country Tax Rates'!$A$2:$B$159,2)</f>
        <v>0.2494</v>
      </c>
      <c r="G87" s="67" t="n">
        <f aca="false">VLOOKUP(A87,Table1[[Country]:[Country Risk Premium]],6)</f>
        <v>0</v>
      </c>
      <c r="H87" s="264"/>
      <c r="N87" s="263" t="s">
        <v>200</v>
      </c>
      <c r="O87" s="264" t="n">
        <v>57</v>
      </c>
    </row>
    <row r="88" customFormat="false" ht="15.75" hidden="false" customHeight="false" outlineLevel="0" collapsed="false">
      <c r="A88" s="64" t="str">
        <f aca="false">'ERPs by country'!A95</f>
        <v>Macao</v>
      </c>
      <c r="B88" s="262" t="e">
        <f aca="false">VLOOKUP(A88,$N$2:$O$142,2,FALSE())</f>
        <v>#N/A</v>
      </c>
      <c r="C88" s="182" t="n">
        <f aca="false">VLOOKUP(A88,Table1[[Country]:[Country Risk Premium]],5)</f>
        <v>0.0500600691272888</v>
      </c>
      <c r="D88" s="182" t="n">
        <f aca="false">VLOOKUP(A88,Table1[[Country]:[Country Risk Premium]],4)</f>
        <v>0.00509398747838143</v>
      </c>
      <c r="E88" s="182" t="n">
        <f aca="false">C88</f>
        <v>0.0500600691272888</v>
      </c>
      <c r="F88" s="67" t="n">
        <f aca="false">VLOOKUP(A88,'Country Tax Rates'!$A$2:$B$159,2)</f>
        <v>0.25</v>
      </c>
      <c r="G88" s="67" t="n">
        <f aca="false">VLOOKUP(A88,Table1[[Country]:[Country Risk Premium]],6)</f>
        <v>0.0077600691272888</v>
      </c>
      <c r="H88" s="264"/>
      <c r="N88" s="263" t="s">
        <v>525</v>
      </c>
      <c r="O88" s="264" t="n">
        <v>54.75</v>
      </c>
    </row>
    <row r="89" customFormat="false" ht="15.75" hidden="false" customHeight="false" outlineLevel="0" collapsed="false">
      <c r="A89" s="64" t="str">
        <f aca="false">'ERPs by country'!A96</f>
        <v>Macedonia</v>
      </c>
      <c r="B89" s="262" t="e">
        <f aca="false">VLOOKUP(A89,$N$2:$O$142,2,FALSE())</f>
        <v>#N/A</v>
      </c>
      <c r="C89" s="182" t="n">
        <f aca="false">VLOOKUP(A89,Table1[[Country]:[Country Risk Premium]],5)</f>
        <v>0.0888604147637328</v>
      </c>
      <c r="D89" s="182" t="n">
        <f aca="false">VLOOKUP(A89,Table1[[Country]:[Country Risk Premium]],4)</f>
        <v>0.0305639248702886</v>
      </c>
      <c r="E89" s="182" t="n">
        <f aca="false">C89</f>
        <v>0.0888604147637328</v>
      </c>
      <c r="F89" s="67" t="n">
        <f aca="false">VLOOKUP(A89,'Country Tax Rates'!$A$2:$B$159,2)</f>
        <v>0.1</v>
      </c>
      <c r="G89" s="67" t="n">
        <f aca="false">VLOOKUP(A89,Table1[[Country]:[Country Risk Premium]],6)</f>
        <v>0.0465604147637328</v>
      </c>
      <c r="H89" s="264"/>
      <c r="N89" s="263" t="s">
        <v>201</v>
      </c>
      <c r="O89" s="264" t="n">
        <v>70.75</v>
      </c>
    </row>
    <row r="90" customFormat="false" ht="15.75" hidden="false" customHeight="false" outlineLevel="0" collapsed="false">
      <c r="A90" s="64" t="str">
        <f aca="false">'ERPs by country'!A97</f>
        <v>Malaysia</v>
      </c>
      <c r="B90" s="262" t="n">
        <f aca="false">VLOOKUP(A90,$N$2:$O$142,2,FALSE())</f>
        <v>75.25</v>
      </c>
      <c r="C90" s="182" t="n">
        <f aca="false">VLOOKUP(A90,Table1[[Country]:[Country Risk Premium]],5)</f>
        <v>0.0578201382545776</v>
      </c>
      <c r="D90" s="182" t="n">
        <f aca="false">VLOOKUP(A90,Table1[[Country]:[Country Risk Premium]],4)</f>
        <v>0.0101879749567629</v>
      </c>
      <c r="E90" s="182" t="n">
        <f aca="false">C90</f>
        <v>0.0578201382545776</v>
      </c>
      <c r="F90" s="67" t="n">
        <f aca="false">VLOOKUP(A90,'Country Tax Rates'!$A$2:$B$159,2)</f>
        <v>0.24</v>
      </c>
      <c r="G90" s="67" t="n">
        <f aca="false">VLOOKUP(A90,Table1[[Country]:[Country Risk Premium]],6)</f>
        <v>0.0155201382545776</v>
      </c>
      <c r="H90" s="264"/>
      <c r="N90" s="263" t="s">
        <v>333</v>
      </c>
      <c r="O90" s="264" t="n">
        <v>81.5</v>
      </c>
    </row>
    <row r="91" customFormat="false" ht="15.75" hidden="false" customHeight="false" outlineLevel="0" collapsed="false">
      <c r="A91" s="64" t="str">
        <f aca="false">'ERPs by country'!A98</f>
        <v>Maldives</v>
      </c>
      <c r="B91" s="262" t="e">
        <f aca="false">VLOOKUP(A91,$N$2:$O$142,2,FALSE())</f>
        <v>#N/A</v>
      </c>
      <c r="C91" s="182" t="n">
        <f aca="false">VLOOKUP(A91,Table1[[Country]:[Country Risk Premium]],5)</f>
        <v>0.158853195127514</v>
      </c>
      <c r="D91" s="182" t="n">
        <f aca="false">VLOOKUP(A91,Table1[[Country]:[Country Risk Premium]],4)</f>
        <v>0.0765096942831406</v>
      </c>
      <c r="E91" s="182" t="n">
        <f aca="false">C91</f>
        <v>0.158853195127514</v>
      </c>
      <c r="F91" s="67" t="n">
        <f aca="false">VLOOKUP(A91,'Country Tax Rates'!$A$2:$B$159,2)</f>
        <v>0.15</v>
      </c>
      <c r="G91" s="67" t="n">
        <f aca="false">VLOOKUP(A91,Table1[[Country]:[Country Risk Premium]],6)</f>
        <v>0.116553195127514</v>
      </c>
      <c r="H91" s="264"/>
      <c r="N91" s="263" t="s">
        <v>239</v>
      </c>
      <c r="O91" s="264" t="n">
        <v>78.5</v>
      </c>
    </row>
    <row r="92" customFormat="false" ht="15.75" hidden="false" customHeight="false" outlineLevel="0" collapsed="false">
      <c r="A92" s="64" t="str">
        <f aca="false">'ERPs by country'!A99</f>
        <v>Mali</v>
      </c>
      <c r="B92" s="262" t="n">
        <f aca="false">VLOOKUP(A92,$N$2:$O$142,2,FALSE())</f>
        <v>57.75</v>
      </c>
      <c r="C92" s="182" t="n">
        <f aca="false">VLOOKUP(A92,Table1[[Country]:[Country Risk Premium]],5)</f>
        <v>0.158853195127514</v>
      </c>
      <c r="D92" s="182" t="n">
        <f aca="false">VLOOKUP(A92,Table1[[Country]:[Country Risk Premium]],4)</f>
        <v>0.0765096942831406</v>
      </c>
      <c r="E92" s="182" t="n">
        <f aca="false">C92</f>
        <v>0.158853195127514</v>
      </c>
      <c r="F92" s="67" t="n">
        <f aca="false">VLOOKUP(A92,'Country Tax Rates'!$A$2:$B$159,2)</f>
        <v>0.3</v>
      </c>
      <c r="G92" s="67" t="n">
        <f aca="false">VLOOKUP(A92,Table1[[Country]:[Country Risk Premium]],6)</f>
        <v>0.116553195127514</v>
      </c>
      <c r="H92" s="264"/>
      <c r="N92" s="263" t="s">
        <v>266</v>
      </c>
      <c r="O92" s="264" t="n">
        <v>70.25</v>
      </c>
    </row>
    <row r="93" customFormat="false" ht="15.75" hidden="false" customHeight="false" outlineLevel="0" collapsed="false">
      <c r="A93" s="64" t="str">
        <f aca="false">'ERPs by country'!A100</f>
        <v>Malta</v>
      </c>
      <c r="B93" s="262" t="n">
        <f aca="false">VLOOKUP(A93,$N$2:$O$142,2,FALSE())</f>
        <v>76.5</v>
      </c>
      <c r="C93" s="182" t="n">
        <f aca="false">VLOOKUP(A93,Table1[[Country]:[Country Risk Premium]],5)</f>
        <v>0.0532553917091136</v>
      </c>
      <c r="D93" s="182" t="n">
        <f aca="false">VLOOKUP(A93,Table1[[Country]:[Country Risk Premium]],4)</f>
        <v>0.00719151173418554</v>
      </c>
      <c r="E93" s="182" t="n">
        <f aca="false">C93</f>
        <v>0.0532553917091136</v>
      </c>
      <c r="F93" s="67" t="n">
        <f aca="false">VLOOKUP(A93,'Country Tax Rates'!$A$2:$B$159,2)</f>
        <v>0.35</v>
      </c>
      <c r="G93" s="67" t="n">
        <f aca="false">VLOOKUP(A93,Table1[[Country]:[Country Risk Premium]],6)</f>
        <v>0.0109553917091136</v>
      </c>
      <c r="H93" s="264"/>
      <c r="N93" s="263" t="s">
        <v>202</v>
      </c>
      <c r="O93" s="264" t="n">
        <v>56</v>
      </c>
    </row>
    <row r="94" customFormat="false" ht="15.75" hidden="false" customHeight="false" outlineLevel="0" collapsed="false">
      <c r="A94" s="64" t="str">
        <f aca="false">'ERPs by country'!A101</f>
        <v>Mauritius</v>
      </c>
      <c r="B94" s="262" t="e">
        <f aca="false">VLOOKUP(A94,$N$2:$O$142,2,FALSE())</f>
        <v>#N/A</v>
      </c>
      <c r="C94" s="182" t="n">
        <f aca="false">VLOOKUP(A94,Table1[[Country]:[Country Risk Premium]],5)</f>
        <v>0.0707535868000589</v>
      </c>
      <c r="D94" s="182" t="n">
        <f aca="false">VLOOKUP(A94,Table1[[Country]:[Country Risk Premium]],4)</f>
        <v>0.0186779540873986</v>
      </c>
      <c r="E94" s="182" t="n">
        <f aca="false">C94</f>
        <v>0.0707535868000589</v>
      </c>
      <c r="F94" s="67" t="n">
        <f aca="false">VLOOKUP(A94,'Country Tax Rates'!$A$2:$B$159,2)</f>
        <v>0.15</v>
      </c>
      <c r="G94" s="67" t="n">
        <f aca="false">VLOOKUP(A94,Table1[[Country]:[Country Risk Premium]],6)</f>
        <v>0.0284535868000589</v>
      </c>
      <c r="H94" s="264"/>
      <c r="N94" s="263" t="s">
        <v>203</v>
      </c>
      <c r="O94" s="264" t="n">
        <v>61.25</v>
      </c>
    </row>
    <row r="95" customFormat="false" ht="15.75" hidden="false" customHeight="false" outlineLevel="0" collapsed="false">
      <c r="A95" s="64" t="str">
        <f aca="false">'ERPs by country'!A102</f>
        <v>Mexico</v>
      </c>
      <c r="B95" s="262" t="n">
        <f aca="false">VLOOKUP(A95,$N$2:$O$142,2,FALSE())</f>
        <v>69</v>
      </c>
      <c r="C95" s="182" t="n">
        <f aca="false">VLOOKUP(A95,Table1[[Country]:[Country Risk Premium]],5)</f>
        <v>0.0669496313455056</v>
      </c>
      <c r="D95" s="182" t="n">
        <f aca="false">VLOOKUP(A95,Table1[[Country]:[Country Risk Premium]],4)</f>
        <v>0.0161809014019175</v>
      </c>
      <c r="E95" s="182" t="n">
        <f aca="false">C95</f>
        <v>0.0669496313455056</v>
      </c>
      <c r="F95" s="67" t="n">
        <f aca="false">VLOOKUP(A95,'Country Tax Rates'!$A$2:$B$159,2)</f>
        <v>0.3</v>
      </c>
      <c r="G95" s="67" t="n">
        <f aca="false">VLOOKUP(A95,Table1[[Country]:[Country Risk Premium]],6)</f>
        <v>0.0246496313455056</v>
      </c>
      <c r="H95" s="264"/>
      <c r="N95" s="263" t="s">
        <v>334</v>
      </c>
      <c r="O95" s="264" t="n">
        <v>87.75</v>
      </c>
    </row>
    <row r="96" customFormat="false" ht="15.75" hidden="false" customHeight="false" outlineLevel="0" collapsed="false">
      <c r="A96" s="64" t="str">
        <f aca="false">'ERPs by country'!A103</f>
        <v>Moldova</v>
      </c>
      <c r="B96" s="262" t="n">
        <f aca="false">VLOOKUP(A96,$N$2:$O$142,2,FALSE())</f>
        <v>64.5</v>
      </c>
      <c r="C96" s="182" t="n">
        <f aca="false">VLOOKUP(A96,Table1[[Country]:[Country Risk Premium]],5)</f>
        <v>0.12644349465472</v>
      </c>
      <c r="D96" s="182" t="n">
        <f aca="false">VLOOKUP(A96,Table1[[Country]:[Country Risk Premium]],4)</f>
        <v>0.0552348054028417</v>
      </c>
      <c r="E96" s="182" t="n">
        <f aca="false">C96</f>
        <v>0.12644349465472</v>
      </c>
      <c r="F96" s="67" t="n">
        <f aca="false">VLOOKUP(A96,'Country Tax Rates'!$A$2:$B$159,2)</f>
        <v>0.12</v>
      </c>
      <c r="G96" s="67" t="n">
        <f aca="false">VLOOKUP(A96,Table1[[Country]:[Country Risk Premium]],6)</f>
        <v>0.0841434946547197</v>
      </c>
      <c r="H96" s="264"/>
      <c r="N96" s="263" t="s">
        <v>307</v>
      </c>
      <c r="O96" s="264" t="n">
        <v>78.5</v>
      </c>
    </row>
    <row r="97" customFormat="false" ht="15.75" hidden="false" customHeight="false" outlineLevel="0" collapsed="false">
      <c r="A97" s="64" t="str">
        <f aca="false">'ERPs by country'!A104</f>
        <v>Mongolia</v>
      </c>
      <c r="B97" s="262" t="n">
        <f aca="false">VLOOKUP(A97,$N$2:$O$142,2,FALSE())</f>
        <v>71.25</v>
      </c>
      <c r="C97" s="182" t="n">
        <f aca="false">VLOOKUP(A97,Table1[[Country]:[Country Risk Premium]],5)</f>
        <v>0.100576597563757</v>
      </c>
      <c r="D97" s="182" t="n">
        <f aca="false">VLOOKUP(A97,Table1[[Country]:[Country Risk Premium]],4)</f>
        <v>0.0382548471415703</v>
      </c>
      <c r="E97" s="182" t="n">
        <f aca="false">C97</f>
        <v>0.100576597563757</v>
      </c>
      <c r="F97" s="67" t="n">
        <f aca="false">VLOOKUP(A97,'Country Tax Rates'!$A$2:$B$159,2)</f>
        <v>0.25</v>
      </c>
      <c r="G97" s="67" t="n">
        <f aca="false">VLOOKUP(A97,Table1[[Country]:[Country Risk Premium]],6)</f>
        <v>0.058276597563757</v>
      </c>
      <c r="H97" s="264"/>
      <c r="N97" s="263" t="s">
        <v>228</v>
      </c>
      <c r="O97" s="264" t="n">
        <v>58.25</v>
      </c>
    </row>
    <row r="98" customFormat="false" ht="15.75" hidden="false" customHeight="false" outlineLevel="0" collapsed="false">
      <c r="A98" s="64" t="str">
        <f aca="false">'ERPs by country'!A105</f>
        <v>Montenegro</v>
      </c>
      <c r="B98" s="262" t="e">
        <f aca="false">VLOOKUP(A98,$N$2:$O$142,2,FALSE())</f>
        <v>#N/A</v>
      </c>
      <c r="C98" s="182" t="n">
        <f aca="false">VLOOKUP(A98,Table1[[Country]:[Country Risk Premium]],5)</f>
        <v>0.100576597563757</v>
      </c>
      <c r="D98" s="182" t="n">
        <f aca="false">VLOOKUP(A98,Table1[[Country]:[Country Risk Premium]],4)</f>
        <v>0.0382548471415703</v>
      </c>
      <c r="E98" s="182" t="n">
        <f aca="false">C98</f>
        <v>0.100576597563757</v>
      </c>
      <c r="F98" s="67" t="n">
        <f aca="false">VLOOKUP(A98,'Country Tax Rates'!$A$2:$B$159,2)</f>
        <v>0.15</v>
      </c>
      <c r="G98" s="67" t="n">
        <f aca="false">VLOOKUP(A98,Table1[[Country]:[Country Risk Premium]],6)</f>
        <v>0.058276597563757</v>
      </c>
      <c r="H98" s="264"/>
      <c r="N98" s="263" t="s">
        <v>267</v>
      </c>
      <c r="O98" s="264" t="n">
        <v>70.5</v>
      </c>
    </row>
    <row r="99" customFormat="false" ht="15.75" hidden="false" customHeight="false" outlineLevel="0" collapsed="false">
      <c r="A99" s="64" t="str">
        <f aca="false">'ERPs by country'!A106</f>
        <v>Montserrat</v>
      </c>
      <c r="B99" s="262" t="e">
        <f aca="false">VLOOKUP(A99,$N$2:$O$142,2,FALSE())</f>
        <v>#N/A</v>
      </c>
      <c r="C99" s="182" t="n">
        <f aca="false">VLOOKUP(A99,Table1[[Country]:[Country Risk Premium]],5)</f>
        <v>0.0707535868000589</v>
      </c>
      <c r="D99" s="182" t="n">
        <f aca="false">VLOOKUP(A99,Table1[[Country]:[Country Risk Premium]],4)</f>
        <v>0.0186779540873986</v>
      </c>
      <c r="E99" s="182" t="n">
        <f aca="false">C99</f>
        <v>0.0707535868000589</v>
      </c>
      <c r="F99" s="67" t="n">
        <f aca="false">VLOOKUP(A99,'Country Tax Rates'!$A$2:$B$159,2)</f>
        <v>0.3</v>
      </c>
      <c r="G99" s="67" t="n">
        <f aca="false">VLOOKUP(A99,Table1[[Country]:[Country Risk Premium]],6)</f>
        <v>0.0284535868000589</v>
      </c>
      <c r="H99" s="264"/>
      <c r="N99" s="263" t="s">
        <v>229</v>
      </c>
      <c r="O99" s="264" t="n">
        <v>70</v>
      </c>
    </row>
    <row r="100" customFormat="false" ht="15.75" hidden="false" customHeight="false" outlineLevel="0" collapsed="false">
      <c r="A100" s="64" t="str">
        <f aca="false">'ERPs by country'!A107</f>
        <v>Morocco</v>
      </c>
      <c r="B100" s="262" t="n">
        <f aca="false">VLOOKUP(A100,$N$2:$O$142,2,FALSE())</f>
        <v>72.25</v>
      </c>
      <c r="C100" s="182" t="n">
        <f aca="false">VLOOKUP(A100,Table1[[Country]:[Country Risk Premium]],5)</f>
        <v>0.0747097004727944</v>
      </c>
      <c r="D100" s="182" t="n">
        <f aca="false">VLOOKUP(A100,Table1[[Country]:[Country Risk Premium]],4)</f>
        <v>0.0212748888802989</v>
      </c>
      <c r="E100" s="182" t="n">
        <f aca="false">C100</f>
        <v>0.0747097004727944</v>
      </c>
      <c r="F100" s="67" t="n">
        <f aca="false">VLOOKUP(A100,'Country Tax Rates'!$A$2:$B$159,2)</f>
        <v>0.33</v>
      </c>
      <c r="G100" s="67" t="n">
        <f aca="false">VLOOKUP(A100,Table1[[Country]:[Country Risk Premium]],6)</f>
        <v>0.0324097004727944</v>
      </c>
      <c r="H100" s="264"/>
      <c r="N100" s="263" t="s">
        <v>268</v>
      </c>
      <c r="O100" s="264" t="n">
        <v>70.75</v>
      </c>
    </row>
    <row r="101" customFormat="false" ht="15.75" hidden="false" customHeight="false" outlineLevel="0" collapsed="false">
      <c r="A101" s="64" t="str">
        <f aca="false">'ERPs by country'!A108</f>
        <v>Mozambique</v>
      </c>
      <c r="B101" s="262" t="n">
        <f aca="false">VLOOKUP(A101,$N$2:$O$142,2,FALSE())</f>
        <v>57</v>
      </c>
      <c r="C101" s="182" t="n">
        <f aca="false">VLOOKUP(A101,Table1[[Country]:[Country Risk Premium]],5)</f>
        <v>0.171786643672995</v>
      </c>
      <c r="D101" s="182" t="n">
        <f aca="false">VLOOKUP(A101,Table1[[Country]:[Country Risk Premium]],4)</f>
        <v>0.0849996734137763</v>
      </c>
      <c r="E101" s="182" t="n">
        <f aca="false">C101</f>
        <v>0.171786643672995</v>
      </c>
      <c r="F101" s="67" t="n">
        <f aca="false">VLOOKUP(A101,'Country Tax Rates'!$A$2:$B$159,2)</f>
        <v>0.32</v>
      </c>
      <c r="G101" s="67" t="n">
        <f aca="false">VLOOKUP(A101,Table1[[Country]:[Country Risk Premium]],6)</f>
        <v>0.129486643672995</v>
      </c>
      <c r="H101" s="264"/>
      <c r="N101" s="263" t="s">
        <v>269</v>
      </c>
      <c r="O101" s="264" t="n">
        <v>69.75</v>
      </c>
    </row>
    <row r="102" customFormat="false" ht="15.75" hidden="false" customHeight="false" outlineLevel="0" collapsed="false">
      <c r="A102" s="64" t="str">
        <f aca="false">'ERPs by country'!A109</f>
        <v>Namibia</v>
      </c>
      <c r="B102" s="262" t="n">
        <f aca="false">VLOOKUP(A102,$N$2:$O$142,2,FALSE())</f>
        <v>70.75</v>
      </c>
      <c r="C102" s="182" t="n">
        <f aca="false">VLOOKUP(A102,Table1[[Country]:[Country Risk Premium]],5)</f>
        <v>0.100576597563757</v>
      </c>
      <c r="D102" s="182" t="n">
        <f aca="false">VLOOKUP(A102,Table1[[Country]:[Country Risk Premium]],4)</f>
        <v>0.0382548471415703</v>
      </c>
      <c r="E102" s="182" t="n">
        <f aca="false">C102</f>
        <v>0.100576597563757</v>
      </c>
      <c r="F102" s="67" t="n">
        <f aca="false">VLOOKUP(A102,'Country Tax Rates'!$A$2:$B$159,2)</f>
        <v>0.32</v>
      </c>
      <c r="G102" s="67" t="n">
        <f aca="false">VLOOKUP(A102,Table1[[Country]:[Country Risk Premium]],6)</f>
        <v>0.058276597563757</v>
      </c>
      <c r="H102" s="264"/>
      <c r="N102" s="263" t="s">
        <v>230</v>
      </c>
      <c r="O102" s="264" t="n">
        <v>70</v>
      </c>
    </row>
    <row r="103" customFormat="false" ht="15.75" hidden="false" customHeight="false" outlineLevel="0" collapsed="false">
      <c r="A103" s="64" t="s">
        <v>227</v>
      </c>
      <c r="B103" s="262" t="e">
        <f aca="false">VLOOKUP(A103,$N$2:$O$142,2,FALSE())</f>
        <v>#N/A</v>
      </c>
      <c r="C103" s="182" t="n">
        <f aca="false">VLOOKUP(A103,Table1[[Country]:[Country Risk Premium]],5)</f>
        <v>0.0888604147637328</v>
      </c>
      <c r="D103" s="182" t="n">
        <f aca="false">VLOOKUP(A103,Table1[[Country]:[Country Risk Premium]],4)</f>
        <v>0.0305639248702886</v>
      </c>
      <c r="E103" s="182" t="n">
        <f aca="false">C103</f>
        <v>0.0888604147637328</v>
      </c>
      <c r="F103" s="67" t="n">
        <f aca="false">VLOOKUP(A103,'Country Tax Rates'!$A$2:$B$159,2)</f>
        <v>0.25</v>
      </c>
      <c r="G103" s="67" t="n">
        <f aca="false">VLOOKUP(A103,Table1[[Country]:[Country Risk Premium]],6)</f>
        <v>0.0465604147637328</v>
      </c>
      <c r="H103" s="264"/>
      <c r="N103" s="263" t="s">
        <v>291</v>
      </c>
      <c r="O103" s="264" t="n">
        <v>74</v>
      </c>
    </row>
    <row r="104" customFormat="false" ht="15.75" hidden="false" customHeight="false" outlineLevel="0" collapsed="false">
      <c r="A104" s="64" t="str">
        <f aca="false">'ERPs by country'!A111</f>
        <v>Netherlands</v>
      </c>
      <c r="B104" s="262" t="n">
        <f aca="false">VLOOKUP(A104,$N$2:$O$142,2,FALSE())</f>
        <v>81.5</v>
      </c>
      <c r="C104" s="182" t="n">
        <f aca="false">VLOOKUP(A104,Table1[[Country]:[Country Risk Premium]],5)</f>
        <v>0.0423</v>
      </c>
      <c r="D104" s="182" t="n">
        <f aca="false">VLOOKUP(A104,Table1[[Country]:[Country Risk Premium]],4)</f>
        <v>0</v>
      </c>
      <c r="E104" s="182" t="n">
        <f aca="false">C104</f>
        <v>0.0423</v>
      </c>
      <c r="F104" s="67" t="n">
        <f aca="false">VLOOKUP(A104,'Country Tax Rates'!$A$2:$B$159,2)</f>
        <v>0.258</v>
      </c>
      <c r="G104" s="67" t="n">
        <f aca="false">VLOOKUP(A104,Table1[[Country]:[Country Risk Premium]],6)</f>
        <v>0</v>
      </c>
      <c r="H104" s="264"/>
      <c r="N104" s="263" t="s">
        <v>335</v>
      </c>
      <c r="O104" s="264" t="n">
        <v>78.25</v>
      </c>
    </row>
    <row r="105" customFormat="false" ht="15.75" hidden="false" customHeight="false" outlineLevel="0" collapsed="false">
      <c r="A105" s="64" t="str">
        <f aca="false">'ERPs by country'!A112</f>
        <v>New Zealand</v>
      </c>
      <c r="B105" s="262" t="n">
        <f aca="false">VLOOKUP(A105,$N$2:$O$142,2,FALSE())</f>
        <v>78.5</v>
      </c>
      <c r="C105" s="182" t="n">
        <f aca="false">VLOOKUP(A105,Table1[[Country]:[Country Risk Premium]],5)</f>
        <v>0.0423</v>
      </c>
      <c r="D105" s="182" t="n">
        <f aca="false">VLOOKUP(A105,Table1[[Country]:[Country Risk Premium]],4)</f>
        <v>0</v>
      </c>
      <c r="E105" s="182" t="n">
        <f aca="false">C105</f>
        <v>0.0423</v>
      </c>
      <c r="F105" s="67" t="n">
        <f aca="false">VLOOKUP(A105,'Country Tax Rates'!$A$2:$B$159,2)</f>
        <v>0.28</v>
      </c>
      <c r="G105" s="67" t="n">
        <f aca="false">VLOOKUP(A105,Table1[[Country]:[Country Risk Premium]],6)</f>
        <v>0</v>
      </c>
      <c r="H105" s="264"/>
      <c r="N105" s="263" t="s">
        <v>308</v>
      </c>
      <c r="O105" s="264" t="n">
        <v>80.25</v>
      </c>
    </row>
    <row r="106" customFormat="false" ht="15.75" hidden="false" customHeight="false" outlineLevel="0" collapsed="false">
      <c r="A106" s="64" t="str">
        <f aca="false">'ERPs by country'!A113</f>
        <v>Nicaragua</v>
      </c>
      <c r="B106" s="262" t="n">
        <f aca="false">VLOOKUP(A106,$N$2:$O$142,2,FALSE())</f>
        <v>70.25</v>
      </c>
      <c r="C106" s="182" t="n">
        <f aca="false">VLOOKUP(A106,Table1[[Country]:[Country Risk Premium]],5)</f>
        <v>0.113510046109238</v>
      </c>
      <c r="D106" s="182" t="n">
        <f aca="false">VLOOKUP(A106,Table1[[Country]:[Country Risk Premium]],4)</f>
        <v>0.046744826272206</v>
      </c>
      <c r="E106" s="182" t="n">
        <f aca="false">C106</f>
        <v>0.113510046109238</v>
      </c>
      <c r="F106" s="67" t="n">
        <f aca="false">VLOOKUP(A106,'Country Tax Rates'!$A$2:$B$159,2)</f>
        <v>0.3</v>
      </c>
      <c r="G106" s="67" t="n">
        <f aca="false">VLOOKUP(A106,Table1[[Country]:[Country Risk Premium]],6)</f>
        <v>0.0712100461092384</v>
      </c>
      <c r="H106" s="264"/>
      <c r="N106" s="263" t="s">
        <v>292</v>
      </c>
      <c r="O106" s="264" t="n">
        <v>67.25</v>
      </c>
    </row>
    <row r="107" customFormat="false" ht="15.75" hidden="false" customHeight="false" outlineLevel="0" collapsed="false">
      <c r="A107" s="64" t="str">
        <f aca="false">'ERPs by country'!A114</f>
        <v>Niger</v>
      </c>
      <c r="B107" s="262" t="n">
        <f aca="false">VLOOKUP(A107,$N$2:$O$142,2,FALSE())</f>
        <v>56</v>
      </c>
      <c r="C107" s="182" t="n">
        <f aca="false">VLOOKUP(A107,Table1[[Country]:[Country Risk Premium]],5)</f>
        <v>0.171786643672995</v>
      </c>
      <c r="D107" s="182" t="n">
        <f aca="false">VLOOKUP(A107,Table1[[Country]:[Country Risk Premium]],4)</f>
        <v>0.0849996734137763</v>
      </c>
      <c r="E107" s="182" t="n">
        <f aca="false">C107</f>
        <v>0.171786643672995</v>
      </c>
      <c r="F107" s="67" t="n">
        <f aca="false">VLOOKUP(A107,'Country Tax Rates'!$A$2:$B$159,2)</f>
        <v>0.3</v>
      </c>
      <c r="G107" s="67" t="n">
        <f aca="false">VLOOKUP(A107,Table1[[Country]:[Country Risk Premium]],6)</f>
        <v>0.129486643672995</v>
      </c>
      <c r="H107" s="264"/>
      <c r="N107" s="263" t="s">
        <v>404</v>
      </c>
      <c r="O107" s="264" t="n">
        <v>70.25</v>
      </c>
    </row>
    <row r="108" customFormat="false" ht="15.75" hidden="false" customHeight="false" outlineLevel="0" collapsed="false">
      <c r="A108" s="64" t="str">
        <f aca="false">'ERPs by country'!A115</f>
        <v>Nigeria</v>
      </c>
      <c r="B108" s="262" t="n">
        <f aca="false">VLOOKUP(A108,$N$2:$O$142,2,FALSE())</f>
        <v>61.25</v>
      </c>
      <c r="C108" s="182" t="n">
        <f aca="false">VLOOKUP(A108,Table1[[Country]:[Country Risk Premium]],5)</f>
        <v>0.12644349465472</v>
      </c>
      <c r="D108" s="182" t="n">
        <f aca="false">VLOOKUP(A108,Table1[[Country]:[Country Risk Premium]],4)</f>
        <v>0.0552348054028417</v>
      </c>
      <c r="E108" s="182" t="n">
        <f aca="false">C108</f>
        <v>0.12644349465472</v>
      </c>
      <c r="F108" s="67" t="n">
        <f aca="false">VLOOKUP(A108,'Country Tax Rates'!$A$2:$B$159,2)</f>
        <v>0.3</v>
      </c>
      <c r="G108" s="67" t="n">
        <f aca="false">VLOOKUP(A108,Table1[[Country]:[Country Risk Premium]],6)</f>
        <v>0.0841434946547197</v>
      </c>
      <c r="H108" s="264"/>
      <c r="N108" s="263" t="s">
        <v>310</v>
      </c>
      <c r="O108" s="264" t="n">
        <v>81</v>
      </c>
    </row>
    <row r="109" customFormat="false" ht="15.75" hidden="false" customHeight="false" outlineLevel="0" collapsed="false">
      <c r="A109" s="64" t="str">
        <f aca="false">'ERPs by country'!A116</f>
        <v>Norway</v>
      </c>
      <c r="B109" s="262" t="n">
        <f aca="false">VLOOKUP(A109,$N$2:$O$142,2,FALSE())</f>
        <v>87.75</v>
      </c>
      <c r="C109" s="182" t="n">
        <f aca="false">VLOOKUP(A109,Table1[[Country]:[Country Risk Premium]],5)</f>
        <v>0.0423</v>
      </c>
      <c r="D109" s="182" t="n">
        <f aca="false">VLOOKUP(A109,Table1[[Country]:[Country Risk Premium]],4)</f>
        <v>0</v>
      </c>
      <c r="E109" s="182" t="n">
        <f aca="false">C109</f>
        <v>0.0423</v>
      </c>
      <c r="F109" s="67" t="n">
        <f aca="false">VLOOKUP(A109,'Country Tax Rates'!$A$2:$B$159,2)</f>
        <v>0.22</v>
      </c>
      <c r="G109" s="67" t="n">
        <f aca="false">VLOOKUP(A109,Table1[[Country]:[Country Risk Premium]],6)</f>
        <v>0</v>
      </c>
      <c r="H109" s="264"/>
      <c r="N109" s="263" t="s">
        <v>205</v>
      </c>
      <c r="O109" s="264" t="n">
        <v>60</v>
      </c>
    </row>
    <row r="110" customFormat="false" ht="15.75" hidden="false" customHeight="false" outlineLevel="0" collapsed="false">
      <c r="A110" s="64" t="str">
        <f aca="false">'ERPs by country'!A117</f>
        <v>Oman</v>
      </c>
      <c r="B110" s="262" t="n">
        <f aca="false">VLOOKUP(A110,$N$2:$O$142,2,FALSE())</f>
        <v>78.5</v>
      </c>
      <c r="C110" s="182" t="n">
        <f aca="false">VLOOKUP(A110,Table1[[Country]:[Country Risk Premium]],5)</f>
        <v>0.0707535868000589</v>
      </c>
      <c r="D110" s="182" t="n">
        <f aca="false">VLOOKUP(A110,Table1[[Country]:[Country Risk Premium]],4)</f>
        <v>0.0186779540873986</v>
      </c>
      <c r="E110" s="182" t="n">
        <f aca="false">C110</f>
        <v>0.0707535868000589</v>
      </c>
      <c r="F110" s="67" t="n">
        <f aca="false">VLOOKUP(A110,'Country Tax Rates'!$A$2:$B$159,2)</f>
        <v>0.15</v>
      </c>
      <c r="G110" s="67" t="n">
        <f aca="false">VLOOKUP(A110,Table1[[Country]:[Country Risk Premium]],6)</f>
        <v>0.0284535868000589</v>
      </c>
      <c r="H110" s="264"/>
      <c r="N110" s="263" t="s">
        <v>650</v>
      </c>
      <c r="O110" s="264" t="n">
        <v>66.25</v>
      </c>
    </row>
    <row r="111" customFormat="false" ht="15.75" hidden="false" customHeight="false" outlineLevel="0" collapsed="false">
      <c r="A111" s="64" t="str">
        <f aca="false">'ERPs by country'!A118</f>
        <v>Pakistan</v>
      </c>
      <c r="B111" s="262" t="n">
        <f aca="false">VLOOKUP(A111,$N$2:$O$142,2,FALSE())</f>
        <v>58.25</v>
      </c>
      <c r="C111" s="182" t="n">
        <f aca="false">VLOOKUP(A111,Table1[[Country]:[Country Risk Premium]],5)</f>
        <v>0.139376943200201</v>
      </c>
      <c r="D111" s="182" t="n">
        <f aca="false">VLOOKUP(A111,Table1[[Country]:[Country Risk Premium]],4)</f>
        <v>0.0637247845334774</v>
      </c>
      <c r="E111" s="182" t="n">
        <f aca="false">C111</f>
        <v>0.139376943200201</v>
      </c>
      <c r="F111" s="67" t="n">
        <f aca="false">VLOOKUP(A111,'Country Tax Rates'!$A$2:$B$159,2)</f>
        <v>0.29</v>
      </c>
      <c r="G111" s="67" t="n">
        <f aca="false">VLOOKUP(A111,Table1[[Country]:[Country Risk Premium]],6)</f>
        <v>0.097076943200201</v>
      </c>
      <c r="H111" s="264"/>
      <c r="N111" s="263" t="s">
        <v>527</v>
      </c>
      <c r="O111" s="264" t="n">
        <v>62.75</v>
      </c>
    </row>
    <row r="112" customFormat="false" ht="15.75" hidden="false" customHeight="false" outlineLevel="0" collapsed="false">
      <c r="A112" s="64" t="str">
        <f aca="false">'ERPs by country'!A119</f>
        <v>Panama</v>
      </c>
      <c r="B112" s="262" t="n">
        <f aca="false">VLOOKUP(A112,$N$2:$O$142,2,FALSE())</f>
        <v>70.5</v>
      </c>
      <c r="C112" s="182" t="n">
        <f aca="false">VLOOKUP(A112,Table1[[Country]:[Country Risk Premium]],5)</f>
        <v>0.0707535868000589</v>
      </c>
      <c r="D112" s="182" t="n">
        <f aca="false">VLOOKUP(A112,Table1[[Country]:[Country Risk Premium]],4)</f>
        <v>0.0186779540873986</v>
      </c>
      <c r="E112" s="182" t="n">
        <f aca="false">C112</f>
        <v>0.0707535868000589</v>
      </c>
      <c r="F112" s="67" t="n">
        <f aca="false">VLOOKUP(A112,'Country Tax Rates'!$A$2:$B$159,2)</f>
        <v>0.25</v>
      </c>
      <c r="G112" s="67" t="n">
        <f aca="false">VLOOKUP(A112,Table1[[Country]:[Country Risk Premium]],6)</f>
        <v>0.0284535868000589</v>
      </c>
      <c r="H112" s="264"/>
      <c r="N112" s="263" t="s">
        <v>231</v>
      </c>
      <c r="O112" s="264" t="n">
        <v>86.75</v>
      </c>
    </row>
    <row r="113" customFormat="false" ht="15.75" hidden="false" customHeight="false" outlineLevel="0" collapsed="false">
      <c r="A113" s="64" t="str">
        <f aca="false">'ERPs by country'!A120</f>
        <v>Papua New Guinea</v>
      </c>
      <c r="B113" s="262" t="n">
        <f aca="false">VLOOKUP(A113,$N$2:$O$142,2,FALSE())</f>
        <v>70</v>
      </c>
      <c r="C113" s="182" t="n">
        <f aca="false">VLOOKUP(A113,Table1[[Country]:[Country Risk Premium]],5)</f>
        <v>0.113510046109238</v>
      </c>
      <c r="D113" s="182" t="n">
        <f aca="false">VLOOKUP(A113,Table1[[Country]:[Country Risk Premium]],4)</f>
        <v>0.046744826272206</v>
      </c>
      <c r="E113" s="182" t="n">
        <f aca="false">C113</f>
        <v>0.113510046109238</v>
      </c>
      <c r="F113" s="67" t="n">
        <f aca="false">VLOOKUP(A113,'Country Tax Rates'!$A$2:$B$159,2)</f>
        <v>0.3</v>
      </c>
      <c r="G113" s="67" t="n">
        <f aca="false">VLOOKUP(A113,Table1[[Country]:[Country Risk Premium]],6)</f>
        <v>0.0712100461092384</v>
      </c>
      <c r="H113" s="264"/>
      <c r="N113" s="263" t="s">
        <v>294</v>
      </c>
      <c r="O113" s="264" t="n">
        <v>67</v>
      </c>
    </row>
    <row r="114" customFormat="false" ht="15.75" hidden="false" customHeight="false" outlineLevel="0" collapsed="false">
      <c r="A114" s="64" t="str">
        <f aca="false">'ERPs by country'!A121</f>
        <v>Paraguay</v>
      </c>
      <c r="B114" s="262" t="n">
        <f aca="false">VLOOKUP(A114,$N$2:$O$142,2,FALSE())</f>
        <v>70.75</v>
      </c>
      <c r="C114" s="182" t="n">
        <f aca="false">VLOOKUP(A114,Table1[[Country]:[Country Risk Premium]],5)</f>
        <v>0.0707535868000589</v>
      </c>
      <c r="D114" s="182" t="n">
        <f aca="false">VLOOKUP(A114,Table1[[Country]:[Country Risk Premium]],4)</f>
        <v>0.0186779540873986</v>
      </c>
      <c r="E114" s="182" t="n">
        <f aca="false">C114</f>
        <v>0.0707535868000589</v>
      </c>
      <c r="F114" s="67" t="n">
        <f aca="false">VLOOKUP(A114,'Country Tax Rates'!$A$2:$B$159,2)</f>
        <v>0.1</v>
      </c>
      <c r="G114" s="67" t="n">
        <f aca="false">VLOOKUP(A114,Table1[[Country]:[Country Risk Premium]],6)</f>
        <v>0.0284535868000589</v>
      </c>
      <c r="H114" s="264"/>
      <c r="N114" s="263" t="s">
        <v>295</v>
      </c>
      <c r="O114" s="264" t="n">
        <v>76</v>
      </c>
    </row>
    <row r="115" customFormat="false" ht="15.75" hidden="false" customHeight="false" outlineLevel="0" collapsed="false">
      <c r="A115" s="64" t="str">
        <f aca="false">'ERPs by country'!A122</f>
        <v>Peru</v>
      </c>
      <c r="B115" s="262" t="n">
        <f aca="false">VLOOKUP(A115,$N$2:$O$142,2,FALSE())</f>
        <v>69.75</v>
      </c>
      <c r="C115" s="182" t="n">
        <f aca="false">VLOOKUP(A115,Table1[[Country]:[Country Risk Premium]],5)</f>
        <v>0.0629935176727701</v>
      </c>
      <c r="D115" s="182" t="n">
        <f aca="false">VLOOKUP(A115,Table1[[Country]:[Country Risk Premium]],4)</f>
        <v>0.0135839666090171</v>
      </c>
      <c r="E115" s="182" t="n">
        <f aca="false">C115</f>
        <v>0.0629935176727701</v>
      </c>
      <c r="F115" s="67" t="n">
        <f aca="false">VLOOKUP(A115,'Country Tax Rates'!$A$2:$B$159,2)</f>
        <v>0.295</v>
      </c>
      <c r="G115" s="67" t="n">
        <f aca="false">VLOOKUP(A115,Table1[[Country]:[Country Risk Premium]],6)</f>
        <v>0.0206935176727701</v>
      </c>
      <c r="H115" s="264"/>
      <c r="N115" s="263" t="s">
        <v>529</v>
      </c>
      <c r="O115" s="264" t="n">
        <v>55.5</v>
      </c>
    </row>
    <row r="116" customFormat="false" ht="15.75" hidden="false" customHeight="false" outlineLevel="0" collapsed="false">
      <c r="A116" s="64" t="str">
        <f aca="false">'ERPs by country'!A123</f>
        <v>Philippines</v>
      </c>
      <c r="B116" s="262" t="n">
        <f aca="false">VLOOKUP(A116,$N$2:$O$142,2,FALSE())</f>
        <v>70</v>
      </c>
      <c r="C116" s="182" t="n">
        <f aca="false">VLOOKUP(A116,Table1[[Country]:[Country Risk Premium]],5)</f>
        <v>0.0669496313455056</v>
      </c>
      <c r="D116" s="182" t="n">
        <f aca="false">VLOOKUP(A116,Table1[[Country]:[Country Risk Premium]],4)</f>
        <v>0.0161809014019175</v>
      </c>
      <c r="E116" s="182" t="n">
        <f aca="false">C116</f>
        <v>0.0669496313455056</v>
      </c>
      <c r="F116" s="67" t="n">
        <f aca="false">VLOOKUP(A116,'Country Tax Rates'!$A$2:$B$159,2)</f>
        <v>0.25</v>
      </c>
      <c r="G116" s="67" t="n">
        <f aca="false">VLOOKUP(A116,Table1[[Country]:[Country Risk Premium]],6)</f>
        <v>0.0246496313455056</v>
      </c>
      <c r="H116" s="264"/>
      <c r="N116" s="263" t="s">
        <v>206</v>
      </c>
      <c r="O116" s="264" t="n">
        <v>68.5</v>
      </c>
    </row>
    <row r="117" customFormat="false" ht="15.75" hidden="false" customHeight="false" outlineLevel="0" collapsed="false">
      <c r="A117" s="64" t="str">
        <f aca="false">'ERPs by country'!A124</f>
        <v>Poland</v>
      </c>
      <c r="B117" s="262" t="n">
        <f aca="false">VLOOKUP(A117,$N$2:$O$142,2,FALSE())</f>
        <v>74</v>
      </c>
      <c r="C117" s="182" t="n">
        <f aca="false">VLOOKUP(A117,Table1[[Country]:[Country Risk Premium]],5)</f>
        <v>0.0532553917091136</v>
      </c>
      <c r="D117" s="182" t="n">
        <f aca="false">VLOOKUP(A117,Table1[[Country]:[Country Risk Premium]],4)</f>
        <v>0.00719151173418554</v>
      </c>
      <c r="E117" s="182" t="n">
        <f aca="false">C117</f>
        <v>0.0532553917091136</v>
      </c>
      <c r="F117" s="67" t="n">
        <f aca="false">VLOOKUP(A117,'Country Tax Rates'!$A$2:$B$159,2)</f>
        <v>0.19</v>
      </c>
      <c r="G117" s="67" t="n">
        <f aca="false">VLOOKUP(A117,Table1[[Country]:[Country Risk Premium]],6)</f>
        <v>0.0109553917091136</v>
      </c>
      <c r="H117" s="264"/>
      <c r="N117" s="263" t="s">
        <v>336</v>
      </c>
      <c r="O117" s="264" t="n">
        <v>73.5</v>
      </c>
    </row>
    <row r="118" customFormat="false" ht="15.75" hidden="false" customHeight="false" outlineLevel="0" collapsed="false">
      <c r="A118" s="64" t="str">
        <f aca="false">'ERPs by country'!A125</f>
        <v>Portugal</v>
      </c>
      <c r="B118" s="262" t="n">
        <f aca="false">VLOOKUP(A118,$N$2:$O$142,2,FALSE())</f>
        <v>78.25</v>
      </c>
      <c r="C118" s="182" t="n">
        <f aca="false">VLOOKUP(A118,Table1[[Country]:[Country Risk Premium]],5)</f>
        <v>0.0578201382545776</v>
      </c>
      <c r="D118" s="182" t="n">
        <f aca="false">VLOOKUP(A118,Table1[[Country]:[Country Risk Premium]],4)</f>
        <v>0.0101879749567629</v>
      </c>
      <c r="E118" s="182" t="n">
        <f aca="false">C118</f>
        <v>0.0578201382545776</v>
      </c>
      <c r="F118" s="67" t="n">
        <f aca="false">VLOOKUP(A118,'Country Tax Rates'!$A$2:$B$159,2)</f>
        <v>0.315</v>
      </c>
      <c r="G118" s="67" t="n">
        <f aca="false">VLOOKUP(A118,Table1[[Country]:[Country Risk Premium]],6)</f>
        <v>0.0155201382545776</v>
      </c>
      <c r="H118" s="264"/>
      <c r="N118" s="263" t="s">
        <v>233</v>
      </c>
      <c r="O118" s="264" t="n">
        <v>69</v>
      </c>
    </row>
    <row r="119" customFormat="false" ht="15.75" hidden="false" customHeight="false" outlineLevel="0" collapsed="false">
      <c r="A119" s="64" t="str">
        <f aca="false">'ERPs by country'!A126</f>
        <v>Qatar</v>
      </c>
      <c r="B119" s="262" t="n">
        <f aca="false">VLOOKUP(A119,$N$2:$O$142,2,FALSE())</f>
        <v>80.25</v>
      </c>
      <c r="C119" s="182" t="n">
        <f aca="false">VLOOKUP(A119,Table1[[Country]:[Country Risk Premium]],5)</f>
        <v>0.0486906451636496</v>
      </c>
      <c r="D119" s="182" t="n">
        <f aca="false">VLOOKUP(A119,Table1[[Country]:[Country Risk Premium]],4)</f>
        <v>0.00419504851160823</v>
      </c>
      <c r="E119" s="182" t="n">
        <f aca="false">C119</f>
        <v>0.0486906451636496</v>
      </c>
      <c r="F119" s="67" t="n">
        <f aca="false">VLOOKUP(A119,'Country Tax Rates'!$A$2:$B$159,2)</f>
        <v>0.1</v>
      </c>
      <c r="G119" s="67" t="n">
        <f aca="false">VLOOKUP(A119,Table1[[Country]:[Country Risk Premium]],6)</f>
        <v>0.0063906451636496</v>
      </c>
      <c r="H119" s="264"/>
      <c r="N119" s="263" t="s">
        <v>530</v>
      </c>
      <c r="O119" s="264" t="n">
        <v>47.75</v>
      </c>
    </row>
    <row r="120" customFormat="false" ht="15.75" hidden="false" customHeight="false" outlineLevel="0" collapsed="false">
      <c r="A120" s="64" t="str">
        <f aca="false">'ERPs by country'!A127</f>
        <v>Ras Al Khaimah (Emirate of)</v>
      </c>
      <c r="B120" s="262" t="e">
        <f aca="false">VLOOKUP(A120,$N$2:$O$142,2,FALSE())</f>
        <v>#N/A</v>
      </c>
      <c r="C120" s="182" t="n">
        <f aca="false">VLOOKUP(A120,Table1[[Country]:[Country Risk Premium]],5)</f>
        <v>0.0578201382545776</v>
      </c>
      <c r="D120" s="182" t="n">
        <f aca="false">VLOOKUP(A120,Table1[[Country]:[Country Risk Premium]],4)</f>
        <v>0.0101879749567629</v>
      </c>
      <c r="E120" s="182" t="n">
        <f aca="false">C120</f>
        <v>0.0578201382545776</v>
      </c>
      <c r="F120" s="67" t="n">
        <f aca="false">VLOOKUP(A120,'Country Tax Rates'!$A$2:$B$159,2)</f>
        <v>0.1894</v>
      </c>
      <c r="G120" s="67" t="n">
        <f aca="false">VLOOKUP(A120,Table1[[Country]:[Country Risk Premium]],6)</f>
        <v>0.0155201382545776</v>
      </c>
      <c r="H120" s="264"/>
      <c r="N120" s="263" t="s">
        <v>270</v>
      </c>
      <c r="O120" s="264" t="n">
        <v>67.5</v>
      </c>
    </row>
    <row r="121" customFormat="false" ht="15.75" hidden="false" customHeight="false" outlineLevel="0" collapsed="false">
      <c r="A121" s="64" t="str">
        <f aca="false">'ERPs by country'!A128</f>
        <v>Romania</v>
      </c>
      <c r="B121" s="262" t="n">
        <f aca="false">VLOOKUP(A121,$N$2:$O$142,2,FALSE())</f>
        <v>67.25</v>
      </c>
      <c r="C121" s="182" t="n">
        <f aca="false">VLOOKUP(A121,Table1[[Country]:[Country Risk Premium]],5)</f>
        <v>0.0707535868000589</v>
      </c>
      <c r="D121" s="182" t="n">
        <f aca="false">VLOOKUP(A121,Table1[[Country]:[Country Risk Premium]],4)</f>
        <v>0.0186779540873986</v>
      </c>
      <c r="E121" s="182" t="n">
        <f aca="false">C121</f>
        <v>0.0707535868000589</v>
      </c>
      <c r="F121" s="67" t="n">
        <f aca="false">VLOOKUP(A121,'Country Tax Rates'!$A$2:$B$159,2)</f>
        <v>0.16</v>
      </c>
      <c r="G121" s="67" t="n">
        <f aca="false">VLOOKUP(A121,Table1[[Country]:[Country Risk Premium]],6)</f>
        <v>0.0284535868000589</v>
      </c>
      <c r="H121" s="264"/>
      <c r="N121" s="263" t="s">
        <v>337</v>
      </c>
      <c r="O121" s="264" t="n">
        <v>80.75</v>
      </c>
    </row>
    <row r="122" customFormat="false" ht="15.75" hidden="false" customHeight="false" outlineLevel="0" collapsed="false">
      <c r="A122" s="64" t="str">
        <f aca="false">'ERPs by country'!A129</f>
        <v>Rwanda</v>
      </c>
      <c r="B122" s="262" t="e">
        <f aca="false">VLOOKUP(A122,$N$2:$O$142,2,FALSE())</f>
        <v>#N/A</v>
      </c>
      <c r="C122" s="182" t="n">
        <f aca="false">VLOOKUP(A122,Table1[[Country]:[Country Risk Premium]],5)</f>
        <v>0.113510046109238</v>
      </c>
      <c r="D122" s="182" t="n">
        <f aca="false">VLOOKUP(A122,Table1[[Country]:[Country Risk Premium]],4)</f>
        <v>0.046744826272206</v>
      </c>
      <c r="E122" s="182" t="n">
        <f aca="false">C122</f>
        <v>0.113510046109238</v>
      </c>
      <c r="F122" s="67" t="n">
        <f aca="false">VLOOKUP(A122,'Country Tax Rates'!$A$2:$B$159,2)</f>
        <v>0.28</v>
      </c>
      <c r="G122" s="67" t="n">
        <f aca="false">VLOOKUP(A122,Table1[[Country]:[Country Risk Premium]],6)</f>
        <v>0.0712100461092384</v>
      </c>
      <c r="H122" s="264"/>
      <c r="N122" s="263" t="s">
        <v>338</v>
      </c>
      <c r="O122" s="264" t="n">
        <v>86.75</v>
      </c>
    </row>
    <row r="123" customFormat="false" ht="15.75" hidden="false" customHeight="false" outlineLevel="0" collapsed="false">
      <c r="A123" s="64" t="str">
        <f aca="false">'ERPs by country'!A130</f>
        <v>Saudi Arabia</v>
      </c>
      <c r="B123" s="262" t="n">
        <f aca="false">VLOOKUP(A123,$N$2:$O$142,2,FALSE())</f>
        <v>81</v>
      </c>
      <c r="C123" s="182" t="n">
        <f aca="false">VLOOKUP(A123,Table1[[Country]:[Country Risk Premium]],5)</f>
        <v>0.0500600691272888</v>
      </c>
      <c r="D123" s="182" t="n">
        <f aca="false">VLOOKUP(A123,Table1[[Country]:[Country Risk Premium]],4)</f>
        <v>0.00509398747838143</v>
      </c>
      <c r="E123" s="182" t="n">
        <f aca="false">C123</f>
        <v>0.0500600691272888</v>
      </c>
      <c r="F123" s="67" t="n">
        <f aca="false">VLOOKUP(A123,'Country Tax Rates'!$A$2:$B$159,2)</f>
        <v>0.2</v>
      </c>
      <c r="G123" s="67" t="n">
        <f aca="false">VLOOKUP(A123,Table1[[Country]:[Country Risk Premium]],6)</f>
        <v>0.0077600691272888</v>
      </c>
      <c r="H123" s="264"/>
      <c r="N123" s="263" t="s">
        <v>531</v>
      </c>
      <c r="O123" s="264" t="n">
        <v>51.5</v>
      </c>
    </row>
    <row r="124" customFormat="false" ht="15.75" hidden="false" customHeight="false" outlineLevel="0" collapsed="false">
      <c r="A124" s="64" t="str">
        <f aca="false">'ERPs by country'!A131</f>
        <v>Senegal</v>
      </c>
      <c r="B124" s="262" t="n">
        <f aca="false">VLOOKUP(A124,$N$2:$O$142,2,FALSE())</f>
        <v>60</v>
      </c>
      <c r="C124" s="182" t="n">
        <f aca="false">VLOOKUP(A124,Table1[[Country]:[Country Risk Premium]],5)</f>
        <v>0.139376943200201</v>
      </c>
      <c r="D124" s="182" t="n">
        <f aca="false">VLOOKUP(A124,Table1[[Country]:[Country Risk Premium]],4)</f>
        <v>0.0637247845334774</v>
      </c>
      <c r="E124" s="182" t="n">
        <f aca="false">C124</f>
        <v>0.139376943200201</v>
      </c>
      <c r="F124" s="67" t="n">
        <f aca="false">VLOOKUP(A124,'Country Tax Rates'!$A$2:$B$159,2)</f>
        <v>0.3</v>
      </c>
      <c r="G124" s="67" t="n">
        <f aca="false">VLOOKUP(A124,Table1[[Country]:[Country Risk Premium]],6)</f>
        <v>0.097076943200201</v>
      </c>
      <c r="H124" s="264"/>
      <c r="N124" s="263" t="s">
        <v>234</v>
      </c>
      <c r="O124" s="264" t="n">
        <v>86.25</v>
      </c>
    </row>
    <row r="125" customFormat="false" ht="15.75" hidden="false" customHeight="false" outlineLevel="0" collapsed="false">
      <c r="A125" s="64" t="str">
        <f aca="false">'ERPs by country'!A132</f>
        <v>Serbia</v>
      </c>
      <c r="B125" s="262" t="e">
        <f aca="false">VLOOKUP(A125,$N$2:$O$142,2,FALSE())</f>
        <v>#N/A</v>
      </c>
      <c r="C125" s="182" t="n">
        <f aca="false">VLOOKUP(A125,Table1[[Country]:[Country Risk Premium]],5)</f>
        <v>0.0812525038546261</v>
      </c>
      <c r="D125" s="182" t="n">
        <f aca="false">VLOOKUP(A125,Table1[[Country]:[Country Risk Premium]],4)</f>
        <v>0.0255698194993264</v>
      </c>
      <c r="E125" s="182" t="n">
        <f aca="false">C125</f>
        <v>0.0812525038546261</v>
      </c>
      <c r="F125" s="67" t="n">
        <f aca="false">VLOOKUP(A125,'Country Tax Rates'!$A$2:$B$159,2)</f>
        <v>0.15</v>
      </c>
      <c r="G125" s="67" t="n">
        <f aca="false">VLOOKUP(A125,Table1[[Country]:[Country Risk Premium]],6)</f>
        <v>0.0389525038546261</v>
      </c>
      <c r="H125" s="264"/>
      <c r="N125" s="263" t="s">
        <v>208</v>
      </c>
      <c r="O125" s="264" t="n">
        <v>66</v>
      </c>
    </row>
    <row r="126" customFormat="false" ht="15.75" hidden="false" customHeight="false" outlineLevel="0" collapsed="false">
      <c r="A126" s="64" t="str">
        <f aca="false">'ERPs by country'!A133</f>
        <v>Sharjah</v>
      </c>
      <c r="B126" s="262" t="e">
        <f aca="false">VLOOKUP(A126,$N$2:$O$142,2,FALSE())</f>
        <v>#N/A</v>
      </c>
      <c r="C126" s="182" t="n">
        <f aca="false">VLOOKUP(A126,Table1[[Country]:[Country Risk Premium]],5)</f>
        <v>0.0747097004727944</v>
      </c>
      <c r="D126" s="182" t="n">
        <f aca="false">VLOOKUP(A126,Table1[[Country]:[Country Risk Premium]],4)</f>
        <v>0.0212748888802989</v>
      </c>
      <c r="E126" s="182" t="n">
        <f aca="false">C126</f>
        <v>0.0747097004727944</v>
      </c>
      <c r="F126" s="67" t="n">
        <f aca="false">VLOOKUP(A126,'Country Tax Rates'!$A$2:$B$159,2)</f>
        <v>0.1894</v>
      </c>
      <c r="G126" s="67" t="n">
        <f aca="false">VLOOKUP(A126,Table1[[Country]:[Country Risk Premium]],6)</f>
        <v>0.0324097004727944</v>
      </c>
      <c r="H126" s="264"/>
      <c r="N126" s="263" t="s">
        <v>235</v>
      </c>
      <c r="O126" s="264" t="n">
        <v>68.25</v>
      </c>
    </row>
    <row r="127" customFormat="false" ht="15.75" hidden="false" customHeight="false" outlineLevel="0" collapsed="false">
      <c r="A127" s="64" t="str">
        <f aca="false">'ERPs by country'!A134</f>
        <v>Singapore</v>
      </c>
      <c r="B127" s="262" t="n">
        <f aca="false">VLOOKUP(A127,$N$2:$O$142,2,FALSE())</f>
        <v>86.75</v>
      </c>
      <c r="C127" s="182" t="n">
        <f aca="false">VLOOKUP(A127,Table1[[Country]:[Country Risk Premium]],5)</f>
        <v>0.0423</v>
      </c>
      <c r="D127" s="182" t="n">
        <f aca="false">VLOOKUP(A127,Table1[[Country]:[Country Risk Premium]],4)</f>
        <v>0</v>
      </c>
      <c r="E127" s="182" t="n">
        <f aca="false">C127</f>
        <v>0.0423</v>
      </c>
      <c r="F127" s="67" t="n">
        <f aca="false">VLOOKUP(A127,'Country Tax Rates'!$A$2:$B$159,2)</f>
        <v>0.17</v>
      </c>
      <c r="G127" s="67" t="n">
        <f aca="false">VLOOKUP(A127,Table1[[Country]:[Country Risk Premium]],6)</f>
        <v>0</v>
      </c>
      <c r="H127" s="264"/>
      <c r="N127" s="263" t="s">
        <v>209</v>
      </c>
      <c r="O127" s="264" t="n">
        <v>60.75</v>
      </c>
    </row>
    <row r="128" customFormat="false" ht="15.75" hidden="false" customHeight="false" outlineLevel="0" collapsed="false">
      <c r="A128" s="64" t="str">
        <f aca="false">'ERPs by country'!A135</f>
        <v>Slovakia</v>
      </c>
      <c r="B128" s="262" t="n">
        <f aca="false">VLOOKUP(A128,$N$2:$O$142,2,FALSE())</f>
        <v>67</v>
      </c>
      <c r="C128" s="182" t="n">
        <f aca="false">VLOOKUP(A128,Table1[[Country]:[Country Risk Premium]],5)</f>
        <v>0.0578201382545776</v>
      </c>
      <c r="D128" s="182" t="n">
        <f aca="false">VLOOKUP(A128,Table1[[Country]:[Country Risk Premium]],4)</f>
        <v>0.0101879749567629</v>
      </c>
      <c r="E128" s="182" t="n">
        <f aca="false">C128</f>
        <v>0.0578201382545776</v>
      </c>
      <c r="F128" s="67" t="n">
        <f aca="false">VLOOKUP(A128,'Country Tax Rates'!$A$2:$B$159,2)</f>
        <v>0.21</v>
      </c>
      <c r="G128" s="67" t="n">
        <f aca="false">VLOOKUP(A128,Table1[[Country]:[Country Risk Premium]],6)</f>
        <v>0.0155201382545776</v>
      </c>
      <c r="H128" s="264"/>
      <c r="N128" s="263" t="s">
        <v>252</v>
      </c>
      <c r="O128" s="264" t="n">
        <v>76</v>
      </c>
    </row>
    <row r="129" customFormat="false" ht="15.75" hidden="false" customHeight="false" outlineLevel="0" collapsed="false">
      <c r="A129" s="64" t="str">
        <f aca="false">'ERPs by country'!A136</f>
        <v>Slovenia</v>
      </c>
      <c r="B129" s="262" t="n">
        <f aca="false">VLOOKUP(A129,$N$2:$O$142,2,FALSE())</f>
        <v>76</v>
      </c>
      <c r="C129" s="182" t="n">
        <f aca="false">VLOOKUP(A129,Table1[[Country]:[Country Risk Premium]],5)</f>
        <v>0.0578201382545776</v>
      </c>
      <c r="D129" s="182" t="n">
        <f aca="false">VLOOKUP(A129,Table1[[Country]:[Country Risk Premium]],4)</f>
        <v>0.0101879749567629</v>
      </c>
      <c r="E129" s="182" t="n">
        <f aca="false">C129</f>
        <v>0.0578201382545776</v>
      </c>
      <c r="F129" s="67" t="n">
        <f aca="false">VLOOKUP(A129,'Country Tax Rates'!$A$2:$B$159,2)</f>
        <v>0.22</v>
      </c>
      <c r="G129" s="67" t="n">
        <f aca="false">VLOOKUP(A129,Table1[[Country]:[Country Risk Premium]],6)</f>
        <v>0.0155201382545776</v>
      </c>
      <c r="H129" s="264"/>
      <c r="N129" s="263" t="s">
        <v>210</v>
      </c>
      <c r="O129" s="264" t="n">
        <v>63</v>
      </c>
    </row>
    <row r="130" customFormat="false" ht="15.75" hidden="false" customHeight="false" outlineLevel="0" collapsed="false">
      <c r="A130" s="64" t="str">
        <f aca="false">'ERPs by country'!A137</f>
        <v>Solomon Islands</v>
      </c>
      <c r="B130" s="262" t="e">
        <f aca="false">VLOOKUP(A130,$N$2:$O$142,2,FALSE())</f>
        <v>#N/A</v>
      </c>
      <c r="C130" s="182" t="n">
        <f aca="false">VLOOKUP(A130,Table1[[Country]:[Country Risk Premium]],5)</f>
        <v>0.139376943200201</v>
      </c>
      <c r="D130" s="182" t="n">
        <f aca="false">VLOOKUP(A130,Table1[[Country]:[Country Risk Premium]],4)</f>
        <v>0.0637247845334774</v>
      </c>
      <c r="E130" s="182" t="n">
        <f aca="false">C130</f>
        <v>0.139376943200201</v>
      </c>
      <c r="F130" s="67" t="n">
        <f aca="false">VLOOKUP(A130,'Country Tax Rates'!$A$2:$B$159,2)</f>
        <v>0.3</v>
      </c>
      <c r="G130" s="67" t="n">
        <f aca="false">VLOOKUP(A130,Table1[[Country]:[Country Risk Premium]],6)</f>
        <v>0.097076943200201</v>
      </c>
      <c r="H130" s="264"/>
      <c r="N130" s="263" t="s">
        <v>62</v>
      </c>
      <c r="O130" s="264" t="n">
        <v>61</v>
      </c>
    </row>
    <row r="131" customFormat="false" ht="15.75" hidden="false" customHeight="false" outlineLevel="0" collapsed="false">
      <c r="A131" s="64" t="str">
        <f aca="false">'ERPs by country'!A138</f>
        <v>South Africa</v>
      </c>
      <c r="B131" s="262" t="n">
        <f aca="false">VLOOKUP(A131,$N$2:$O$142,2,FALSE())</f>
        <v>68.5</v>
      </c>
      <c r="C131" s="182" t="n">
        <f aca="false">VLOOKUP(A131,Table1[[Country]:[Country Risk Premium]],5)</f>
        <v>0.0812525038546261</v>
      </c>
      <c r="D131" s="182" t="n">
        <f aca="false">VLOOKUP(A131,Table1[[Country]:[Country Risk Premium]],4)</f>
        <v>0.0255698194993264</v>
      </c>
      <c r="E131" s="182" t="n">
        <f aca="false">C131</f>
        <v>0.0812525038546261</v>
      </c>
      <c r="F131" s="67" t="n">
        <f aca="false">VLOOKUP(A131,'Country Tax Rates'!$A$2:$B$159,2)</f>
        <v>0.27</v>
      </c>
      <c r="G131" s="67" t="n">
        <f aca="false">VLOOKUP(A131,Table1[[Country]:[Country Risk Premium]],6)</f>
        <v>0.0389525038546261</v>
      </c>
      <c r="H131" s="264"/>
      <c r="N131" s="263" t="s">
        <v>211</v>
      </c>
      <c r="O131" s="264" t="n">
        <v>62.75</v>
      </c>
    </row>
    <row r="132" customFormat="false" ht="15.75" hidden="false" customHeight="false" outlineLevel="0" collapsed="false">
      <c r="A132" s="64" t="str">
        <f aca="false">'ERPs by country'!A139</f>
        <v>Spain</v>
      </c>
      <c r="B132" s="262" t="n">
        <f aca="false">VLOOKUP(A132,$N$2:$O$142,2,FALSE())</f>
        <v>73.5</v>
      </c>
      <c r="C132" s="182" t="n">
        <f aca="false">VLOOKUP(A132,Table1[[Country]:[Country Risk Premium]],5)</f>
        <v>0.0578201382545776</v>
      </c>
      <c r="D132" s="182" t="n">
        <f aca="false">VLOOKUP(A132,Table1[[Country]:[Country Risk Premium]],4)</f>
        <v>0.0101879749567629</v>
      </c>
      <c r="E132" s="182" t="n">
        <f aca="false">C132</f>
        <v>0.0578201382545776</v>
      </c>
      <c r="F132" s="67" t="n">
        <f aca="false">VLOOKUP(A132,'Country Tax Rates'!$A$2:$B$159,2)</f>
        <v>0.25</v>
      </c>
      <c r="G132" s="67" t="n">
        <f aca="false">VLOOKUP(A132,Table1[[Country]:[Country Risk Premium]],6)</f>
        <v>0.0155201382545776</v>
      </c>
      <c r="H132" s="264"/>
      <c r="N132" s="263" t="s">
        <v>297</v>
      </c>
      <c r="O132" s="264" t="n">
        <v>57</v>
      </c>
    </row>
    <row r="133" customFormat="false" ht="15.75" hidden="false" customHeight="false" outlineLevel="0" collapsed="false">
      <c r="A133" s="64" t="str">
        <f aca="false">'ERPs by country'!A140</f>
        <v>Sri Lanka</v>
      </c>
      <c r="B133" s="262" t="n">
        <f aca="false">VLOOKUP(A133,$N$2:$O$142,2,FALSE())</f>
        <v>69</v>
      </c>
      <c r="C133" s="182" t="n">
        <f aca="false">VLOOKUP(A133,Table1[[Country]:[Country Risk Premium]],5)</f>
        <v>0.197653540763958</v>
      </c>
      <c r="D133" s="182" t="n">
        <f aca="false">VLOOKUP(A133,Table1[[Country]:[Country Risk Premium]],4)</f>
        <v>0.101979631675048</v>
      </c>
      <c r="E133" s="182" t="n">
        <f aca="false">C133</f>
        <v>0.197653540763958</v>
      </c>
      <c r="F133" s="67" t="n">
        <f aca="false">VLOOKUP(A133,'Country Tax Rates'!$A$2:$B$159,2)</f>
        <v>0.3</v>
      </c>
      <c r="G133" s="67" t="n">
        <f aca="false">VLOOKUP(A133,Table1[[Country]:[Country Risk Premium]],6)</f>
        <v>0.155353540763958</v>
      </c>
      <c r="H133" s="264"/>
      <c r="N133" s="263" t="s">
        <v>312</v>
      </c>
      <c r="O133" s="264" t="n">
        <v>80.5</v>
      </c>
    </row>
    <row r="134" customFormat="false" ht="15.75" hidden="false" customHeight="false" outlineLevel="0" collapsed="false">
      <c r="A134" s="64" t="str">
        <f aca="false">'ERPs by country'!A141</f>
        <v>St. Maarten</v>
      </c>
      <c r="B134" s="262" t="e">
        <f aca="false">VLOOKUP(A134,$N$2:$O$142,2,FALSE())</f>
        <v>#N/A</v>
      </c>
      <c r="C134" s="182" t="n">
        <f aca="false">VLOOKUP(A134,Table1[[Country]:[Country Risk Premium]],5)</f>
        <v>0.0812525038546261</v>
      </c>
      <c r="D134" s="182" t="n">
        <f aca="false">VLOOKUP(A134,Table1[[Country]:[Country Risk Premium]],4)</f>
        <v>0.0255698194993264</v>
      </c>
      <c r="E134" s="182" t="n">
        <f aca="false">C134</f>
        <v>0.0812525038546261</v>
      </c>
      <c r="F134" s="67" t="n">
        <f aca="false">VLOOKUP(A134,'Country Tax Rates'!$A$2:$B$159,2)</f>
        <v>0.2</v>
      </c>
      <c r="G134" s="67" t="n">
        <f aca="false">VLOOKUP(A134,Table1[[Country]:[Country Risk Premium]],6)</f>
        <v>0.0389525038546261</v>
      </c>
      <c r="H134" s="264"/>
      <c r="N134" s="263" t="s">
        <v>339</v>
      </c>
      <c r="O134" s="264" t="n">
        <v>76.25</v>
      </c>
    </row>
    <row r="135" customFormat="false" ht="15.75" hidden="false" customHeight="false" outlineLevel="0" collapsed="false">
      <c r="A135" s="64" t="str">
        <f aca="false">'ERPs by country'!A142</f>
        <v>St. Vincent &amp; the Grenadines</v>
      </c>
      <c r="B135" s="262" t="e">
        <f aca="false">VLOOKUP(A135,$N$2:$O$142,2,FALSE())</f>
        <v>#N/A</v>
      </c>
      <c r="C135" s="182" t="n">
        <f aca="false">VLOOKUP(A135,Table1[[Country]:[Country Risk Premium]],5)</f>
        <v>0.12644349465472</v>
      </c>
      <c r="D135" s="182" t="n">
        <f aca="false">VLOOKUP(A135,Table1[[Country]:[Country Risk Premium]],4)</f>
        <v>0.0552348054028417</v>
      </c>
      <c r="E135" s="182" t="n">
        <f aca="false">C135</f>
        <v>0.12644349465472</v>
      </c>
      <c r="F135" s="67" t="n">
        <f aca="false">VLOOKUP(A135,'Country Tax Rates'!$A$2:$B$159,2)</f>
        <v>0.28</v>
      </c>
      <c r="G135" s="67" t="n">
        <f aca="false">VLOOKUP(A135,Table1[[Country]:[Country Risk Premium]],6)</f>
        <v>0.0841434946547197</v>
      </c>
      <c r="H135" s="264"/>
      <c r="N135" s="263" t="s">
        <v>314</v>
      </c>
      <c r="O135" s="264" t="n">
        <v>68.5</v>
      </c>
    </row>
    <row r="136" customFormat="false" ht="15.75" hidden="false" customHeight="false" outlineLevel="0" collapsed="false">
      <c r="A136" s="64" t="str">
        <f aca="false">'ERPs by country'!A143</f>
        <v>Suriname</v>
      </c>
      <c r="B136" s="262" t="n">
        <f aca="false">VLOOKUP(A136,$N$2:$O$142,2,FALSE())</f>
        <v>67.5</v>
      </c>
      <c r="C136" s="182" t="n">
        <f aca="false">VLOOKUP(A136,Table1[[Country]:[Country Risk Premium]],5)</f>
        <v>0.139376943200201</v>
      </c>
      <c r="D136" s="182" t="n">
        <f aca="false">VLOOKUP(A136,Table1[[Country]:[Country Risk Premium]],4)</f>
        <v>0.0637247845334774</v>
      </c>
      <c r="E136" s="182" t="n">
        <f aca="false">C136</f>
        <v>0.139376943200201</v>
      </c>
      <c r="F136" s="67" t="n">
        <f aca="false">VLOOKUP(A136,'Country Tax Rates'!$A$2:$B$159,2)</f>
        <v>0.36</v>
      </c>
      <c r="G136" s="67" t="n">
        <f aca="false">VLOOKUP(A136,Table1[[Country]:[Country Risk Premium]],6)</f>
        <v>0.097076943200201</v>
      </c>
      <c r="H136" s="264"/>
      <c r="N136" s="263" t="s">
        <v>271</v>
      </c>
      <c r="O136" s="264" t="n">
        <v>76.5</v>
      </c>
    </row>
    <row r="137" customFormat="false" ht="15.75" hidden="false" customHeight="false" outlineLevel="0" collapsed="false">
      <c r="A137" s="64" t="str">
        <f aca="false">'ERPs by country'!A144</f>
        <v>Swaziland</v>
      </c>
      <c r="B137" s="262" t="e">
        <f aca="false">VLOOKUP(A137,$N$2:$O$142,2,FALSE())</f>
        <v>#N/A</v>
      </c>
      <c r="C137" s="182" t="n">
        <f aca="false">VLOOKUP(A137,Table1[[Country]:[Country Risk Premium]],5)</f>
        <v>0.113510046109238</v>
      </c>
      <c r="D137" s="182" t="n">
        <f aca="false">VLOOKUP(A137,Table1[[Country]:[Country Risk Premium]],4)</f>
        <v>0.046744826272206</v>
      </c>
      <c r="E137" s="182" t="n">
        <f aca="false">C137</f>
        <v>0.113510046109238</v>
      </c>
      <c r="F137" s="67" t="n">
        <f aca="false">VLOOKUP(A137,'Country Tax Rates'!$A$2:$B$159,2)</f>
        <v>0.25</v>
      </c>
      <c r="G137" s="67" t="n">
        <f aca="false">VLOOKUP(A137,Table1[[Country]:[Country Risk Premium]],6)</f>
        <v>0.0712100461092384</v>
      </c>
      <c r="H137" s="264"/>
      <c r="N137" s="263" t="s">
        <v>298</v>
      </c>
      <c r="O137" s="264" t="n">
        <v>74.75</v>
      </c>
    </row>
    <row r="138" customFormat="false" ht="15.75" hidden="false" customHeight="false" outlineLevel="0" collapsed="false">
      <c r="A138" s="64" t="str">
        <f aca="false">'ERPs by country'!A145</f>
        <v>Sweden</v>
      </c>
      <c r="B138" s="262" t="n">
        <f aca="false">VLOOKUP(A138,$N$2:$O$142,2,FALSE())</f>
        <v>80.75</v>
      </c>
      <c r="C138" s="182" t="n">
        <f aca="false">VLOOKUP(A138,Table1[[Country]:[Country Risk Premium]],5)</f>
        <v>0.0423</v>
      </c>
      <c r="D138" s="182" t="n">
        <f aca="false">VLOOKUP(A138,Table1[[Country]:[Country Risk Premium]],4)</f>
        <v>0</v>
      </c>
      <c r="E138" s="182" t="n">
        <f aca="false">C138</f>
        <v>0.0423</v>
      </c>
      <c r="F138" s="67" t="n">
        <f aca="false">VLOOKUP(A138,'Country Tax Rates'!$A$2:$B$159,2)</f>
        <v>0.206</v>
      </c>
      <c r="G138" s="67" t="n">
        <f aca="false">VLOOKUP(A138,Table1[[Country]:[Country Risk Premium]],6)</f>
        <v>0</v>
      </c>
      <c r="N138" s="263" t="s">
        <v>272</v>
      </c>
      <c r="O138" s="264" t="n">
        <v>57</v>
      </c>
    </row>
    <row r="139" customFormat="false" ht="15.75" hidden="false" customHeight="false" outlineLevel="0" collapsed="false">
      <c r="A139" s="64" t="str">
        <f aca="false">'ERPs by country'!A146</f>
        <v>Switzerland</v>
      </c>
      <c r="B139" s="262" t="n">
        <f aca="false">VLOOKUP(A139,$N$2:$O$142,2,FALSE())</f>
        <v>86.75</v>
      </c>
      <c r="C139" s="182" t="n">
        <f aca="false">VLOOKUP(A139,Table1[[Country]:[Country Risk Premium]],5)</f>
        <v>0.0423</v>
      </c>
      <c r="D139" s="182" t="n">
        <f aca="false">VLOOKUP(A139,Table1[[Country]:[Country Risk Premium]],4)</f>
        <v>0</v>
      </c>
      <c r="E139" s="182" t="n">
        <f aca="false">C139</f>
        <v>0.0423</v>
      </c>
      <c r="F139" s="67" t="n">
        <f aca="false">VLOOKUP(A139,'Country Tax Rates'!$A$2:$B$159,2)</f>
        <v>0.1961</v>
      </c>
      <c r="G139" s="67" t="n">
        <f aca="false">VLOOKUP(A139,Table1[[Country]:[Country Risk Premium]],6)</f>
        <v>0</v>
      </c>
      <c r="N139" s="263" t="s">
        <v>236</v>
      </c>
      <c r="O139" s="264" t="n">
        <v>72.75</v>
      </c>
    </row>
    <row r="140" customFormat="false" ht="15.75" hidden="false" customHeight="false" outlineLevel="0" collapsed="false">
      <c r="A140" s="64" t="str">
        <f aca="false">'ERPs by country'!A147</f>
        <v>Taiwan</v>
      </c>
      <c r="B140" s="262" t="n">
        <f aca="false">VLOOKUP(A140,$N$2:$O$142,2,FALSE())</f>
        <v>86.25</v>
      </c>
      <c r="C140" s="182" t="n">
        <f aca="false">VLOOKUP(A140,Table1[[Country]:[Country Risk Premium]],5)</f>
        <v>0.0500600691272888</v>
      </c>
      <c r="D140" s="182" t="n">
        <f aca="false">VLOOKUP(A140,Table1[[Country]:[Country Risk Premium]],4)</f>
        <v>0.00509398747838143</v>
      </c>
      <c r="E140" s="182" t="n">
        <f aca="false">C140</f>
        <v>0.0500600691272888</v>
      </c>
      <c r="F140" s="67" t="n">
        <f aca="false">VLOOKUP(A140,'Country Tax Rates'!$A$2:$B$159,2)</f>
        <v>0.2</v>
      </c>
      <c r="G140" s="67" t="n">
        <f aca="false">VLOOKUP(A140,Table1[[Country]:[Country Risk Premium]],6)</f>
        <v>0.0077600691272888</v>
      </c>
      <c r="N140" s="263" t="s">
        <v>532</v>
      </c>
      <c r="O140" s="264" t="n">
        <v>51.75</v>
      </c>
    </row>
    <row r="141" customFormat="false" ht="15.75" hidden="false" customHeight="false" outlineLevel="0" collapsed="false">
      <c r="A141" s="64" t="str">
        <f aca="false">'ERPs by country'!A148</f>
        <v>Tajikistan</v>
      </c>
      <c r="B141" s="262" t="e">
        <f aca="false">VLOOKUP(A141,$N$2:$O$142,2,FALSE())</f>
        <v>#N/A</v>
      </c>
      <c r="C141" s="182" t="n">
        <f aca="false">VLOOKUP(A141,Table1[[Country]:[Country Risk Premium]],5)</f>
        <v>0.12644349465472</v>
      </c>
      <c r="D141" s="182" t="n">
        <f aca="false">VLOOKUP(A141,Table1[[Country]:[Country Risk Premium]],4)</f>
        <v>0.0552348054028417</v>
      </c>
      <c r="E141" s="182" t="n">
        <f aca="false">C141</f>
        <v>0.12644349465472</v>
      </c>
      <c r="F141" s="67" t="n">
        <f aca="false">VLOOKUP(A141,'Country Tax Rates'!$A$2:$B$159,2)</f>
        <v>0.18</v>
      </c>
      <c r="G141" s="67" t="n">
        <f aca="false">VLOOKUP(A141,Table1[[Country]:[Country Risk Premium]],6)</f>
        <v>0.0841434946547197</v>
      </c>
      <c r="N141" s="263" t="s">
        <v>212</v>
      </c>
      <c r="O141" s="264" t="n">
        <v>66.25</v>
      </c>
    </row>
    <row r="142" customFormat="false" ht="15.75" hidden="false" customHeight="false" outlineLevel="0" collapsed="false">
      <c r="A142" s="64" t="str">
        <f aca="false">'ERPs by country'!A149</f>
        <v>Tanzania</v>
      </c>
      <c r="B142" s="262" t="n">
        <f aca="false">VLOOKUP(A142,$N$2:$O$142,2,FALSE())</f>
        <v>66</v>
      </c>
      <c r="C142" s="182" t="n">
        <f aca="false">VLOOKUP(A142,Table1[[Country]:[Country Risk Premium]],5)</f>
        <v>0.100576597563757</v>
      </c>
      <c r="D142" s="182" t="n">
        <f aca="false">VLOOKUP(A142,Table1[[Country]:[Country Risk Premium]],4)</f>
        <v>0.0382548471415703</v>
      </c>
      <c r="E142" s="182" t="n">
        <f aca="false">C142</f>
        <v>0.100576597563757</v>
      </c>
      <c r="F142" s="67" t="n">
        <f aca="false">VLOOKUP(A142,'Country Tax Rates'!$A$2:$B$159,2)</f>
        <v>0.3</v>
      </c>
      <c r="G142" s="67" t="n">
        <f aca="false">VLOOKUP(A142,Table1[[Country]:[Country Risk Premium]],6)</f>
        <v>0.058276597563757</v>
      </c>
      <c r="N142" s="263" t="s">
        <v>84</v>
      </c>
      <c r="O142" s="264" t="n">
        <v>58.5</v>
      </c>
    </row>
    <row r="143" customFormat="false" ht="15.75" hidden="false" customHeight="false" outlineLevel="0" collapsed="false">
      <c r="A143" s="64" t="str">
        <f aca="false">'ERPs by country'!A150</f>
        <v>Thailand</v>
      </c>
      <c r="B143" s="262" t="n">
        <f aca="false">VLOOKUP(A143,$N$2:$O$142,2,FALSE())</f>
        <v>68.25</v>
      </c>
      <c r="C143" s="182" t="n">
        <f aca="false">VLOOKUP(A143,Table1[[Country]:[Country Risk Premium]],5)</f>
        <v>0.0629935176727701</v>
      </c>
      <c r="D143" s="182" t="n">
        <f aca="false">VLOOKUP(A143,Table1[[Country]:[Country Risk Premium]],4)</f>
        <v>0.0135839666090171</v>
      </c>
      <c r="E143" s="182" t="n">
        <f aca="false">C143</f>
        <v>0.0629935176727701</v>
      </c>
      <c r="F143" s="67" t="n">
        <f aca="false">VLOOKUP(A143,'Country Tax Rates'!$A$2:$B$159,2)</f>
        <v>0.2</v>
      </c>
      <c r="G143" s="67" t="n">
        <f aca="false">VLOOKUP(A143,Table1[[Country]:[Country Risk Premium]],6)</f>
        <v>0.0206935176727701</v>
      </c>
    </row>
    <row r="144" customFormat="false" ht="15.75" hidden="false" customHeight="false" outlineLevel="0" collapsed="false">
      <c r="A144" s="64" t="str">
        <f aca="false">'ERPs by country'!A151</f>
        <v>Togo</v>
      </c>
      <c r="B144" s="262" t="n">
        <f aca="false">VLOOKUP(A144,$N$2:$O$142,2,FALSE())</f>
        <v>60.75</v>
      </c>
      <c r="C144" s="182" t="n">
        <f aca="false">VLOOKUP(A144,Table1[[Country]:[Country Risk Premium]],5)</f>
        <v>0.12644349465472</v>
      </c>
      <c r="D144" s="182" t="n">
        <f aca="false">VLOOKUP(A144,Table1[[Country]:[Country Risk Premium]],4)</f>
        <v>0.0552348054028417</v>
      </c>
      <c r="E144" s="182" t="n">
        <f aca="false">C144</f>
        <v>0.12644349465472</v>
      </c>
      <c r="F144" s="67" t="n">
        <f aca="false">VLOOKUP(A144,'Country Tax Rates'!$A$2:$B$159,2)</f>
        <v>0.27</v>
      </c>
      <c r="G144" s="67" t="n">
        <f aca="false">VLOOKUP(A144,Table1[[Country]:[Country Risk Premium]],6)</f>
        <v>0.0841434946547197</v>
      </c>
    </row>
    <row r="145" customFormat="false" ht="15.75" hidden="false" customHeight="false" outlineLevel="0" collapsed="false">
      <c r="A145" s="64" t="str">
        <f aca="false">'ERPs by country'!A152</f>
        <v>Trinidad and Tobago</v>
      </c>
      <c r="B145" s="262" t="n">
        <f aca="false">VLOOKUP(A145,$N$2:$O$142,2,FALSE())</f>
        <v>76</v>
      </c>
      <c r="C145" s="182" t="n">
        <f aca="false">VLOOKUP(A145,Table1[[Country]:[Country Risk Premium]],5)</f>
        <v>0.0812525038546261</v>
      </c>
      <c r="D145" s="182" t="n">
        <f aca="false">VLOOKUP(A145,Table1[[Country]:[Country Risk Premium]],4)</f>
        <v>0.0255698194993264</v>
      </c>
      <c r="E145" s="182" t="n">
        <f aca="false">C145</f>
        <v>0.0812525038546261</v>
      </c>
      <c r="F145" s="67" t="n">
        <f aca="false">VLOOKUP(A145,'Country Tax Rates'!$A$2:$B$159,2)</f>
        <v>0.3</v>
      </c>
      <c r="G145" s="67" t="n">
        <f aca="false">VLOOKUP(A145,Table1[[Country]:[Country Risk Premium]],6)</f>
        <v>0.0389525038546261</v>
      </c>
    </row>
    <row r="146" customFormat="false" ht="15.75" hidden="false" customHeight="false" outlineLevel="0" collapsed="false">
      <c r="A146" s="64" t="str">
        <f aca="false">'ERPs by country'!A153</f>
        <v>Tunisia</v>
      </c>
      <c r="B146" s="262" t="n">
        <f aca="false">VLOOKUP(A146,$N$2:$O$142,2,FALSE())</f>
        <v>63</v>
      </c>
      <c r="C146" s="182" t="n">
        <f aca="false">VLOOKUP(A146,Table1[[Country]:[Country Risk Premium]],5)</f>
        <v>0.139376943200201</v>
      </c>
      <c r="D146" s="182" t="n">
        <f aca="false">VLOOKUP(A146,Table1[[Country]:[Country Risk Premium]],4)</f>
        <v>0.0637247845334774</v>
      </c>
      <c r="E146" s="182" t="n">
        <f aca="false">C146</f>
        <v>0.139376943200201</v>
      </c>
      <c r="F146" s="67" t="n">
        <f aca="false">VLOOKUP(A146,'Country Tax Rates'!$A$2:$B$159,2)</f>
        <v>0.15</v>
      </c>
      <c r="G146" s="67" t="n">
        <f aca="false">VLOOKUP(A146,Table1[[Country]:[Country Risk Premium]],6)</f>
        <v>0.097076943200201</v>
      </c>
    </row>
    <row r="147" customFormat="false" ht="15.75" hidden="false" customHeight="false" outlineLevel="0" collapsed="false">
      <c r="A147" s="64" t="str">
        <f aca="false">'ERPs by country'!A154</f>
        <v>Turkey</v>
      </c>
      <c r="B147" s="262" t="n">
        <f aca="false">VLOOKUP(A147,$N$2:$O$142,2,FALSE())</f>
        <v>61</v>
      </c>
      <c r="C147" s="182" t="n">
        <f aca="false">VLOOKUP(A147,Table1[[Country]:[Country Risk Premium]],5)</f>
        <v>0.0888604147637328</v>
      </c>
      <c r="D147" s="182" t="n">
        <f aca="false">VLOOKUP(A147,Table1[[Country]:[Country Risk Premium]],4)</f>
        <v>0.0305639248702886</v>
      </c>
      <c r="E147" s="182" t="n">
        <f aca="false">C147</f>
        <v>0.0888604147637328</v>
      </c>
      <c r="F147" s="67" t="n">
        <f aca="false">VLOOKUP(A147,'Country Tax Rates'!$A$2:$B$159,2)</f>
        <v>0.25</v>
      </c>
      <c r="G147" s="67" t="n">
        <f aca="false">VLOOKUP(A147,Table1[[Country]:[Country Risk Premium]],6)</f>
        <v>0.0465604147637328</v>
      </c>
    </row>
    <row r="148" customFormat="false" ht="15.75" hidden="false" customHeight="false" outlineLevel="0" collapsed="false">
      <c r="A148" s="64" t="str">
        <f aca="false">'ERPs by country'!A155</f>
        <v>Turks and Caicos Islands</v>
      </c>
      <c r="B148" s="262" t="e">
        <f aca="false">VLOOKUP(A148,$N$2:$O$142,2,FALSE())</f>
        <v>#N/A</v>
      </c>
      <c r="C148" s="182" t="n">
        <f aca="false">VLOOKUP(A148,Table1[[Country]:[Country Risk Premium]],5)</f>
        <v>0.0629935176727701</v>
      </c>
      <c r="D148" s="182" t="n">
        <f aca="false">VLOOKUP(A148,Table1[[Country]:[Country Risk Premium]],4)</f>
        <v>0.0135839666090171</v>
      </c>
      <c r="E148" s="182" t="n">
        <f aca="false">C148</f>
        <v>0.0629935176727701</v>
      </c>
      <c r="F148" s="67" t="n">
        <f aca="false">VLOOKUP(A148,'Country Tax Rates'!$A$2:$B$159,2)</f>
        <v>0</v>
      </c>
      <c r="G148" s="67" t="n">
        <f aca="false">VLOOKUP(A148,Table1[[Country]:[Country Risk Premium]],6)</f>
        <v>0.0206935176727701</v>
      </c>
    </row>
    <row r="149" customFormat="false" ht="15.75" hidden="false" customHeight="false" outlineLevel="0" collapsed="false">
      <c r="A149" s="64" t="str">
        <f aca="false">'ERPs by country'!A156</f>
        <v>Uganda</v>
      </c>
      <c r="B149" s="262" t="n">
        <f aca="false">VLOOKUP(A149,$N$2:$O$142,2,FALSE())</f>
        <v>62.75</v>
      </c>
      <c r="C149" s="182" t="n">
        <f aca="false">VLOOKUP(A149,Table1[[Country]:[Country Risk Premium]],5)</f>
        <v>0.12644349465472</v>
      </c>
      <c r="D149" s="182" t="n">
        <f aca="false">VLOOKUP(A149,Table1[[Country]:[Country Risk Premium]],4)</f>
        <v>0.0552348054028417</v>
      </c>
      <c r="E149" s="182" t="n">
        <f aca="false">C149</f>
        <v>0.12644349465472</v>
      </c>
      <c r="F149" s="67" t="n">
        <f aca="false">VLOOKUP(A149,'Country Tax Rates'!$A$2:$B$159,2)</f>
        <v>0.3</v>
      </c>
      <c r="G149" s="67" t="n">
        <f aca="false">VLOOKUP(A149,Table1[[Country]:[Country Risk Premium]],6)</f>
        <v>0.0841434946547197</v>
      </c>
    </row>
    <row r="150" customFormat="false" ht="15.75" hidden="false" customHeight="false" outlineLevel="0" collapsed="false">
      <c r="A150" s="64" t="str">
        <f aca="false">'ERPs by country'!A157</f>
        <v>Ukraine</v>
      </c>
      <c r="B150" s="262" t="n">
        <f aca="false">VLOOKUP(A150,$N$2:$O$142,2,FALSE())</f>
        <v>57</v>
      </c>
      <c r="C150" s="182" t="n">
        <f aca="false">VLOOKUP(A150,Table1[[Country]:[Country Risk Premium]],5)</f>
        <v>0.197653540763958</v>
      </c>
      <c r="D150" s="182" t="n">
        <f aca="false">VLOOKUP(A150,Table1[[Country]:[Country Risk Premium]],4)</f>
        <v>0.101979631675048</v>
      </c>
      <c r="E150" s="182" t="n">
        <f aca="false">C150</f>
        <v>0.197653540763958</v>
      </c>
      <c r="F150" s="67" t="n">
        <f aca="false">VLOOKUP(A150,'Country Tax Rates'!$A$2:$B$159,2)</f>
        <v>0.18</v>
      </c>
      <c r="G150" s="67" t="n">
        <f aca="false">VLOOKUP(A150,Table1[[Country]:[Country Risk Premium]],6)</f>
        <v>0.155353540763958</v>
      </c>
    </row>
    <row r="151" customFormat="false" ht="15.75" hidden="false" customHeight="false" outlineLevel="0" collapsed="false">
      <c r="A151" s="64" t="str">
        <f aca="false">'ERPs by country'!A158</f>
        <v>United Arab Emirates</v>
      </c>
      <c r="B151" s="262" t="n">
        <f aca="false">VLOOKUP(A151,$N$2:$O$142,2,FALSE())</f>
        <v>80.5</v>
      </c>
      <c r="C151" s="182" t="n">
        <f aca="false">VLOOKUP(A151,Table1[[Country]:[Country Risk Premium]],5)</f>
        <v>0.0486906451636496</v>
      </c>
      <c r="D151" s="182" t="n">
        <f aca="false">VLOOKUP(A151,Table1[[Country]:[Country Risk Premium]],4)</f>
        <v>0.00419504851160823</v>
      </c>
      <c r="E151" s="182" t="n">
        <f aca="false">C151</f>
        <v>0.0486906451636496</v>
      </c>
      <c r="F151" s="67" t="n">
        <f aca="false">VLOOKUP(A151,'Country Tax Rates'!$A$2:$B$159,2)</f>
        <v>0.09</v>
      </c>
      <c r="G151" s="67" t="n">
        <f aca="false">VLOOKUP(A151,Table1[[Country]:[Country Risk Premium]],6)</f>
        <v>0.0063906451636496</v>
      </c>
    </row>
    <row r="152" customFormat="false" ht="15.75" hidden="false" customHeight="false" outlineLevel="0" collapsed="false">
      <c r="A152" s="64" t="str">
        <f aca="false">'ERPs by country'!A159</f>
        <v>United Kingdom</v>
      </c>
      <c r="B152" s="262" t="n">
        <f aca="false">VLOOKUP(A152,$N$2:$O$142,2,FALSE())</f>
        <v>76.25</v>
      </c>
      <c r="C152" s="182" t="n">
        <f aca="false">VLOOKUP(A152,Table1[[Country]:[Country Risk Premium]],5)</f>
        <v>0.0500600691272888</v>
      </c>
      <c r="D152" s="182" t="n">
        <f aca="false">VLOOKUP(A152,Table1[[Country]:[Country Risk Premium]],4)</f>
        <v>0.00509398747838143</v>
      </c>
      <c r="E152" s="182" t="n">
        <f aca="false">C152</f>
        <v>0.0500600691272888</v>
      </c>
      <c r="F152" s="67" t="n">
        <f aca="false">VLOOKUP(A152,'Country Tax Rates'!$A$2:$B$159,2)</f>
        <v>0.25</v>
      </c>
      <c r="G152" s="67" t="n">
        <f aca="false">VLOOKUP(A152,Table1[[Country]:[Country Risk Premium]],6)</f>
        <v>0.0077600691272888</v>
      </c>
    </row>
    <row r="153" customFormat="false" ht="15.75" hidden="false" customHeight="false" outlineLevel="0" collapsed="false">
      <c r="A153" s="64" t="str">
        <f aca="false">'ERPs by country'!A160</f>
        <v>United States</v>
      </c>
      <c r="B153" s="262" t="n">
        <f aca="false">VLOOKUP(A153,$N$2:$O$142,2,FALSE())</f>
        <v>68.5</v>
      </c>
      <c r="C153" s="182" t="n">
        <f aca="false">VLOOKUP(A153,Table1[[Country]:[Country Risk Premium]],5)</f>
        <v>0.0446</v>
      </c>
      <c r="D153" s="182" t="n">
        <f aca="false">VLOOKUP(A153,Table1[[Country]:[Country Risk Premium]],4)</f>
        <v>0.00233367916999202</v>
      </c>
      <c r="E153" s="182" t="n">
        <f aca="false">C153</f>
        <v>0.0446</v>
      </c>
      <c r="F153" s="67" t="n">
        <f aca="false">VLOOKUP(A153,'Country Tax Rates'!$A$2:$B$159,2)</f>
        <v>0.25</v>
      </c>
      <c r="G153" s="67" t="n">
        <f aca="false">VLOOKUP(A153,Table1[[Country]:[Country Risk Premium]],6)</f>
        <v>0.00233367916999202</v>
      </c>
    </row>
    <row r="154" customFormat="false" ht="15.75" hidden="false" customHeight="false" outlineLevel="0" collapsed="false">
      <c r="A154" s="64" t="str">
        <f aca="false">'ERPs by country'!A161</f>
        <v>Uruguay</v>
      </c>
      <c r="B154" s="262" t="n">
        <f aca="false">VLOOKUP(A154,$N$2:$O$142,2,FALSE())</f>
        <v>76.5</v>
      </c>
      <c r="C154" s="182" t="n">
        <f aca="false">VLOOKUP(A154,Table1[[Country]:[Country Risk Premium]],5)</f>
        <v>0.0629935176727701</v>
      </c>
      <c r="D154" s="182" t="n">
        <f aca="false">VLOOKUP(A154,Table1[[Country]:[Country Risk Premium]],4)</f>
        <v>0.0135839666090171</v>
      </c>
      <c r="E154" s="182" t="n">
        <f aca="false">C154</f>
        <v>0.0629935176727701</v>
      </c>
      <c r="F154" s="67" t="n">
        <f aca="false">VLOOKUP(A154,'Country Tax Rates'!$A$2:$B$159,2)</f>
        <v>0.25</v>
      </c>
      <c r="G154" s="67" t="n">
        <f aca="false">VLOOKUP(A154,Table1[[Country]:[Country Risk Premium]],6)</f>
        <v>0.0206935176727701</v>
      </c>
    </row>
    <row r="155" customFormat="false" ht="15.75" hidden="false" customHeight="false" outlineLevel="0" collapsed="false">
      <c r="A155" s="64" t="str">
        <f aca="false">'ERPs by country'!A162</f>
        <v>Uzbekistan</v>
      </c>
      <c r="B155" s="262" t="n">
        <f aca="false">VLOOKUP(A155,$N$2:$O$142,2,FALSE())</f>
        <v>74.75</v>
      </c>
      <c r="C155" s="182" t="n">
        <f aca="false">VLOOKUP(A155,Table1[[Country]:[Country Risk Premium]],5)</f>
        <v>0.0888604147637328</v>
      </c>
      <c r="D155" s="182" t="n">
        <f aca="false">VLOOKUP(A155,Table1[[Country]:[Country Risk Premium]],4)</f>
        <v>0.0305639248702886</v>
      </c>
      <c r="E155" s="182" t="n">
        <f aca="false">C155</f>
        <v>0.0888604147637328</v>
      </c>
      <c r="F155" s="67" t="n">
        <f aca="false">VLOOKUP(A155,'Country Tax Rates'!$A$2:$B$159,2)</f>
        <v>0.15</v>
      </c>
      <c r="G155" s="67" t="n">
        <f aca="false">VLOOKUP(A155,Table1[[Country]:[Country Risk Premium]],6)</f>
        <v>0.0465604147637328</v>
      </c>
    </row>
    <row r="156" customFormat="false" ht="15.75" hidden="false" customHeight="false" outlineLevel="0" collapsed="false">
      <c r="A156" s="64" t="str">
        <f aca="false">'ERPs by country'!A163</f>
        <v>Venezuela</v>
      </c>
      <c r="B156" s="262" t="n">
        <f aca="false">VLOOKUP(A156,$N$2:$O$142,2,FALSE())</f>
        <v>57</v>
      </c>
      <c r="C156" s="182" t="n">
        <f aca="false">VLOOKUP(A156,Table1[[Country]:[Country Risk Premium]],5)</f>
        <v>0.30889117303269</v>
      </c>
      <c r="D156" s="182" t="n">
        <f aca="false">VLOOKUP(A156,Table1[[Country]:[Country Risk Premium]],4)</f>
        <v>0.175</v>
      </c>
      <c r="E156" s="182" t="n">
        <f aca="false">C156</f>
        <v>0.30889117303269</v>
      </c>
      <c r="F156" s="67" t="n">
        <f aca="false">VLOOKUP(A156,'Country Tax Rates'!$A$2:$B$159,2)</f>
        <v>0.34</v>
      </c>
      <c r="G156" s="67" t="n">
        <f aca="false">VLOOKUP(A156,Table1[[Country]:[Country Risk Premium]],6)</f>
        <v>0.26659117303269</v>
      </c>
    </row>
    <row r="157" customFormat="false" ht="15.75" hidden="false" customHeight="false" outlineLevel="0" collapsed="false">
      <c r="A157" s="64" t="str">
        <f aca="false">'ERPs by country'!A164</f>
        <v>Vietnam</v>
      </c>
      <c r="B157" s="262" t="n">
        <f aca="false">VLOOKUP(A157,$N$2:$O$142,2,FALSE())</f>
        <v>72.75</v>
      </c>
      <c r="C157" s="182" t="n">
        <f aca="false">VLOOKUP(A157,Table1[[Country]:[Country Risk Premium]],5)</f>
        <v>0.0812525038546261</v>
      </c>
      <c r="D157" s="182" t="n">
        <f aca="false">VLOOKUP(A157,Table1[[Country]:[Country Risk Premium]],4)</f>
        <v>0.0255698194993264</v>
      </c>
      <c r="E157" s="182" t="n">
        <f aca="false">C157</f>
        <v>0.0812525038546261</v>
      </c>
      <c r="F157" s="67" t="n">
        <f aca="false">VLOOKUP(A157,'Country Tax Rates'!$A$2:$B$159,2)</f>
        <v>0.2</v>
      </c>
      <c r="G157" s="67" t="n">
        <f aca="false">VLOOKUP(A157,Table1[[Country]:[Country Risk Premium]],6)</f>
        <v>0.0389525038546261</v>
      </c>
    </row>
    <row r="158" customFormat="false" ht="15.75" hidden="false" customHeight="false" outlineLevel="0" collapsed="false">
      <c r="A158" s="64" t="str">
        <f aca="false">'ERPs by country'!A165</f>
        <v>Zambia</v>
      </c>
      <c r="B158" s="262" t="n">
        <f aca="false">VLOOKUP(A158,$N$2:$O$142,2,FALSE())</f>
        <v>66.25</v>
      </c>
      <c r="C158" s="182" t="n">
        <f aca="false">VLOOKUP(A158,Table1[[Country]:[Country Risk Premium]],5)</f>
        <v>0.158853195127514</v>
      </c>
      <c r="D158" s="182" t="n">
        <f aca="false">VLOOKUP(A158,Table1[[Country]:[Country Risk Premium]],4)</f>
        <v>0.0765096942831406</v>
      </c>
      <c r="E158" s="182" t="n">
        <f aca="false">C158</f>
        <v>0.158853195127514</v>
      </c>
      <c r="F158" s="67" t="n">
        <f aca="false">VLOOKUP(A158,'Country Tax Rates'!$A$2:$B$159,2)</f>
        <v>0.3</v>
      </c>
      <c r="G158" s="67" t="n">
        <f aca="false">VLOOKUP(A158,Table1[[Country]:[Country Risk Premium]],6)</f>
        <v>0.116553195127514</v>
      </c>
    </row>
    <row r="159" customFormat="false" ht="15.75" hidden="false" customHeight="false" outlineLevel="0" collapsed="false">
      <c r="A159" s="64"/>
      <c r="B159" s="127"/>
      <c r="C159" s="182"/>
      <c r="D159" s="182"/>
      <c r="E159" s="182"/>
      <c r="F159" s="67"/>
      <c r="G159" s="67"/>
      <c r="H159" s="264"/>
      <c r="J159" s="269" t="s">
        <v>651</v>
      </c>
      <c r="K159" s="270" t="s">
        <v>165</v>
      </c>
    </row>
    <row r="160" customFormat="false" ht="15.75" hidden="false" customHeight="false" outlineLevel="0" collapsed="false">
      <c r="A160" s="64"/>
      <c r="B160" s="127"/>
      <c r="C160" s="182"/>
      <c r="D160" s="182"/>
      <c r="E160" s="182"/>
      <c r="F160" s="67"/>
      <c r="G160" s="67"/>
      <c r="H160" s="264"/>
      <c r="J160" s="271" t="s">
        <v>98</v>
      </c>
      <c r="K160" s="272" t="n">
        <v>0.275906666666667</v>
      </c>
    </row>
    <row r="161" customFormat="false" ht="15.75" hidden="false" customHeight="false" outlineLevel="0" collapsed="false">
      <c r="A161" s="64"/>
      <c r="B161" s="127"/>
      <c r="C161" s="182"/>
      <c r="D161" s="182"/>
      <c r="E161" s="182"/>
      <c r="F161" s="67"/>
      <c r="G161" s="67"/>
      <c r="H161" s="264"/>
      <c r="J161" s="271" t="s">
        <v>77</v>
      </c>
      <c r="K161" s="272" t="n">
        <v>0.240475</v>
      </c>
    </row>
    <row r="162" customFormat="false" ht="15.75" hidden="false" customHeight="false" outlineLevel="0" collapsed="false">
      <c r="A162" s="64" t="s">
        <v>409</v>
      </c>
      <c r="B162" s="262" t="n">
        <f aca="false">VLOOKUP(A162,$N$3:$O$142,2,FALSE())</f>
        <v>67</v>
      </c>
      <c r="C162" s="67"/>
      <c r="D162" s="67" t="n">
        <f aca="false">G162/'ERPs by country'!$E$6</f>
        <v>0.0382548471415703</v>
      </c>
      <c r="E162" s="66" t="n">
        <f aca="false">IF(C162&gt;0,C162,VLOOKUP(B162,$I$3:$K$19,3))</f>
        <v>0.100576597563757</v>
      </c>
      <c r="F162" s="67" t="n">
        <f aca="false">VLOOKUP(A162,'Country Tax Rates'!$E$2:$F$176,2,FALSE())</f>
        <v>0.26</v>
      </c>
      <c r="G162" s="67" t="n">
        <f aca="false">E162-'ERPs by country'!$E$3</f>
        <v>0.058276597563757</v>
      </c>
      <c r="H162" s="264"/>
      <c r="J162" s="271" t="s">
        <v>166</v>
      </c>
      <c r="K162" s="272" t="n">
        <v>0.26</v>
      </c>
    </row>
    <row r="163" customFormat="false" ht="15.75" hidden="false" customHeight="false" outlineLevel="0" collapsed="false">
      <c r="A163" s="64" t="s">
        <v>518</v>
      </c>
      <c r="B163" s="262" t="n">
        <f aca="false">VLOOKUP(A163,$N$3:$O$142,2,FALSE())</f>
        <v>80.75</v>
      </c>
      <c r="C163" s="67"/>
      <c r="D163" s="67" t="n">
        <f aca="false">G163/'ERPs by country'!$E$6</f>
        <v>0.00509398747838143</v>
      </c>
      <c r="E163" s="66" t="n">
        <f aca="false">IF(C163&gt;0,C163,VLOOKUP(B163,$I$3:$K$19,3))</f>
        <v>0.0500600691272888</v>
      </c>
      <c r="F163" s="67" t="n">
        <f aca="false">K166</f>
        <v>0.146830769230769</v>
      </c>
      <c r="G163" s="67" t="n">
        <f aca="false">E163-'ERPs by country'!$E$3</f>
        <v>0.0077600691272888</v>
      </c>
      <c r="H163" s="264"/>
      <c r="J163" s="271" t="s">
        <v>167</v>
      </c>
      <c r="K163" s="272" t="n">
        <v>0.177142857142857</v>
      </c>
    </row>
    <row r="164" customFormat="false" ht="15.75" hidden="false" customHeight="false" outlineLevel="0" collapsed="false">
      <c r="A164" s="64" t="s">
        <v>520</v>
      </c>
      <c r="B164" s="262" t="n">
        <f aca="false">VLOOKUP(A164,$N$3:$O$142,2,FALSE())</f>
        <v>65.5</v>
      </c>
      <c r="C164" s="67"/>
      <c r="D164" s="67" t="n">
        <f aca="false">G164/'ERPs by country'!$E$6</f>
        <v>0.046744826272206</v>
      </c>
      <c r="E164" s="66" t="n">
        <f aca="false">IF(C164&gt;0,C164,VLOOKUP(B164,$I$3:$K$19,3))</f>
        <v>0.113510046109238</v>
      </c>
      <c r="F164" s="67" t="n">
        <f aca="false">VLOOKUP(A164,'Country Tax Rates'!$E$2:$F$176,2,FALSE())</f>
        <v>0.27</v>
      </c>
      <c r="G164" s="67" t="n">
        <f aca="false">E164-'ERPs by country'!$E$3</f>
        <v>0.0712100461092384</v>
      </c>
      <c r="H164" s="264"/>
      <c r="J164" s="271" t="s">
        <v>168</v>
      </c>
      <c r="K164" s="272" t="n">
        <v>0.271315789473684</v>
      </c>
    </row>
    <row r="165" customFormat="false" ht="15.75" hidden="false" customHeight="false" outlineLevel="0" collapsed="false">
      <c r="A165" s="64" t="s">
        <v>480</v>
      </c>
      <c r="B165" s="262" t="n">
        <f aca="false">VLOOKUP(A165,$N$3:$O$142,2,FALSE())</f>
        <v>59.5</v>
      </c>
      <c r="C165" s="67"/>
      <c r="D165" s="67" t="n">
        <f aca="false">G165/'ERPs by country'!$E$6</f>
        <v>0.0765096942831406</v>
      </c>
      <c r="E165" s="66" t="n">
        <f aca="false">IF(C165&gt;0,C165,VLOOKUP(B165,$I$3:$K$19,3))</f>
        <v>0.158853195127514</v>
      </c>
      <c r="F165" s="67" t="n">
        <f aca="false">K160</f>
        <v>0.275906666666667</v>
      </c>
      <c r="G165" s="67" t="n">
        <f aca="false">E165-'ERPs by country'!$E$3</f>
        <v>0.116553195127514</v>
      </c>
      <c r="H165" s="264"/>
      <c r="J165" s="271" t="s">
        <v>169</v>
      </c>
      <c r="K165" s="272" t="n">
        <v>0.164230769230769</v>
      </c>
    </row>
    <row r="166" customFormat="false" ht="15.75" hidden="false" customHeight="false" outlineLevel="0" collapsed="false">
      <c r="A166" s="64" t="s">
        <v>481</v>
      </c>
      <c r="B166" s="262" t="n">
        <f aca="false">VLOOKUP(A166,$N$3:$O$142,2,FALSE())</f>
        <v>60.75</v>
      </c>
      <c r="C166" s="67"/>
      <c r="D166" s="67" t="n">
        <f aca="false">G166/'ERPs by country'!$E$6</f>
        <v>0.0637247845334774</v>
      </c>
      <c r="E166" s="66" t="n">
        <f aca="false">IF(C166&gt;0,C166,VLOOKUP(B166,$I$3:$K$19,3))</f>
        <v>0.139376943200201</v>
      </c>
      <c r="F166" s="67" t="n">
        <f aca="false">K160</f>
        <v>0.275906666666667</v>
      </c>
      <c r="G166" s="67" t="n">
        <f aca="false">E166-'ERPs by country'!$E$3</f>
        <v>0.097076943200201</v>
      </c>
      <c r="H166" s="264"/>
      <c r="J166" s="271" t="s">
        <v>170</v>
      </c>
      <c r="K166" s="272" t="n">
        <v>0.146830769230769</v>
      </c>
    </row>
    <row r="167" customFormat="false" ht="15.75" hidden="false" customHeight="false" outlineLevel="0" collapsed="false">
      <c r="A167" s="64" t="s">
        <v>482</v>
      </c>
      <c r="B167" s="262" t="n">
        <f aca="false">VLOOKUP(A167,$N$3:$O$142,2,FALSE())</f>
        <v>75.5</v>
      </c>
      <c r="C167" s="67"/>
      <c r="D167" s="67" t="n">
        <f aca="false">G167/'ERPs by country'!$E$6</f>
        <v>0.0135839666090171</v>
      </c>
      <c r="E167" s="66" t="n">
        <f aca="false">IF(C167&gt;0,C167,VLOOKUP(B167,$I$3:$K$19,3))</f>
        <v>0.0629935176727701</v>
      </c>
      <c r="F167" s="67" t="n">
        <f aca="false">K164</f>
        <v>0.271315789473684</v>
      </c>
      <c r="G167" s="67" t="n">
        <f aca="false">E167-'ERPs by country'!$E$3</f>
        <v>0.0206935176727701</v>
      </c>
      <c r="H167" s="264"/>
      <c r="J167" s="271" t="s">
        <v>171</v>
      </c>
      <c r="K167" s="272" t="n">
        <v>0.2557</v>
      </c>
    </row>
    <row r="168" customFormat="false" ht="15.75" hidden="false" customHeight="false" outlineLevel="0" collapsed="false">
      <c r="A168" s="64" t="s">
        <v>483</v>
      </c>
      <c r="B168" s="262" t="n">
        <f aca="false">VLOOKUP(A168,$N$3:$O$142,2,FALSE())</f>
        <v>56.75</v>
      </c>
      <c r="C168" s="67"/>
      <c r="D168" s="67" t="n">
        <f aca="false">G168/'ERPs by country'!$E$6</f>
        <v>0.0849996734137763</v>
      </c>
      <c r="E168" s="66" t="n">
        <f aca="false">IF(C168&gt;0,C168,VLOOKUP(B168,$I$3:$K$19,3))</f>
        <v>0.171786643672995</v>
      </c>
      <c r="F168" s="67" t="n">
        <f aca="false">K163</f>
        <v>0.177142857142857</v>
      </c>
      <c r="G168" s="67" t="n">
        <f aca="false">E168-'ERPs by country'!$E$3</f>
        <v>0.129486643672995</v>
      </c>
      <c r="H168" s="264"/>
      <c r="J168" s="271" t="s">
        <v>172</v>
      </c>
      <c r="K168" s="272" t="n">
        <v>0.199430769230769</v>
      </c>
    </row>
    <row r="169" customFormat="false" ht="15.75" hidden="false" customHeight="false" outlineLevel="0" collapsed="false">
      <c r="A169" s="64" t="s">
        <v>523</v>
      </c>
      <c r="B169" s="262" t="n">
        <f aca="false">VLOOKUP(A169,$N$3:$O$142,2,FALSE())</f>
        <v>61.25</v>
      </c>
      <c r="C169" s="67"/>
      <c r="D169" s="67" t="n">
        <f aca="false">G169/'ERPs by country'!$E$6</f>
        <v>0.0637247845334774</v>
      </c>
      <c r="E169" s="66" t="n">
        <f aca="false">IF(C169&gt;0,C169,VLOOKUP(B169,$I$3:$K$19,3))</f>
        <v>0.139376943200201</v>
      </c>
      <c r="F169" s="67" t="n">
        <f aca="false">K166</f>
        <v>0.146830769230769</v>
      </c>
      <c r="G169" s="67" t="n">
        <f aca="false">E169-'ERPs by country'!$E$3</f>
        <v>0.097076943200201</v>
      </c>
      <c r="H169" s="264"/>
      <c r="K169" s="76"/>
    </row>
    <row r="170" customFormat="false" ht="15.75" hidden="false" customHeight="false" outlineLevel="0" collapsed="false">
      <c r="A170" s="64" t="s">
        <v>524</v>
      </c>
      <c r="B170" s="262" t="n">
        <f aca="false">VLOOKUP(A170,$N$3:$O$142,2,FALSE())</f>
        <v>51</v>
      </c>
      <c r="C170" s="67"/>
      <c r="D170" s="67" t="n">
        <f aca="false">G170/'ERPs by country'!$E$6</f>
        <v>0.101979631675048</v>
      </c>
      <c r="E170" s="66" t="n">
        <f aca="false">IF(C170&gt;0,C170,VLOOKUP(B170,$I$3:$K$19,3))</f>
        <v>0.197653540763958</v>
      </c>
      <c r="F170" s="67" t="n">
        <f aca="false">K161</f>
        <v>0.240475</v>
      </c>
      <c r="G170" s="67" t="n">
        <f aca="false">E170-'ERPs by country'!$E$3</f>
        <v>0.155353540763958</v>
      </c>
      <c r="H170" s="264"/>
    </row>
    <row r="171" customFormat="false" ht="15.75" hidden="false" customHeight="false" outlineLevel="0" collapsed="false">
      <c r="A171" s="64" t="s">
        <v>504</v>
      </c>
      <c r="B171" s="262" t="n">
        <f aca="false">VLOOKUP(A171,$N$3:$O$142,2,FALSE())</f>
        <v>57.75</v>
      </c>
      <c r="C171" s="67"/>
      <c r="D171" s="67" t="n">
        <f aca="false">G171/'ERPs by country'!$E$6</f>
        <v>0.0765096942831406</v>
      </c>
      <c r="E171" s="66" t="n">
        <f aca="false">IF(C171&gt;0,C171,VLOOKUP(B171,$I$3:$K$19,3))</f>
        <v>0.158853195127514</v>
      </c>
      <c r="F171" s="67" t="n">
        <f aca="false">K160</f>
        <v>0.275906666666667</v>
      </c>
      <c r="G171" s="67" t="n">
        <f aca="false">E171-'ERPs by country'!$E$3</f>
        <v>0.116553195127514</v>
      </c>
      <c r="H171" s="264"/>
    </row>
    <row r="172" customFormat="false" ht="15.75" hidden="false" customHeight="false" outlineLevel="0" collapsed="false">
      <c r="A172" s="64" t="s">
        <v>505</v>
      </c>
      <c r="B172" s="262" t="n">
        <f aca="false">VLOOKUP(A172,$N$3:$O$142,2,FALSE())</f>
        <v>71.5</v>
      </c>
      <c r="C172" s="67"/>
      <c r="D172" s="67" t="n">
        <f aca="false">G172/'ERPs by country'!$E$6</f>
        <v>0.0255698194993264</v>
      </c>
      <c r="E172" s="66" t="n">
        <f aca="false">IF(C172&gt;0,C172,VLOOKUP(B172,$I$3:$K$19,3))</f>
        <v>0.0812525038546261</v>
      </c>
      <c r="F172" s="67" t="n">
        <f aca="false">VLOOKUP(A172,'Country Tax Rates'!$E$2:$F$176,2,FALSE())</f>
        <v>0.24</v>
      </c>
      <c r="G172" s="67" t="n">
        <f aca="false">E172-'ERPs by country'!$E$3</f>
        <v>0.0389525038546261</v>
      </c>
      <c r="H172" s="264"/>
    </row>
    <row r="173" customFormat="false" ht="15.75" hidden="false" customHeight="false" outlineLevel="0" collapsed="false">
      <c r="A173" s="64" t="s">
        <v>510</v>
      </c>
      <c r="B173" s="262" t="n">
        <f aca="false">VLOOKUP(A173,$N$3:$O$142,2,FALSE())</f>
        <v>62.5</v>
      </c>
      <c r="C173" s="67"/>
      <c r="D173" s="67" t="n">
        <f aca="false">G173/'ERPs by country'!$E$6</f>
        <v>0.0552348054028417</v>
      </c>
      <c r="E173" s="66" t="n">
        <f aca="false">IF(C173&gt;0,C173,VLOOKUP(B173,$I$3:$K$19,3))</f>
        <v>0.12644349465472</v>
      </c>
      <c r="F173" s="67" t="n">
        <f aca="false">VLOOKUP(A173,'Country Tax Rates'!$E$2:$F$176,2,FALSE())</f>
        <v>0.2</v>
      </c>
      <c r="G173" s="67" t="n">
        <f aca="false">E173-'ERPs by country'!$E$3</f>
        <v>0.0841434946547197</v>
      </c>
      <c r="H173" s="264"/>
    </row>
    <row r="174" customFormat="false" ht="15.75" hidden="false" customHeight="false" outlineLevel="0" collapsed="false">
      <c r="A174" s="64" t="s">
        <v>511</v>
      </c>
      <c r="B174" s="262" t="n">
        <f aca="false">VLOOKUP(A174,$N$3:$O$142,2,FALSE())</f>
        <v>56</v>
      </c>
      <c r="C174" s="67"/>
      <c r="D174" s="67" t="n">
        <f aca="false">G174/'ERPs by country'!$E$6</f>
        <v>0.0849996734137763</v>
      </c>
      <c r="E174" s="66" t="n">
        <f aca="false">IF(C174&gt;0,C174,VLOOKUP(B174,$I$3:$K$19,3))</f>
        <v>0.171786643672995</v>
      </c>
      <c r="F174" s="67" t="n">
        <f aca="false">VLOOKUP(A174,'Country Tax Rates'!$E$2:$F$176,2,FALSE())</f>
        <v>0.3</v>
      </c>
      <c r="G174" s="67" t="n">
        <f aca="false">E174-'ERPs by country'!$E$3</f>
        <v>0.129486643672995</v>
      </c>
      <c r="H174" s="264"/>
    </row>
    <row r="175" customFormat="false" ht="15.75" hidden="false" customHeight="false" outlineLevel="0" collapsed="false">
      <c r="A175" s="64" t="s">
        <v>525</v>
      </c>
      <c r="B175" s="262" t="n">
        <f aca="false">VLOOKUP(A175,$N$3:$O$142,2,FALSE())</f>
        <v>54.75</v>
      </c>
      <c r="C175" s="67"/>
      <c r="D175" s="67" t="n">
        <f aca="false">G175/'ERPs by country'!$E$6</f>
        <v>0.101979631675048</v>
      </c>
      <c r="E175" s="66" t="n">
        <f aca="false">IF(C175&gt;0,C175,VLOOKUP(B175,$I$3:$K$19,3))</f>
        <v>0.197653540763958</v>
      </c>
      <c r="F175" s="67" t="n">
        <f aca="false">VLOOKUP(A175,'Country Tax Rates'!$E$2:$F$176,2,FALSE())</f>
        <v>0.22</v>
      </c>
      <c r="G175" s="67" t="n">
        <f aca="false">E175-'ERPs by country'!$E$3</f>
        <v>0.155353540763958</v>
      </c>
      <c r="H175" s="264"/>
    </row>
    <row r="176" customFormat="false" ht="15.75" hidden="false" customHeight="false" outlineLevel="0" collapsed="false">
      <c r="A176" s="64" t="s">
        <v>404</v>
      </c>
      <c r="B176" s="262" t="n">
        <f aca="false">VLOOKUP(A176,$N$3:$O$142,2,FALSE())</f>
        <v>70.25</v>
      </c>
      <c r="C176" s="67"/>
      <c r="D176" s="67" t="n">
        <f aca="false">G176/'ERPs by country'!$E$6</f>
        <v>0.0255698194993264</v>
      </c>
      <c r="E176" s="66" t="n">
        <f aca="false">IF(C176&gt;0,C176,VLOOKUP(B176,$I$3:$K$19,3))</f>
        <v>0.0812525038546261</v>
      </c>
      <c r="F176" s="67" t="n">
        <f aca="false">VLOOKUP(A176,'Country Tax Rates'!$E$2:$F$176,2,FALSE())</f>
        <v>0.2</v>
      </c>
      <c r="G176" s="67" t="n">
        <f aca="false">E176-'ERPs by country'!$E$3</f>
        <v>0.0389525038546261</v>
      </c>
      <c r="H176" s="264"/>
    </row>
    <row r="177" customFormat="false" ht="15.75" hidden="false" customHeight="false" outlineLevel="0" collapsed="false">
      <c r="A177" s="64" t="s">
        <v>527</v>
      </c>
      <c r="B177" s="262" t="n">
        <f aca="false">VLOOKUP(A177,$N$3:$O$142,2,FALSE())</f>
        <v>62.75</v>
      </c>
      <c r="C177" s="67"/>
      <c r="D177" s="67" t="n">
        <f aca="false">G177/'ERPs by country'!$E$6</f>
        <v>0.0552348054028417</v>
      </c>
      <c r="E177" s="66" t="n">
        <f aca="false">IF(C177&gt;0,C177,VLOOKUP(B177,$I$3:$K$19,3))</f>
        <v>0.12644349465472</v>
      </c>
      <c r="F177" s="67" t="n">
        <f aca="false">VLOOKUP(A177,'Country Tax Rates'!$E$2:$F$176,2,FALSE())</f>
        <v>0.25</v>
      </c>
      <c r="G177" s="67" t="n">
        <f aca="false">E177-'ERPs by country'!$E$3</f>
        <v>0.0841434946547197</v>
      </c>
      <c r="H177" s="264"/>
    </row>
    <row r="178" customFormat="false" ht="15.75" hidden="false" customHeight="false" outlineLevel="0" collapsed="false">
      <c r="A178" s="64" t="s">
        <v>529</v>
      </c>
      <c r="B178" s="262" t="n">
        <f aca="false">VLOOKUP(A178,$N$3:$O$142,2,FALSE())</f>
        <v>55.5</v>
      </c>
      <c r="C178" s="67"/>
      <c r="D178" s="67" t="n">
        <f aca="false">G178/'ERPs by country'!$E$6</f>
        <v>0.0849996734137763</v>
      </c>
      <c r="E178" s="66" t="n">
        <f aca="false">IF(C178&gt;0,C178,VLOOKUP(B178,$I$3:$K$19,3))</f>
        <v>0.171786643672995</v>
      </c>
      <c r="F178" s="67" t="n">
        <f aca="false">K160</f>
        <v>0.275906666666667</v>
      </c>
      <c r="G178" s="67" t="n">
        <f aca="false">E178-'ERPs by country'!$E$3</f>
        <v>0.129486643672995</v>
      </c>
      <c r="H178" s="264"/>
    </row>
    <row r="179" customFormat="false" ht="15.75" hidden="false" customHeight="false" outlineLevel="0" collapsed="false">
      <c r="A179" s="64" t="s">
        <v>530</v>
      </c>
      <c r="B179" s="262" t="n">
        <f aca="false">VLOOKUP(A179,$N$3:$O$142,2,FALSE())</f>
        <v>47.75</v>
      </c>
      <c r="C179" s="67"/>
      <c r="D179" s="67" t="n">
        <f aca="false">G179/'ERPs by country'!$E$6</f>
        <v>0.175</v>
      </c>
      <c r="E179" s="66" t="n">
        <f aca="false">IF(C179&gt;0,C179,VLOOKUP(B179,$I$3:$K$19,3))</f>
        <v>0.30889117303269</v>
      </c>
      <c r="F179" s="67" t="n">
        <f aca="false">VLOOKUP(A179,'Country Tax Rates'!$E$2:$F$176,2,FALSE())</f>
        <v>0.35</v>
      </c>
      <c r="G179" s="67" t="n">
        <f aca="false">E179-'ERPs by country'!$E$3</f>
        <v>0.26659117303269</v>
      </c>
    </row>
    <row r="180" customFormat="false" ht="15.75" hidden="false" customHeight="false" outlineLevel="0" collapsed="false">
      <c r="A180" s="64" t="s">
        <v>531</v>
      </c>
      <c r="B180" s="262" t="n">
        <f aca="false">VLOOKUP(A180,$N$3:$O$142,2,FALSE())</f>
        <v>51.5</v>
      </c>
      <c r="C180" s="67"/>
      <c r="D180" s="67" t="n">
        <f aca="false">G180/'ERPs by country'!$E$6</f>
        <v>0.101979631675048</v>
      </c>
      <c r="E180" s="66" t="n">
        <f aca="false">IF(C180&gt;0,C180,VLOOKUP(B180,$I$3:$K$19,3))</f>
        <v>0.197653540763958</v>
      </c>
      <c r="F180" s="67" t="n">
        <f aca="false">VLOOKUP(A180,'Country Tax Rates'!$E$2:$F$176,2,FALSE())</f>
        <v>0.28</v>
      </c>
      <c r="G180" s="67" t="n">
        <f aca="false">E180-'ERPs by country'!$E$3</f>
        <v>0.155353540763958</v>
      </c>
    </row>
    <row r="181" customFormat="false" ht="15.75" hidden="false" customHeight="false" outlineLevel="0" collapsed="false">
      <c r="A181" s="64" t="s">
        <v>532</v>
      </c>
      <c r="B181" s="262" t="n">
        <f aca="false">VLOOKUP(A181,$N$3:$O$142,2,FALSE())</f>
        <v>51.75</v>
      </c>
      <c r="C181" s="67"/>
      <c r="D181" s="67" t="n">
        <f aca="false">G181/'ERPs by country'!$E$6</f>
        <v>0.101979631675048</v>
      </c>
      <c r="E181" s="66" t="n">
        <f aca="false">IF(C181&gt;0,C181,VLOOKUP(B181,$I$3:$K$19,3))</f>
        <v>0.197653540763958</v>
      </c>
      <c r="F181" s="67" t="n">
        <f aca="false">K160</f>
        <v>0.275906666666667</v>
      </c>
      <c r="G181" s="67" t="n">
        <f aca="false">E181-'ERPs by country'!$E$3</f>
        <v>0.155353540763958</v>
      </c>
    </row>
    <row r="182" customFormat="false" ht="15.75" hidden="false" customHeight="false" outlineLevel="0" collapsed="false">
      <c r="A182" s="64" t="s">
        <v>84</v>
      </c>
      <c r="B182" s="262" t="n">
        <f aca="false">VLOOKUP(A182,$N$3:$O$142,2,FALSE())</f>
        <v>58.5</v>
      </c>
      <c r="C182" s="67"/>
      <c r="D182" s="67" t="n">
        <f aca="false">G182/'ERPs by country'!$E$6</f>
        <v>0.0765096942831406</v>
      </c>
      <c r="E182" s="66" t="n">
        <f aca="false">IF(C182&gt;0,C182,VLOOKUP(B182,$I$3:$K$19,3))</f>
        <v>0.158853195127514</v>
      </c>
      <c r="F182" s="67" t="n">
        <f aca="false">VLOOKUP(A182,'Country Tax Rates'!$E$2:$F$176,2,FALSE())</f>
        <v>0.2472</v>
      </c>
      <c r="G182" s="67" t="n">
        <f aca="false">E182-'ERPs by country'!$E$3</f>
        <v>0.116553195127514</v>
      </c>
    </row>
    <row r="183" customFormat="false" ht="12.75" hidden="false" customHeight="false" outlineLevel="0" collapsed="false">
      <c r="B183" s="78"/>
      <c r="C183" s="98"/>
    </row>
  </sheetData>
  <mergeCells count="1">
    <mergeCell ref="I1:J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10.65234375" defaultRowHeight="12.75" zeroHeight="false" outlineLevelRow="0" outlineLevelCol="0"/>
  <sheetData>
    <row r="1" customFormat="false" ht="12.75" hidden="false" customHeight="false" outlineLevel="0" collapsed="false">
      <c r="A1" s="0" t="s">
        <v>652</v>
      </c>
    </row>
    <row r="2" customFormat="false" ht="12.75" hidden="false" customHeight="false" outlineLevel="0" collapsed="false">
      <c r="A2" s="0" t="s">
        <v>653</v>
      </c>
    </row>
    <row r="3" customFormat="false" ht="12.75" hidden="false" customHeight="false" outlineLevel="0" collapsed="false">
      <c r="A3" s="0" t="s">
        <v>654</v>
      </c>
    </row>
    <row r="4" customFormat="false" ht="12.75" hidden="false" customHeight="false" outlineLevel="0" collapsed="false">
      <c r="A4" s="0" t="s">
        <v>655</v>
      </c>
    </row>
    <row r="5" customFormat="false" ht="12.75" hidden="false" customHeight="false" outlineLevel="0" collapsed="false">
      <c r="A5" s="0" t="s">
        <v>656</v>
      </c>
    </row>
    <row r="6" customFormat="false" ht="12.75" hidden="false" customHeight="false" outlineLevel="0" collapsed="false">
      <c r="A6" s="0" t="s">
        <v>657</v>
      </c>
    </row>
    <row r="7" customFormat="false" ht="12.75" hidden="false" customHeight="false" outlineLevel="0" collapsed="false">
      <c r="A7" s="0" t="s">
        <v>658</v>
      </c>
    </row>
    <row r="8" customFormat="false" ht="12.75" hidden="false" customHeight="false" outlineLevel="0" collapsed="false">
      <c r="A8" s="0" t="s">
        <v>659</v>
      </c>
    </row>
    <row r="9" customFormat="false" ht="12.75" hidden="false" customHeight="false" outlineLevel="0" collapsed="false">
      <c r="A9" s="0" t="s">
        <v>660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1999-02-15T17:37:17Z</dcterms:created>
  <dc:creator>Aswath Damodaran</dc:creator>
  <dc:description/>
  <dc:language>en-US</dc:language>
  <cp:lastModifiedBy/>
  <cp:lastPrinted>2025-01-08T14:21:15Z</cp:lastPrinted>
  <dcterms:modified xsi:type="dcterms:W3CDTF">2026-04-25T12:44:28Z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